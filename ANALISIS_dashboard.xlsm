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pivotCache/pivotCacheDefinition9.xml" ContentType="application/vnd.openxmlformats-officedocument.spreadsheetml.pivotCacheDefinition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slicers/slicer2.xml" ContentType="application/vnd.ms-excel.slicer+xml"/>
  <Override PartName="/xl/timelines/timeline2.xml" ContentType="application/vnd.ms-excel.timelin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owncloud\DPCE - 2021\20. INVENTARIOS EFICIENTES\10. OCTUBRE\Dashboard\"/>
    </mc:Choice>
  </mc:AlternateContent>
  <xr:revisionPtr revIDLastSave="0" documentId="13_ncr:1_{EACF7F9F-C089-464E-9BBE-F5938613511C}" xr6:coauthVersionLast="47" xr6:coauthVersionMax="47" xr10:uidLastSave="{00000000-0000-0000-0000-000000000000}"/>
  <bookViews>
    <workbookView xWindow="-108" yWindow="-108" windowWidth="23256" windowHeight="12576" activeTab="4" xr2:uid="{00000000-000D-0000-FFFF-FFFF00000000}"/>
  </bookViews>
  <sheets>
    <sheet name="INGRESO_DATOS" sheetId="2" r:id="rId1"/>
    <sheet name="BASE_MOTIVOS" sheetId="18" r:id="rId2"/>
    <sheet name="BD" sheetId="19" r:id="rId3"/>
    <sheet name="TABLA" sheetId="21" r:id="rId4"/>
    <sheet name="Dashboard" sheetId="23" r:id="rId5"/>
  </sheets>
  <definedNames>
    <definedName name="_xlnm._FilterDatabase" localSheetId="0" hidden="1">INGRESO_DATOS!$A$3:$O$2313</definedName>
    <definedName name="_xlcn.WorksheetConnection_PRUEBA1.xlsmBD11" hidden="1">BD[]</definedName>
    <definedName name="SegmentaciónDeDatos_Motivos">#N/A</definedName>
    <definedName name="SegmentaciónDeDatos_Nombre_C.Costo1">#N/A</definedName>
    <definedName name="Timeline_fecha_reingreso1">#N/A</definedName>
  </definedNames>
  <calcPr calcId="92512"/>
  <pivotCaches>
    <pivotCache cacheId="3744" r:id="rId6"/>
    <pivotCache cacheId="3753" r:id="rId7"/>
    <pivotCache cacheId="3756" r:id="rId8"/>
    <pivotCache cacheId="3762" r:id="rId9"/>
    <pivotCache cacheId="3765" r:id="rId10"/>
    <pivotCache cacheId="3771" r:id="rId11"/>
    <pivotCache cacheId="3774" r:id="rId12"/>
  </pivotCaches>
  <extLst>
    <ext xmlns:x14="http://schemas.microsoft.com/office/spreadsheetml/2009/9/main" uri="{876F7934-8845-4945-9796-88D515C7AA90}">
      <x14:pivotCaches>
        <pivotCache cacheId="78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790" r:id="rId16"/>
      </x15:timelineCachePivotCaches>
    </ext>
    <ext xmlns:x15="http://schemas.microsoft.com/office/spreadsheetml/2010/11/main" uri="{D0CA8CA8-9F24-4464-BF8E-62219DCF47F9}">
      <x15:timelineCacheRefs>
        <x15:timelineCacheRef r:id="rId17"/>
      </x15:timelineCacheRefs>
    </ext>
    <ext xmlns:x15="http://schemas.microsoft.com/office/spreadsheetml/2010/11/main" uri="{FCE2AD5D-F65C-4FA6-A056-5C36A1767C68}">
      <x15:dataModel>
        <x15:modelTables>
          <x15:modelTable id="BD1-c740add3-acb5-4a4d-b5c9-81d3a5b8454e" name="BD1" connection="WorksheetConnection_PRUEBA1.xlsm!BD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19" l="1"/>
  <c r="P6" i="19"/>
  <c r="S6" i="19" s="1"/>
  <c r="T5" i="19"/>
  <c r="S5" i="19"/>
  <c r="P5" i="19"/>
  <c r="T4" i="19"/>
  <c r="P4" i="19"/>
  <c r="S4" i="19" s="1"/>
  <c r="T3" i="19"/>
  <c r="P3" i="19"/>
  <c r="S3" i="19" s="1"/>
  <c r="T2" i="19"/>
  <c r="P2" i="19"/>
  <c r="S2" i="19" s="1"/>
  <c r="T8" i="2"/>
  <c r="T7" i="2"/>
  <c r="T6" i="2"/>
  <c r="T5" i="2"/>
  <c r="T4" i="2"/>
  <c r="S7" i="2"/>
  <c r="P8" i="2"/>
  <c r="S8" i="2" s="1"/>
  <c r="P7" i="2"/>
  <c r="P6" i="2"/>
  <c r="S6" i="2" s="1"/>
  <c r="P5" i="2"/>
  <c r="S5" i="2" s="1"/>
  <c r="P4" i="2"/>
  <c r="S4" i="2" s="1"/>
  <c r="J3" i="18"/>
  <c r="A1" i="2"/>
  <c r="F1" i="18"/>
  <c r="E1" i="18"/>
  <c r="D1" i="18"/>
  <c r="C1" i="18"/>
  <c r="B1" i="18"/>
  <c r="A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9AA7FA1-7607-4F95-87DF-93578BED1DE2}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PRUEBA1.xlsm!BD1" type="102" refreshedVersion="7" minRefreshableVersion="5">
    <extLst>
      <ext xmlns:x15="http://schemas.microsoft.com/office/spreadsheetml/2010/11/main" uri="{DE250136-89BD-433C-8126-D09CA5730AF9}">
        <x15:connection id="BD1-c740add3-acb5-4a4d-b5c9-81d3a5b8454e">
          <x15:rangePr sourceName="_xlcn.WorksheetConnection_PRUEBA1.xlsmBD11"/>
        </x15:connection>
      </ext>
    </extLst>
  </connection>
</connections>
</file>

<file path=xl/sharedStrings.xml><?xml version="1.0" encoding="utf-8"?>
<sst xmlns="http://schemas.openxmlformats.org/spreadsheetml/2006/main" count="279" uniqueCount="164">
  <si>
    <t>Nombre Bodega</t>
  </si>
  <si>
    <t>Nro documento</t>
  </si>
  <si>
    <t>fecha reingreso</t>
  </si>
  <si>
    <t>cantidad reingresada</t>
  </si>
  <si>
    <t>nro egreso</t>
  </si>
  <si>
    <t>fecha egreso</t>
  </si>
  <si>
    <t>cantidad egreso</t>
  </si>
  <si>
    <t>centro de costo</t>
  </si>
  <si>
    <t>rol o RUC entrega</t>
  </si>
  <si>
    <t>Nombre entrega</t>
  </si>
  <si>
    <t>% &gt; 50 %</t>
  </si>
  <si>
    <t>Observaciones</t>
  </si>
  <si>
    <t>Bodega reingreso</t>
  </si>
  <si>
    <t>Nombre C.Costo</t>
  </si>
  <si>
    <t>CAJA DE DISTRIBUCION TRIFASICA, 3 FASES Y 1 NEUTRO, CON TAPA DE SEGURIDAD</t>
  </si>
  <si>
    <t>CARPAS</t>
  </si>
  <si>
    <t>Material no utilizado</t>
  </si>
  <si>
    <t>DEPTO.DE INSTALACIONES</t>
  </si>
  <si>
    <t>Código EEQ</t>
  </si>
  <si>
    <t xml:space="preserve">Descripción </t>
  </si>
  <si>
    <t>Material no retirado</t>
  </si>
  <si>
    <t>Otros</t>
  </si>
  <si>
    <t>PEPELEO</t>
  </si>
  <si>
    <t>PAPELEO</t>
  </si>
  <si>
    <t>NO</t>
  </si>
  <si>
    <t>UTILIZADO</t>
  </si>
  <si>
    <t>REFERENCIA</t>
  </si>
  <si>
    <t>EGRESO</t>
  </si>
  <si>
    <t>RETIRADO</t>
  </si>
  <si>
    <t>REINGRESA</t>
  </si>
  <si>
    <t>ERROR</t>
  </si>
  <si>
    <t>CODIGO</t>
  </si>
  <si>
    <t>RETIRADO,</t>
  </si>
  <si>
    <t>DEVOLICION</t>
  </si>
  <si>
    <t>EQUIPOS</t>
  </si>
  <si>
    <t>ADMINISTRADOR</t>
  </si>
  <si>
    <t>DEVOLUCIÓN</t>
  </si>
  <si>
    <t>SEGUN</t>
  </si>
  <si>
    <t>MEMORANDO</t>
  </si>
  <si>
    <t>MATERAIL</t>
  </si>
  <si>
    <t>EQUIPO</t>
  </si>
  <si>
    <t>PERSONAL</t>
  </si>
  <si>
    <t>USADO</t>
  </si>
  <si>
    <t>CORRESPONDE</t>
  </si>
  <si>
    <t>PERSONA</t>
  </si>
  <si>
    <t>AUTORIZA</t>
  </si>
  <si>
    <t>AUTORIZADOR</t>
  </si>
  <si>
    <t>DEVOLUCION</t>
  </si>
  <si>
    <t>PERSONAL.</t>
  </si>
  <si>
    <t>BODEGA</t>
  </si>
  <si>
    <t>REINGRESO</t>
  </si>
  <si>
    <t>TECNICA</t>
  </si>
  <si>
    <t>CONTRATO</t>
  </si>
  <si>
    <t>INFORME</t>
  </si>
  <si>
    <t>TECNICO</t>
  </si>
  <si>
    <t>TRANSFORMADOR</t>
  </si>
  <si>
    <t>REVISADO</t>
  </si>
  <si>
    <t>SILLAS</t>
  </si>
  <si>
    <t>PLASTICAS</t>
  </si>
  <si>
    <t>UTILIZADO.</t>
  </si>
  <si>
    <t>DOCUMENTO</t>
  </si>
  <si>
    <t>MAL</t>
  </si>
  <si>
    <t>ELABORADO</t>
  </si>
  <si>
    <t>ROPA</t>
  </si>
  <si>
    <t>CALZADO</t>
  </si>
  <si>
    <t>SOLICITADO</t>
  </si>
  <si>
    <t>UNIFORMES</t>
  </si>
  <si>
    <t>EXISTE</t>
  </si>
  <si>
    <t>REF</t>
  </si>
  <si>
    <t>SOBRANTE</t>
  </si>
  <si>
    <t>ELABORADO.</t>
  </si>
  <si>
    <t>SOBRANTE.</t>
  </si>
  <si>
    <t>MARCA</t>
  </si>
  <si>
    <t>CANTIDAD</t>
  </si>
  <si>
    <t>PERTENECE</t>
  </si>
  <si>
    <t>AREA</t>
  </si>
  <si>
    <t>CODIGOS</t>
  </si>
  <si>
    <t>PERTENESE</t>
  </si>
  <si>
    <t>REALIZA</t>
  </si>
  <si>
    <t>ENTREGA</t>
  </si>
  <si>
    <t>CAMBIO</t>
  </si>
  <si>
    <t>ROL</t>
  </si>
  <si>
    <t>ERRON</t>
  </si>
  <si>
    <t>ERRORR</t>
  </si>
  <si>
    <t>BIEN</t>
  </si>
  <si>
    <t>UTORIZADOR</t>
  </si>
  <si>
    <t>EXISTENCIA</t>
  </si>
  <si>
    <t>ENCUETRA</t>
  </si>
  <si>
    <t>AUTORIZADO</t>
  </si>
  <si>
    <t>ID</t>
  </si>
  <si>
    <t>REF:</t>
  </si>
  <si>
    <t>RE:</t>
  </si>
  <si>
    <t>REF.</t>
  </si>
  <si>
    <t>PROVEEDOR</t>
  </si>
  <si>
    <t>UTLIZADO</t>
  </si>
  <si>
    <t>UTILIZABLE.</t>
  </si>
  <si>
    <t>REPUESTO,</t>
  </si>
  <si>
    <t>BASE</t>
  </si>
  <si>
    <t>EGRESA</t>
  </si>
  <si>
    <t>BODEGA.</t>
  </si>
  <si>
    <t>MALA</t>
  </si>
  <si>
    <t>DIGITACION</t>
  </si>
  <si>
    <t>PARA</t>
  </si>
  <si>
    <t>UITILIZADO</t>
  </si>
  <si>
    <t>OCUPADO</t>
  </si>
  <si>
    <t>UTILIZAR</t>
  </si>
  <si>
    <t>REGISTRO</t>
  </si>
  <si>
    <t>USO</t>
  </si>
  <si>
    <t>CANTIDADES</t>
  </si>
  <si>
    <t>REQUERIMIENTO</t>
  </si>
  <si>
    <t>REALIZADO</t>
  </si>
  <si>
    <t>INGENIERO</t>
  </si>
  <si>
    <t>RAZON</t>
  </si>
  <si>
    <t>HABERSE</t>
  </si>
  <si>
    <t>NOVEDADES</t>
  </si>
  <si>
    <t>DELEGADO</t>
  </si>
  <si>
    <t>TECNICO,</t>
  </si>
  <si>
    <t>CONECTOR</t>
  </si>
  <si>
    <t>GARANTÍA</t>
  </si>
  <si>
    <t>TÉCNICO</t>
  </si>
  <si>
    <t>INGRESAN</t>
  </si>
  <si>
    <t>ANULACION</t>
  </si>
  <si>
    <t>Formula temporalidad</t>
  </si>
  <si>
    <t>Devolución Administrador</t>
  </si>
  <si>
    <t>Error en documento</t>
  </si>
  <si>
    <t>Etiquetas de fila</t>
  </si>
  <si>
    <t>Total general</t>
  </si>
  <si>
    <t>Recuento distinto de % &gt; 50 %</t>
  </si>
  <si>
    <t>Recuento de Grupo Temporalidad</t>
  </si>
  <si>
    <t>Contratista</t>
  </si>
  <si>
    <t>Personal EEQ</t>
  </si>
  <si>
    <t>Recuento de % &gt; 50 %</t>
  </si>
  <si>
    <t>Suma de cantidad reingresada</t>
  </si>
  <si>
    <t>Promedio de Temporalidad (dias)</t>
  </si>
  <si>
    <t>Promedio de % &gt; 50 %</t>
  </si>
  <si>
    <t>SECC.ILUMINACION</t>
  </si>
  <si>
    <t>EQUIPO DE CONTROL AUTOMATICO DE ALUMBRADO PUBLICO DE 30 A</t>
  </si>
  <si>
    <t>121 -180 DIAS</t>
  </si>
  <si>
    <t>EPICLACHIMA</t>
  </si>
  <si>
    <t>MATERIAL NO UTILIZADO.</t>
  </si>
  <si>
    <t>SELVA ALEGRE - PRINCIPAL</t>
  </si>
  <si>
    <t>1791996658001</t>
  </si>
  <si>
    <t>MEGAELEC CIA. LTDA.</t>
  </si>
  <si>
    <t>PAPELERIA</t>
  </si>
  <si>
    <t>ALCOHOL ANTISEPTICO 70%</t>
  </si>
  <si>
    <t>CONSORCIO DAVSET</t>
  </si>
  <si>
    <t>Temporalidad (dias)</t>
  </si>
  <si>
    <t>Grupo Temporalidad</t>
  </si>
  <si>
    <t>Motivos</t>
  </si>
  <si>
    <t>Tipo de personal</t>
  </si>
  <si>
    <t>1793060889001</t>
  </si>
  <si>
    <t>SECCION SERVICIO MEDICO-DENTAL</t>
  </si>
  <si>
    <t>19122</t>
  </si>
  <si>
    <t>DORIS PATRICIA LOZA NARVAEZ</t>
  </si>
  <si>
    <t>DISYUNTOR DE POTENCIA TRIFASICO TANQUE MUERTO, 46 KV, 1200 A, SF6 POLOS INDIVIDUALES CON TC.</t>
  </si>
  <si>
    <t>MATERIAL RETIRADO DE LA S/E SUR.</t>
  </si>
  <si>
    <t>26503</t>
  </si>
  <si>
    <t>GEOVANNY VICENTE SANTILLAN YAGUAL</t>
  </si>
  <si>
    <t>RESMA DE PAPEL BOND A4 DE 75 GR</t>
  </si>
  <si>
    <t>ERROR EN ROL AUTORIZADOR</t>
  </si>
  <si>
    <t>GRUPO 7 MTTO.RED AEREA</t>
  </si>
  <si>
    <t>40181</t>
  </si>
  <si>
    <t>ANGEL ESTUARDO FARIAS DELGADO</t>
  </si>
  <si>
    <t>0 - 60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</si>
</sst>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0000000"/>
    <numFmt numFmtId="165" formatCode="00"/>
  </numFmts>
  <fonts count="10" x14ac:knownFonts="1">
    <font>
      <sz val="10"/>
      <color indexed="64"/>
      <name val="Arial"/>
      <charset val="1"/>
    </font>
    <font>
      <sz val="10"/>
      <color indexed="64"/>
      <name val="Arial"/>
      <family val="2"/>
    </font>
    <font>
      <b/>
      <sz val="10"/>
      <color indexed="64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Calibri"/>
      <family val="2"/>
    </font>
    <font>
      <sz val="10"/>
      <color theme="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44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0" xfId="0" applyNumberFormat="1" applyAlignment="1">
      <alignment vertical="center"/>
    </xf>
    <xf numFmtId="49" fontId="0" fillId="0" borderId="0" xfId="0" applyNumberFormat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49" fontId="0" fillId="0" borderId="0" xfId="0" applyNumberFormat="1" applyAlignment="1">
      <alignment vertical="center"/>
    </xf>
    <xf numFmtId="0" fontId="2" fillId="0" borderId="1" xfId="0" applyFont="1" applyBorder="1" applyAlignment="1">
      <alignment horizontal="left" vertical="center" wrapText="1"/>
    </xf>
    <xf numFmtId="0" fontId="1" fillId="0" borderId="0" xfId="0" applyFont="1" applyAlignment="1">
      <alignment vertical="center"/>
    </xf>
    <xf numFmtId="164" fontId="0" fillId="0" borderId="0" xfId="0" applyNumberFormat="1"/>
    <xf numFmtId="165" fontId="0" fillId="0" borderId="0" xfId="0" applyNumberFormat="1"/>
    <xf numFmtId="14" fontId="0" fillId="0" borderId="0" xfId="0" applyNumberFormat="1"/>
    <xf numFmtId="49" fontId="0" fillId="0" borderId="0" xfId="0" applyNumberFormat="1"/>
    <xf numFmtId="0" fontId="1" fillId="0" borderId="0" xfId="0" applyFont="1"/>
    <xf numFmtId="0" fontId="4" fillId="0" borderId="0" xfId="0" applyFont="1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Fill="1"/>
    <xf numFmtId="0" fontId="0" fillId="0" borderId="0" xfId="0" applyFill="1" applyAlignment="1">
      <alignment horizontal="left"/>
    </xf>
    <xf numFmtId="2" fontId="0" fillId="0" borderId="0" xfId="0" applyNumberFormat="1" applyFill="1"/>
    <xf numFmtId="0" fontId="0" fillId="0" borderId="0" xfId="0" pivotButton="1"/>
    <xf numFmtId="164" fontId="1" fillId="0" borderId="0" xfId="1" applyNumberFormat="1"/>
    <xf numFmtId="0" fontId="1" fillId="0" borderId="0" xfId="1"/>
    <xf numFmtId="165" fontId="1" fillId="0" borderId="0" xfId="1" applyNumberFormat="1"/>
    <xf numFmtId="14" fontId="1" fillId="0" borderId="0" xfId="1" applyNumberFormat="1"/>
    <xf numFmtId="49" fontId="1" fillId="0" borderId="0" xfId="1" applyNumberFormat="1"/>
    <xf numFmtId="1" fontId="0" fillId="0" borderId="0" xfId="0" applyNumberFormat="1" applyAlignment="1">
      <alignment vertical="center"/>
    </xf>
    <xf numFmtId="1" fontId="2" fillId="0" borderId="1" xfId="0" applyNumberFormat="1" applyFont="1" applyBorder="1" applyAlignment="1">
      <alignment horizontal="center" vertical="center" wrapText="1"/>
    </xf>
    <xf numFmtId="1" fontId="1" fillId="0" borderId="0" xfId="1" applyNumberFormat="1"/>
    <xf numFmtId="1" fontId="0" fillId="0" borderId="0" xfId="0" applyNumberFormat="1"/>
    <xf numFmtId="0" fontId="5" fillId="3" borderId="1" xfId="0" applyFont="1" applyFill="1" applyBorder="1" applyAlignment="1">
      <alignment horizontal="center" vertical="center" wrapText="1"/>
    </xf>
    <xf numFmtId="1" fontId="5" fillId="3" borderId="1" xfId="0" applyNumberFormat="1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6" fillId="3" borderId="0" xfId="0" applyFont="1" applyFill="1"/>
    <xf numFmtId="0" fontId="1" fillId="4" borderId="0" xfId="2" applyFill="1"/>
    <xf numFmtId="164" fontId="1" fillId="4" borderId="0" xfId="2" applyNumberFormat="1" applyFill="1"/>
    <xf numFmtId="1" fontId="8" fillId="0" borderId="0" xfId="0" applyNumberFormat="1" applyFont="1" applyFill="1" applyAlignment="1">
      <alignment vertical="center"/>
    </xf>
    <xf numFmtId="2" fontId="0" fillId="0" borderId="0" xfId="0" applyNumberFormat="1"/>
    <xf numFmtId="1" fontId="9" fillId="0" borderId="0" xfId="0" applyNumberFormat="1" applyFont="1" applyFill="1" applyAlignment="1">
      <alignment vertical="center"/>
    </xf>
  </cellXfs>
  <cellStyles count="3">
    <cellStyle name="Normal" xfId="0" builtinId="0"/>
    <cellStyle name="Normal 2" xfId="2" xr:uid="{2CCE62C3-197D-4D66-A076-F1925E5FD17E}"/>
    <cellStyle name="Normal_INGRESO_DATOS" xfId="1" xr:uid="{ECF97871-3E53-4B74-9BEF-AD114EC4CD3C}"/>
  </cellStyles>
  <dxfs count="15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00B0F0"/>
        </patternFill>
      </fill>
      <alignment horizontal="center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64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numFmt numFmtId="1" formatCode="0"/>
    </dxf>
    <dxf>
      <numFmt numFmtId="30" formatCode="@"/>
    </dxf>
    <dxf>
      <numFmt numFmtId="19" formatCode="d/m/yyyy"/>
    </dxf>
    <dxf>
      <numFmt numFmtId="19" formatCode="d/m/yyyy"/>
    </dxf>
    <dxf>
      <numFmt numFmtId="165" formatCode="00"/>
    </dxf>
    <dxf>
      <numFmt numFmtId="164" formatCode="00000000"/>
    </dxf>
    <dxf>
      <numFmt numFmtId="2" formatCode="0.00"/>
    </dxf>
    <dxf>
      <font>
        <sz val="9"/>
        <color theme="0"/>
        <name val="Calibri"/>
        <family val="2"/>
        <scheme val="minor"/>
      </font>
    </dxf>
    <dxf>
      <font>
        <sz val="8"/>
      </font>
      <fill>
        <patternFill patternType="none">
          <fgColor indexed="64"/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9"/>
        <color theme="0"/>
      </font>
      <fill>
        <patternFill patternType="none">
          <bgColor auto="1"/>
        </patternFill>
      </fill>
      <border diagonalUp="0" diagonalDown="0">
        <left/>
        <right/>
        <top/>
        <bottom/>
        <vertical/>
        <horizontal/>
      </border>
    </dxf>
    <dxf>
      <font>
        <sz val="9"/>
        <color theme="1"/>
      </font>
      <fill>
        <patternFill patternType="solid">
          <bgColor theme="1" tint="0.1499679555650502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Estilo de escala de tiempo 1" pivot="0" table="0" count="8" xr9:uid="{CB87FC0E-A938-417A-A926-6B1D6CF7879E}">
      <tableStyleElement type="wholeTable" dxfId="12"/>
      <tableStyleElement type="headerRow" dxfId="11"/>
    </tableStyle>
    <tableStyle name="SlicerStyleDark5 2" pivot="0" table="0" count="10" xr9:uid="{12A1EA42-4306-4136-9ABD-0CB124B52E79}">
      <tableStyleElement type="wholeTable" dxfId="14"/>
      <tableStyleElement type="headerRow" dxfId="13"/>
    </tableStyle>
  </tableStyles>
  <extLst>
    <ext xmlns:x14="http://schemas.microsoft.com/office/spreadsheetml/2009/9/main" uri="{46F421CA-312F-682f-3DD2-61675219B42D}">
      <x14:dxfs count="8">
        <dxf>
          <font>
            <sz val="8"/>
            <color rgb="FF000000"/>
          </font>
          <fill>
            <patternFill patternType="solid">
              <fgColor auto="1"/>
              <bgColor theme="7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8"/>
            <color rgb="FF000000"/>
          </font>
          <fill>
            <patternFill patternType="solid">
              <fgColor auto="1"/>
              <bgColor theme="7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8"/>
            <color rgb="FF000000"/>
          </font>
          <fill>
            <patternFill patternType="solid">
              <fgColor auto="1"/>
              <bgColor theme="7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8"/>
            <color rgb="FF000000"/>
          </font>
          <fill>
            <patternFill patternType="solid">
              <fgColor auto="1"/>
              <bgColor theme="7" tint="0.79998168889431442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8"/>
            <color theme="8" tint="-0.249977111117893"/>
          </font>
          <fill>
            <patternFill patternType="solid">
              <fgColor theme="8" tint="0.59999389629810485"/>
              <bgColor theme="8" tint="0.5999938962981048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8"/>
            <color theme="0"/>
            <name val="Calibri Light"/>
            <family val="2"/>
            <scheme val="major"/>
          </font>
          <fill>
            <patternFill patternType="solid">
              <fgColor theme="8" tint="-0.24994659260841701"/>
              <bgColor theme="8" tint="-0.2499465926084170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8"/>
            <color rgb="FF959595"/>
          </font>
          <fill>
            <patternFill patternType="none">
              <fgColor indexed="64"/>
              <bgColor auto="1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sz val="8"/>
            <color rgb="FF000000"/>
          </font>
          <fill>
            <patternFill patternType="solid">
              <fgColor rgb="FFC0C0C0"/>
              <bgColor theme="8" tint="0.39994506668294322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Dark5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6">
        <dxf>
          <fill>
            <patternFill patternType="solid">
              <fgColor theme="0" tint="-0.14999847407452621"/>
              <bgColor theme="0" tint="-0.14999847407452621"/>
            </patternFill>
          </fill>
        </dxf>
        <dxf>
          <fill>
            <patternFill patternType="solid">
              <fgColor theme="0"/>
              <bgColor theme="8" tint="-0.24994659260841701"/>
            </patternFill>
          </fill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  <dxf>
          <font>
            <sz val="8"/>
            <color theme="0"/>
            <name val="Calibri"/>
            <family val="2"/>
            <scheme val="minor"/>
          </font>
        </dxf>
        <dxf>
          <font>
            <sz val="8"/>
            <color theme="1" tint="0.499984740745262"/>
            <name val="Calibri"/>
            <family val="2"/>
            <scheme val="minor"/>
          </font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Estilo de escala de tiempo 1">
          <x15:timelineStyleElements>
            <x15:timelineStyleElement type="selectionLabel" dxfId="5"/>
            <x15:timelineStyleElement type="timeLevel" dxfId="4"/>
            <x15:timelineStyleElement type="periodLabel1" dxfId="3"/>
            <x15:timelineStyleElement type="periodLabel2" dxfId="2"/>
            <x15:timelineStyleElement type="selectedTimeBlock" dxfId="1"/>
            <x15:timelineStyleElement type="unselectedTimeBlock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pivotCacheDefinition" Target="pivotCache/pivotCacheDefinition8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pivotCacheDefinition" Target="pivotCache/pivotCacheDefinition2.xml"/><Relationship Id="rId12" Type="http://schemas.openxmlformats.org/officeDocument/2006/relationships/pivotCacheDefinition" Target="pivotCache/pivotCacheDefinition7.xml"/><Relationship Id="rId17" Type="http://schemas.microsoft.com/office/2011/relationships/timelineCache" Target="timelineCaches/timelineCache1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9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pivotCacheDefinition" Target="pivotCache/pivotCacheDefinition6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calcChain" Target="calcChain.xml"/><Relationship Id="rId10" Type="http://schemas.openxmlformats.org/officeDocument/2006/relationships/pivotCacheDefinition" Target="pivotCache/pivotCacheDefinition5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7/relationships/slicerCache" Target="slicerCaches/slicerCache1.xml"/><Relationship Id="rId22" Type="http://schemas.openxmlformats.org/officeDocument/2006/relationships/powerPivotData" Target="model/item.data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[ANALISIS_dashboard.xlsm]TABLA!Tabla dinámica22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TABLA!$B$2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TABLA!$A$3:$A$6</c:f>
              <c:strCache>
                <c:ptCount val="3"/>
                <c:pt idx="0">
                  <c:v>Error en documento</c:v>
                </c:pt>
                <c:pt idx="1">
                  <c:v>Material no retirado</c:v>
                </c:pt>
                <c:pt idx="2">
                  <c:v>Material no utilizado</c:v>
                </c:pt>
              </c:strCache>
            </c:strRef>
          </c:cat>
          <c:val>
            <c:numRef>
              <c:f>TABLA!$B$3:$B$6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E72B-4094-B525-4147D779C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[ANALISIS_dashboard.xlsm]TABLA!Tabla dinámica1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TABLA!$G$3:$G$7</c:f>
              <c:strCache>
                <c:ptCount val="4"/>
                <c:pt idx="0">
                  <c:v>DEPTO.DE INSTALACIONES</c:v>
                </c:pt>
                <c:pt idx="1">
                  <c:v>GRUPO 7 MTTO.RED AEREA</c:v>
                </c:pt>
                <c:pt idx="2">
                  <c:v>SECC.ILUMINACION</c:v>
                </c:pt>
                <c:pt idx="3">
                  <c:v>SECCION SERVICIO MEDICO-DENTAL</c:v>
                </c:pt>
              </c:strCache>
            </c:strRef>
          </c:cat>
          <c:val>
            <c:numRef>
              <c:f>TABLA!$H$3:$H$7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B06-4446-9B0B-A6DDE4A2E0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45327040"/>
        <c:axId val="840839920"/>
      </c:barChart>
      <c:catAx>
        <c:axId val="84532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40839920"/>
        <c:crosses val="autoZero"/>
        <c:auto val="1"/>
        <c:lblAlgn val="ctr"/>
        <c:lblOffset val="100"/>
        <c:noMultiLvlLbl val="0"/>
      </c:catAx>
      <c:valAx>
        <c:axId val="84083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4532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[ANALISIS_dashboard.xlsm]TABLA!Tabla dinámica2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TABLA!$M$2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TABLA!$L$3:$L$8</c:f>
              <c:strCache>
                <c:ptCount val="5"/>
                <c:pt idx="0">
                  <c:v>ALCOHOL ANTISEPTICO 70%</c:v>
                </c:pt>
                <c:pt idx="1">
                  <c:v>CAJA DE DISTRIBUCION TRIFASICA, 3 FASES Y 1 NEUTRO, CON TAPA DE SEGURIDAD</c:v>
                </c:pt>
                <c:pt idx="2">
                  <c:v>DISYUNTOR DE POTENCIA TRIFASICO TANQUE MUERTO, 46 KV, 1200 A, SF6 POLOS INDIVIDUALES CON TC.</c:v>
                </c:pt>
                <c:pt idx="3">
                  <c:v>EQUIPO DE CONTROL AUTOMATICO DE ALUMBRADO PUBLICO DE 30 A</c:v>
                </c:pt>
                <c:pt idx="4">
                  <c:v>RESMA DE PAPEL BOND A4 DE 75 GR</c:v>
                </c:pt>
              </c:strCache>
            </c:strRef>
          </c:cat>
          <c:val>
            <c:numRef>
              <c:f>TABLA!$M$3:$M$8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1C-4319-A2DB-C179F42B5B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44664384"/>
        <c:axId val="844663600"/>
      </c:barChart>
      <c:catAx>
        <c:axId val="844664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44663600"/>
        <c:crosses val="autoZero"/>
        <c:auto val="1"/>
        <c:lblAlgn val="ctr"/>
        <c:lblOffset val="100"/>
        <c:noMultiLvlLbl val="0"/>
      </c:catAx>
      <c:valAx>
        <c:axId val="844663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4466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[ANALISIS_dashboard.xlsm]TABLA!Tabla dinámica3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TABLA!$S$2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TABLA!$R$3:$R$5</c:f>
              <c:strCache>
                <c:ptCount val="2"/>
                <c:pt idx="0">
                  <c:v>0 - 60 DIAS</c:v>
                </c:pt>
                <c:pt idx="1">
                  <c:v>121 -180 DIAS</c:v>
                </c:pt>
              </c:strCache>
            </c:strRef>
          </c:cat>
          <c:val>
            <c:numRef>
              <c:f>TABLA!$S$3:$S$5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2160-43CC-857B-16C8A0B93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[ANALISIS_dashboard.xlsm]TABLA!Tabla dinámica4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TABLA!$AA$2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TABLA!$Z$3:$Z$5</c:f>
              <c:strCache>
                <c:ptCount val="2"/>
                <c:pt idx="0">
                  <c:v>Contratista</c:v>
                </c:pt>
                <c:pt idx="1">
                  <c:v>Personal EEQ</c:v>
                </c:pt>
              </c:strCache>
            </c:strRef>
          </c:cat>
          <c:val>
            <c:numRef>
              <c:f>TABLA!$AA$3:$AA$5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245-4C20-A401-50282CD7DF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[ANALISIS_dashboard.xlsm]TABLA!Tabla dinámica5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TABLA!$AG$2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TABLA!$AF$3:$AF$7</c:f>
              <c:strCache>
                <c:ptCount val="4"/>
                <c:pt idx="0">
                  <c:v>DEPTO.DE INSTALACIONES</c:v>
                </c:pt>
                <c:pt idx="1">
                  <c:v>GRUPO 7 MTTO.RED AEREA</c:v>
                </c:pt>
                <c:pt idx="2">
                  <c:v>SECC.ILUMINACION</c:v>
                </c:pt>
                <c:pt idx="3">
                  <c:v>SECCION SERVICIO MEDICO-DENTAL</c:v>
                </c:pt>
              </c:strCache>
            </c:strRef>
          </c:cat>
          <c:val>
            <c:numRef>
              <c:f>TABLA!$AG$3:$AG$7</c:f>
              <c:numCache>
                <c:formatCode>General</c:formatCode>
                <c:ptCount val="4"/>
                <c:pt idx="0">
                  <c:v>529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AA1-456E-A2DC-4E7852A56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847787288"/>
        <c:axId val="847787680"/>
      </c:barChart>
      <c:catAx>
        <c:axId val="847787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47787680"/>
        <c:crosses val="autoZero"/>
        <c:auto val="1"/>
        <c:lblAlgn val="ctr"/>
        <c:lblOffset val="100"/>
        <c:noMultiLvlLbl val="0"/>
      </c:catAx>
      <c:valAx>
        <c:axId val="84778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47787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[ANALISIS_dashboard.xlsm]TABLA!Tabla dinámica22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bg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MOTIVO DE REINGRESOS</a:t>
            </a:r>
          </a:p>
        </c:rich>
      </c:tx>
      <c:layout>
        <c:manualLayout>
          <c:xMode val="edge"/>
          <c:yMode val="edge"/>
          <c:x val="0.33216783309058312"/>
          <c:y val="3.808109001872784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bg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gradFill rotWithShape="1">
            <a:gsLst>
              <a:gs pos="0">
                <a:schemeClr val="accent1">
                  <a:tint val="54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54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54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6"/>
        <c:spPr>
          <a:gradFill rotWithShape="1">
            <a:gsLst>
              <a:gs pos="0">
                <a:schemeClr val="accent1">
                  <a:tint val="77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tint val="77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tint val="77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solidFill>
            <a:schemeClr val="accent5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hade val="53000"/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hade val="53000"/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shade val="53000"/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5831278599246229E-2"/>
          <c:y val="0.16064779832186188"/>
          <c:w val="0.49365370207090281"/>
          <c:h val="0.78495064450852692"/>
        </c:manualLayout>
      </c:layout>
      <c:pieChart>
        <c:varyColors val="1"/>
        <c:ser>
          <c:idx val="0"/>
          <c:order val="0"/>
          <c:tx>
            <c:strRef>
              <c:f>TABLA!$B$2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tint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1">
                      <a:shade val="65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65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65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TABLA!$A$3:$A$6</c:f>
              <c:strCache>
                <c:ptCount val="3"/>
                <c:pt idx="0">
                  <c:v>Error en documento</c:v>
                </c:pt>
                <c:pt idx="1">
                  <c:v>Material no retirado</c:v>
                </c:pt>
                <c:pt idx="2">
                  <c:v>Material no utilizado</c:v>
                </c:pt>
              </c:strCache>
            </c:strRef>
          </c:cat>
          <c:val>
            <c:numRef>
              <c:f>TABLA!$B$3:$B$6</c:f>
              <c:numCache>
                <c:formatCode>General</c:formatCode>
                <c:ptCount val="3"/>
                <c:pt idx="0">
                  <c:v>2</c:v>
                </c:pt>
                <c:pt idx="1">
                  <c:v>1</c:v>
                </c:pt>
                <c:pt idx="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1E6B-4C3F-8A31-D2F6CFBAA58E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42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189405093453351"/>
          <c:y val="0.35908197586455642"/>
          <c:w val="0.30765168635103241"/>
          <c:h val="0.275409810785387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[ANALISIS_dashboard.xlsm]TABLA!Tabla dinámica1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bg1"/>
                </a:solidFill>
              </a:rPr>
              <a:t>ÁREAS</a:t>
            </a:r>
            <a:r>
              <a:rPr lang="en-US" baseline="0">
                <a:solidFill>
                  <a:schemeClr val="bg1"/>
                </a:solidFill>
              </a:rPr>
              <a:t> DE LA EEQ</a:t>
            </a:r>
            <a:endParaRPr lang="en-US">
              <a:solidFill>
                <a:schemeClr val="bg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TABLA!$H$2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TABLA!$G$3:$G$7</c:f>
              <c:strCache>
                <c:ptCount val="4"/>
                <c:pt idx="0">
                  <c:v>DEPTO.DE INSTALACIONES</c:v>
                </c:pt>
                <c:pt idx="1">
                  <c:v>GRUPO 7 MTTO.RED AEREA</c:v>
                </c:pt>
                <c:pt idx="2">
                  <c:v>SECC.ILUMINACION</c:v>
                </c:pt>
                <c:pt idx="3">
                  <c:v>SECCION SERVICIO MEDICO-DENTAL</c:v>
                </c:pt>
              </c:strCache>
            </c:strRef>
          </c:cat>
          <c:val>
            <c:numRef>
              <c:f>TABLA!$H$3:$H$7</c:f>
              <c:numCache>
                <c:formatCode>General</c:formatCode>
                <c:ptCount val="4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8C5-4B7C-9AAC-8F5B896CE4D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35"/>
        <c:axId val="845327040"/>
        <c:axId val="840839920"/>
      </c:barChart>
      <c:catAx>
        <c:axId val="84532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40839920"/>
        <c:crosses val="autoZero"/>
        <c:auto val="1"/>
        <c:lblAlgn val="ctr"/>
        <c:lblOffset val="100"/>
        <c:noMultiLvlLbl val="0"/>
      </c:catAx>
      <c:valAx>
        <c:axId val="840839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5327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[ANALISIS_dashboard.xlsm]TABLA!Tabla dinámica2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MATERIAL REINGRESADO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noFill/>
          <a:ln w="9525" cap="flat" cmpd="sng" algn="ctr">
            <a:solidFill>
              <a:schemeClr val="accent5">
                <a:lumMod val="75000"/>
              </a:schemeClr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TABLA!$M$2</c:f>
              <c:strCache>
                <c:ptCount val="1"/>
                <c:pt idx="0">
                  <c:v>Total</c:v>
                </c:pt>
              </c:strCache>
            </c:strRef>
          </c:tx>
          <c:spPr>
            <a:noFill/>
            <a:ln w="9525" cap="flat" cmpd="sng" algn="ctr">
              <a:solidFill>
                <a:schemeClr val="accent5">
                  <a:lumMod val="75000"/>
                </a:schemeClr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50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TABLA!$L$3:$L$8</c:f>
              <c:strCache>
                <c:ptCount val="5"/>
                <c:pt idx="0">
                  <c:v>ALCOHOL ANTISEPTICO 70%</c:v>
                </c:pt>
                <c:pt idx="1">
                  <c:v>CAJA DE DISTRIBUCION TRIFASICA, 3 FASES Y 1 NEUTRO, CON TAPA DE SEGURIDAD</c:v>
                </c:pt>
                <c:pt idx="2">
                  <c:v>DISYUNTOR DE POTENCIA TRIFASICO TANQUE MUERTO, 46 KV, 1200 A, SF6 POLOS INDIVIDUALES CON TC.</c:v>
                </c:pt>
                <c:pt idx="3">
                  <c:v>EQUIPO DE CONTROL AUTOMATICO DE ALUMBRADO PUBLICO DE 30 A</c:v>
                </c:pt>
                <c:pt idx="4">
                  <c:v>RESMA DE PAPEL BOND A4 DE 75 GR</c:v>
                </c:pt>
              </c:strCache>
            </c:strRef>
          </c:cat>
          <c:val>
            <c:numRef>
              <c:f>TABLA!$M$3:$M$8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E59-469B-A9D9-F21F6222F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-50"/>
        <c:axId val="844664384"/>
        <c:axId val="844663600"/>
      </c:barChart>
      <c:catAx>
        <c:axId val="84466438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0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44663600"/>
        <c:crosses val="autoZero"/>
        <c:auto val="1"/>
        <c:lblAlgn val="l"/>
        <c:lblOffset val="100"/>
        <c:noMultiLvlLbl val="0"/>
      </c:catAx>
      <c:valAx>
        <c:axId val="84466360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84466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</c14:pivotOptions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[ANALISIS_dashboard.xlsm]TABLA!Tabla dinámica3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TEMPORALIDAD DE REINGRESOS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5">
              <a:lumMod val="75000"/>
            </a:schemeClr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1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22"/>
        <c:spPr>
          <a:solidFill>
            <a:schemeClr val="accent1"/>
          </a:soli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TABLA!$S$2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TABLA!$R$3:$R$5</c:f>
              <c:strCache>
                <c:ptCount val="2"/>
                <c:pt idx="0">
                  <c:v>0 - 60 DIAS</c:v>
                </c:pt>
                <c:pt idx="1">
                  <c:v>121 -180 DIAS</c:v>
                </c:pt>
              </c:strCache>
            </c:strRef>
          </c:cat>
          <c:val>
            <c:numRef>
              <c:f>TABLA!$S$3:$S$5</c:f>
              <c:numCache>
                <c:formatCode>General</c:formatCode>
                <c:ptCount val="2"/>
                <c:pt idx="0">
                  <c:v>4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91F-49A0-BA90-BE92B9E754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8219964439928871"/>
          <c:y val="0.29969634077430463"/>
          <c:w val="0.18070358140716281"/>
          <c:h val="0.150906488801575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[ANALISIS_dashboard.xlsm]TABLA!Tabla dinámica4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PERSONAL QUE REALIZA EL REINGRESO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  <c:pivotFmt>
        <c:idx val="2"/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4200000" algn="ctr" rotWithShape="0">
              <a:srgbClr val="000000">
                <a:alpha val="63000"/>
              </a:srgbClr>
            </a:outerShdw>
          </a:effectLst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4200000" algn="ctr" rotWithShape="0">
              <a:srgbClr val="000000">
                <a:alpha val="63000"/>
              </a:srgbClr>
            </a:outerShdw>
          </a:effectLst>
          <a:sp3d/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  <a:sp3d/>
        </c:spPr>
      </c:pivotFmt>
    </c:pivotFmts>
    <c:view3D>
      <c:rotX val="30"/>
      <c:rotY val="32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4.3501556138025192E-2"/>
          <c:y val="0.26691996161770104"/>
          <c:w val="0.90267000524322405"/>
          <c:h val="0.56107442214884429"/>
        </c:manualLayout>
      </c:layout>
      <c:pie3DChart>
        <c:varyColors val="1"/>
        <c:ser>
          <c:idx val="0"/>
          <c:order val="0"/>
          <c:tx>
            <c:strRef>
              <c:f>TABLA!$AA$2</c:f>
              <c:strCache>
                <c:ptCount val="1"/>
                <c:pt idx="0">
                  <c:v>Total</c:v>
                </c:pt>
              </c:strCache>
            </c:strRef>
          </c:tx>
          <c:spPr>
            <a:effectLst>
              <a:outerShdw blurRad="57150" dist="19050" dir="4200000" algn="ctr" rotWithShape="0">
                <a:srgbClr val="000000">
                  <a:alpha val="63000"/>
                </a:srgbClr>
              </a:outerShdw>
            </a:effectLst>
          </c:spPr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76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hade val="76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shade val="76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42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1">
                      <a:tint val="77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tint val="77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tint val="77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TABLA!$Z$3:$Z$5</c:f>
              <c:strCache>
                <c:ptCount val="2"/>
                <c:pt idx="0">
                  <c:v>Contratista</c:v>
                </c:pt>
                <c:pt idx="1">
                  <c:v>Personal EEQ</c:v>
                </c:pt>
              </c:strCache>
            </c:strRef>
          </c:cat>
          <c:val>
            <c:numRef>
              <c:f>TABLA!$AA$3:$AA$5</c:f>
              <c:numCache>
                <c:formatCode>General</c:formatCode>
                <c:ptCount val="2"/>
                <c:pt idx="0">
                  <c:v>2</c:v>
                </c:pt>
                <c:pt idx="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AA4-432D-A401-D3E796966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[ANALISIS_dashboard.xlsm]TABLA!Tabla dinámica5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ÁREAS DE LA EEQ VS CANTIDAD MATERIAL REINGRESADO</a:t>
            </a:r>
            <a:endParaRPr lang="es-EC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75000"/>
            </a:schemeClr>
          </a:solidFill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C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TABLA!$AG$2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75000"/>
              </a:schemeClr>
            </a:solidFill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TABLA!$AF$3:$AF$7</c:f>
              <c:strCache>
                <c:ptCount val="4"/>
                <c:pt idx="0">
                  <c:v>DEPTO.DE INSTALACIONES</c:v>
                </c:pt>
                <c:pt idx="1">
                  <c:v>GRUPO 7 MTTO.RED AEREA</c:v>
                </c:pt>
                <c:pt idx="2">
                  <c:v>SECC.ILUMINACION</c:v>
                </c:pt>
                <c:pt idx="3">
                  <c:v>SECCION SERVICIO MEDICO-DENTAL</c:v>
                </c:pt>
              </c:strCache>
            </c:strRef>
          </c:cat>
          <c:val>
            <c:numRef>
              <c:f>TABLA!$AG$3:$AG$7</c:f>
              <c:numCache>
                <c:formatCode>General</c:formatCode>
                <c:ptCount val="4"/>
                <c:pt idx="0">
                  <c:v>529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E2-4AEE-8349-1A7D107E46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1"/>
        <c:axId val="847787288"/>
        <c:axId val="847787680"/>
      </c:barChart>
      <c:catAx>
        <c:axId val="847787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847787680"/>
        <c:crosses val="autoZero"/>
        <c:auto val="1"/>
        <c:lblAlgn val="ctr"/>
        <c:lblOffset val="100"/>
        <c:noMultiLvlLbl val="0"/>
      </c:catAx>
      <c:valAx>
        <c:axId val="847787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47787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339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</a:schemeClr>
            </a:gs>
            <a:gs pos="100000">
              <a:schemeClr val="dk1">
                <a:lumMod val="75000"/>
                <a:lumOff val="25000"/>
              </a:schemeClr>
            </a:gs>
          </a:gsLst>
          <a:lin ang="10800000" scaled="0"/>
        </a:gradFill>
        <a:round/>
      </a:ln>
      <a:effectLst/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0</xdr:row>
          <xdr:rowOff>38100</xdr:rowOff>
        </xdr:from>
        <xdr:to>
          <xdr:col>1</xdr:col>
          <xdr:colOff>2400300</xdr:colOff>
          <xdr:row>1</xdr:row>
          <xdr:rowOff>106680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PREPROCESAMIENTO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2598420</xdr:colOff>
          <xdr:row>0</xdr:row>
          <xdr:rowOff>38100</xdr:rowOff>
        </xdr:from>
        <xdr:to>
          <xdr:col>2</xdr:col>
          <xdr:colOff>457200</xdr:colOff>
          <xdr:row>1</xdr:row>
          <xdr:rowOff>99060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C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152400</xdr:rowOff>
    </xdr:from>
    <xdr:to>
      <xdr:col>5</xdr:col>
      <xdr:colOff>200025</xdr:colOff>
      <xdr:row>17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9525</xdr:colOff>
      <xdr:row>1</xdr:row>
      <xdr:rowOff>0</xdr:rowOff>
    </xdr:from>
    <xdr:to>
      <xdr:col>10</xdr:col>
      <xdr:colOff>552450</xdr:colOff>
      <xdr:row>17</xdr:row>
      <xdr:rowOff>152400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9525</xdr:colOff>
      <xdr:row>0</xdr:row>
      <xdr:rowOff>152400</xdr:rowOff>
    </xdr:from>
    <xdr:to>
      <xdr:col>16</xdr:col>
      <xdr:colOff>2295525</xdr:colOff>
      <xdr:row>17</xdr:row>
      <xdr:rowOff>142875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19050</xdr:colOff>
      <xdr:row>0</xdr:row>
      <xdr:rowOff>152400</xdr:rowOff>
    </xdr:from>
    <xdr:to>
      <xdr:col>24</xdr:col>
      <xdr:colOff>781050</xdr:colOff>
      <xdr:row>17</xdr:row>
      <xdr:rowOff>142875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38100</xdr:colOff>
      <xdr:row>1</xdr:row>
      <xdr:rowOff>0</xdr:rowOff>
    </xdr:from>
    <xdr:to>
      <xdr:col>30</xdr:col>
      <xdr:colOff>866775</xdr:colOff>
      <xdr:row>17</xdr:row>
      <xdr:rowOff>152400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1943100</xdr:colOff>
      <xdr:row>0</xdr:row>
      <xdr:rowOff>142875</xdr:rowOff>
    </xdr:from>
    <xdr:to>
      <xdr:col>39</xdr:col>
      <xdr:colOff>628650</xdr:colOff>
      <xdr:row>17</xdr:row>
      <xdr:rowOff>133350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0</xdr:col>
      <xdr:colOff>769620</xdr:colOff>
      <xdr:row>18</xdr:row>
      <xdr:rowOff>83820</xdr:rowOff>
    </xdr:from>
    <xdr:to>
      <xdr:col>3</xdr:col>
      <xdr:colOff>685800</xdr:colOff>
      <xdr:row>26</xdr:row>
      <xdr:rowOff>114300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8" name="fecha reingreso 1">
              <a:extLst>
                <a:ext uri="{FF2B5EF4-FFF2-40B4-BE49-F238E27FC236}">
                  <a16:creationId xmlns:a16="http://schemas.microsoft.com/office/drawing/2014/main" id="{D9E48DF6-D883-4388-836E-CDF88B09122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 reingres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69620" y="310134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784860</xdr:colOff>
      <xdr:row>27</xdr:row>
      <xdr:rowOff>144780</xdr:rowOff>
    </xdr:from>
    <xdr:to>
      <xdr:col>1</xdr:col>
      <xdr:colOff>1424940</xdr:colOff>
      <xdr:row>41</xdr:row>
      <xdr:rowOff>36195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9" name="Motivos">
              <a:extLst>
                <a:ext uri="{FF2B5EF4-FFF2-40B4-BE49-F238E27FC236}">
                  <a16:creationId xmlns:a16="http://schemas.microsoft.com/office/drawing/2014/main" id="{713E70DE-96F6-4D9A-BF23-B2BF2F2EFA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tivos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4860" y="4671060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1394460</xdr:colOff>
      <xdr:row>27</xdr:row>
      <xdr:rowOff>129540</xdr:rowOff>
    </xdr:from>
    <xdr:to>
      <xdr:col>4</xdr:col>
      <xdr:colOff>198120</xdr:colOff>
      <xdr:row>41</xdr:row>
      <xdr:rowOff>20955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10" name="Nombre C.Costo 1">
              <a:extLst>
                <a:ext uri="{FF2B5EF4-FFF2-40B4-BE49-F238E27FC236}">
                  <a16:creationId xmlns:a16="http://schemas.microsoft.com/office/drawing/2014/main" id="{1EE0A425-8EDC-4C95-89B3-B6DE301FF82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.Costo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83180" y="4655820"/>
              <a:ext cx="1828800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103905</xdr:rowOff>
    </xdr:from>
    <xdr:to>
      <xdr:col>4</xdr:col>
      <xdr:colOff>630381</xdr:colOff>
      <xdr:row>16</xdr:row>
      <xdr:rowOff>110833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0</xdr:colOff>
      <xdr:row>2</xdr:row>
      <xdr:rowOff>91440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0" y="0"/>
          <a:ext cx="12885420" cy="4267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EC" sz="1800" b="1" u="sng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ANALISIS</a:t>
          </a:r>
          <a:r>
            <a:rPr lang="es-EC" sz="1800" b="1" u="sng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REINGRESOS MAYORES AL 50%</a:t>
          </a:r>
          <a:endParaRPr lang="es-EC" sz="1800" b="1" u="sng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5</xdr:col>
      <xdr:colOff>108857</xdr:colOff>
      <xdr:row>46</xdr:row>
      <xdr:rowOff>43543</xdr:rowOff>
    </xdr:from>
    <xdr:to>
      <xdr:col>6</xdr:col>
      <xdr:colOff>4354200</xdr:colOff>
      <xdr:row>49</xdr:row>
      <xdr:rowOff>47480</xdr:rowOff>
    </xdr:to>
    <xdr:sp macro="" textlink="">
      <xdr:nvSpPr>
        <xdr:cNvPr id="12" name="Diagrama de flujo: proces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4071257" y="7754983"/>
          <a:ext cx="5037823" cy="506857"/>
        </a:xfrm>
        <a:prstGeom prst="flowChartProcess">
          <a:avLst/>
        </a:prstGeom>
        <a:solidFill>
          <a:schemeClr val="accent5">
            <a:lumMod val="75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400"/>
            <a:t>MATERIALES</a:t>
          </a:r>
          <a:r>
            <a:rPr lang="es-EC" sz="1400" baseline="0"/>
            <a:t> REINGRESADOS</a:t>
          </a:r>
          <a:endParaRPr lang="es-EC" sz="1400"/>
        </a:p>
      </xdr:txBody>
    </xdr:sp>
    <xdr:clientData/>
  </xdr:twoCellAnchor>
  <xdr:twoCellAnchor>
    <xdr:from>
      <xdr:col>6</xdr:col>
      <xdr:colOff>4355591</xdr:colOff>
      <xdr:row>46</xdr:row>
      <xdr:rowOff>44230</xdr:rowOff>
    </xdr:from>
    <xdr:to>
      <xdr:col>6</xdr:col>
      <xdr:colOff>5544952</xdr:colOff>
      <xdr:row>49</xdr:row>
      <xdr:rowOff>48167</xdr:rowOff>
    </xdr:to>
    <xdr:sp macro="" textlink="">
      <xdr:nvSpPr>
        <xdr:cNvPr id="13" name="Diagrama de flujo: proceso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/>
      </xdr:nvSpPr>
      <xdr:spPr>
        <a:xfrm>
          <a:off x="9110471" y="7755670"/>
          <a:ext cx="1189361" cy="506857"/>
        </a:xfrm>
        <a:prstGeom prst="flowChartProcess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000"/>
            <a:t>CANTIDAD</a:t>
          </a:r>
          <a:r>
            <a:rPr lang="es-EC" sz="1000" baseline="0"/>
            <a:t> TOTAL REINGRESADA</a:t>
          </a:r>
          <a:endParaRPr lang="es-EC" sz="1000"/>
        </a:p>
      </xdr:txBody>
    </xdr:sp>
    <xdr:clientData/>
  </xdr:twoCellAnchor>
  <xdr:twoCellAnchor>
    <xdr:from>
      <xdr:col>7</xdr:col>
      <xdr:colOff>79927</xdr:colOff>
      <xdr:row>46</xdr:row>
      <xdr:rowOff>37978</xdr:rowOff>
    </xdr:from>
    <xdr:to>
      <xdr:col>8</xdr:col>
      <xdr:colOff>393727</xdr:colOff>
      <xdr:row>49</xdr:row>
      <xdr:rowOff>41915</xdr:rowOff>
    </xdr:to>
    <xdr:sp macro="" textlink="">
      <xdr:nvSpPr>
        <xdr:cNvPr id="14" name="Diagrama de flujo: proceso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11167027" y="7749418"/>
          <a:ext cx="1152000" cy="506857"/>
        </a:xfrm>
        <a:prstGeom prst="flowChartProcess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900"/>
            <a:t>DÍAS PROMEDIO</a:t>
          </a:r>
          <a:r>
            <a:rPr lang="es-EC" sz="900" baseline="0"/>
            <a:t> FUERA DE BODEGAS</a:t>
          </a:r>
          <a:endParaRPr lang="es-EC" sz="900"/>
        </a:p>
      </xdr:txBody>
    </xdr:sp>
    <xdr:clientData/>
  </xdr:twoCellAnchor>
  <xdr:twoCellAnchor>
    <xdr:from>
      <xdr:col>5</xdr:col>
      <xdr:colOff>108857</xdr:colOff>
      <xdr:row>49</xdr:row>
      <xdr:rowOff>51857</xdr:rowOff>
    </xdr:from>
    <xdr:to>
      <xdr:col>6</xdr:col>
      <xdr:colOff>4354200</xdr:colOff>
      <xdr:row>51</xdr:row>
      <xdr:rowOff>150482</xdr:rowOff>
    </xdr:to>
    <xdr:sp macro="" textlink="TABLA!AO3">
      <xdr:nvSpPr>
        <xdr:cNvPr id="15" name="Diagrama de flujo: proceso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4057402" y="8198330"/>
          <a:ext cx="5035053" cy="431134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D5684B7E-F2A9-4104-9E76-97F56861D65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CAJA DE DISTRIBUCION TRIFASICA, 3 FASES Y 1 NEUTRO, CON TAPA DE SEGURIDAD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4348664</xdr:colOff>
      <xdr:row>49</xdr:row>
      <xdr:rowOff>44230</xdr:rowOff>
    </xdr:from>
    <xdr:to>
      <xdr:col>6</xdr:col>
      <xdr:colOff>5538025</xdr:colOff>
      <xdr:row>51</xdr:row>
      <xdr:rowOff>142855</xdr:rowOff>
    </xdr:to>
    <xdr:sp macro="" textlink="TABLA!AP3">
      <xdr:nvSpPr>
        <xdr:cNvPr id="16" name="Diagrama de flujo: proces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9086919" y="8190703"/>
          <a:ext cx="1189361" cy="431134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0FC37E1-D3E1-4BDA-8C28-89E9036B4E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529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79931</xdr:colOff>
      <xdr:row>49</xdr:row>
      <xdr:rowOff>37978</xdr:rowOff>
    </xdr:from>
    <xdr:to>
      <xdr:col>8</xdr:col>
      <xdr:colOff>393731</xdr:colOff>
      <xdr:row>51</xdr:row>
      <xdr:rowOff>136603</xdr:rowOff>
    </xdr:to>
    <xdr:sp macro="" textlink="TABLA!AR3">
      <xdr:nvSpPr>
        <xdr:cNvPr id="17" name="Diagrama de flujo: proces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11167031" y="8252338"/>
          <a:ext cx="1152000" cy="433905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AA65480-5C2D-4E83-84DE-54A1CE037D7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58,78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108857</xdr:colOff>
      <xdr:row>51</xdr:row>
      <xdr:rowOff>143135</xdr:rowOff>
    </xdr:from>
    <xdr:to>
      <xdr:col>6</xdr:col>
      <xdr:colOff>4354200</xdr:colOff>
      <xdr:row>54</xdr:row>
      <xdr:rowOff>75073</xdr:rowOff>
    </xdr:to>
    <xdr:sp macro="" textlink="TABLA!AO4">
      <xdr:nvSpPr>
        <xdr:cNvPr id="18" name="Diagrama de flujo: proces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4071257" y="8692775"/>
          <a:ext cx="5037823" cy="434858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962B1D21-7D1F-4CA3-B903-35B0EA2DFCE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RESMA DE PAPEL BOND A4 DE 75 GR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51</xdr:row>
      <xdr:rowOff>143822</xdr:rowOff>
    </xdr:from>
    <xdr:to>
      <xdr:col>6</xdr:col>
      <xdr:colOff>5544952</xdr:colOff>
      <xdr:row>54</xdr:row>
      <xdr:rowOff>75760</xdr:rowOff>
    </xdr:to>
    <xdr:sp macro="" textlink="TABLA!AP4">
      <xdr:nvSpPr>
        <xdr:cNvPr id="19" name="Diagrama de flujo: proces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9110471" y="8693462"/>
          <a:ext cx="1189361" cy="434858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F565CEE-6A12-426C-9E9C-7708C4CAD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2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80457</xdr:colOff>
      <xdr:row>51</xdr:row>
      <xdr:rowOff>137570</xdr:rowOff>
    </xdr:from>
    <xdr:to>
      <xdr:col>8</xdr:col>
      <xdr:colOff>394257</xdr:colOff>
      <xdr:row>54</xdr:row>
      <xdr:rowOff>69508</xdr:rowOff>
    </xdr:to>
    <xdr:sp macro="" textlink="TABLA!AR4">
      <xdr:nvSpPr>
        <xdr:cNvPr id="20" name="Diagrama de flujo: proceso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/>
      </xdr:nvSpPr>
      <xdr:spPr>
        <a:xfrm>
          <a:off x="11167557" y="8687210"/>
          <a:ext cx="1152000" cy="434858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B938C5C-70E1-4870-8580-F5EA3D3067B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100,00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108857</xdr:colOff>
      <xdr:row>54</xdr:row>
      <xdr:rowOff>75073</xdr:rowOff>
    </xdr:from>
    <xdr:to>
      <xdr:col>6</xdr:col>
      <xdr:colOff>4354200</xdr:colOff>
      <xdr:row>57</xdr:row>
      <xdr:rowOff>10412</xdr:rowOff>
    </xdr:to>
    <xdr:sp macro="" textlink="TABLA!AO5">
      <xdr:nvSpPr>
        <xdr:cNvPr id="21" name="Diagrama de flujo: proces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/>
      </xdr:nvSpPr>
      <xdr:spPr>
        <a:xfrm>
          <a:off x="4071257" y="9127633"/>
          <a:ext cx="5037823" cy="438259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EA188FA7-0E2A-4354-B459-379BFFDF7A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ALCOHOL ANTISEPTICO 70%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54</xdr:row>
      <xdr:rowOff>72894</xdr:rowOff>
    </xdr:from>
    <xdr:to>
      <xdr:col>6</xdr:col>
      <xdr:colOff>5544952</xdr:colOff>
      <xdr:row>57</xdr:row>
      <xdr:rowOff>9712</xdr:rowOff>
    </xdr:to>
    <xdr:sp macro="" textlink="TABLA!AP5">
      <xdr:nvSpPr>
        <xdr:cNvPr id="22" name="Diagrama de flujo: proceso 21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/>
      </xdr:nvSpPr>
      <xdr:spPr>
        <a:xfrm>
          <a:off x="9110471" y="9125454"/>
          <a:ext cx="1189361" cy="439738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8CF7069-4DD5-4C5E-87D6-27BA6CF4605D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2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79931</xdr:colOff>
      <xdr:row>54</xdr:row>
      <xdr:rowOff>66642</xdr:rowOff>
    </xdr:from>
    <xdr:to>
      <xdr:col>8</xdr:col>
      <xdr:colOff>393731</xdr:colOff>
      <xdr:row>57</xdr:row>
      <xdr:rowOff>58</xdr:rowOff>
    </xdr:to>
    <xdr:sp macro="" textlink="TABLA!AR5">
      <xdr:nvSpPr>
        <xdr:cNvPr id="23" name="Diagrama de flujo: proceso 22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/>
      </xdr:nvSpPr>
      <xdr:spPr>
        <a:xfrm>
          <a:off x="11167031" y="9119202"/>
          <a:ext cx="1152000" cy="436336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DDACCC4-32EC-4AD2-B276-C7117CC2B40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100,00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108857</xdr:colOff>
      <xdr:row>57</xdr:row>
      <xdr:rowOff>15247</xdr:rowOff>
    </xdr:from>
    <xdr:to>
      <xdr:col>6</xdr:col>
      <xdr:colOff>4354200</xdr:colOff>
      <xdr:row>59</xdr:row>
      <xdr:rowOff>108992</xdr:rowOff>
    </xdr:to>
    <xdr:sp macro="" textlink="TABLA!AO6">
      <xdr:nvSpPr>
        <xdr:cNvPr id="24" name="Diagrama de flujo: proceso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4071257" y="9570727"/>
          <a:ext cx="5037823" cy="429025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6B77025B-341D-454E-8A71-7764D46FE0E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EQUIPO DE CONTROL AUTOMATICO DE ALUMBRADO PUBLICO DE 30 A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57</xdr:row>
      <xdr:rowOff>15934</xdr:rowOff>
    </xdr:from>
    <xdr:to>
      <xdr:col>6</xdr:col>
      <xdr:colOff>5544952</xdr:colOff>
      <xdr:row>59</xdr:row>
      <xdr:rowOff>109679</xdr:rowOff>
    </xdr:to>
    <xdr:sp macro="" textlink="TABLA!AP6">
      <xdr:nvSpPr>
        <xdr:cNvPr id="25" name="Diagrama de flujo: proceso 2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/>
      </xdr:nvSpPr>
      <xdr:spPr>
        <a:xfrm>
          <a:off x="9110471" y="9571414"/>
          <a:ext cx="1189361" cy="429025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0AD4D1D-ED8F-4080-8105-2754ED0885A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1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80457</xdr:colOff>
      <xdr:row>57</xdr:row>
      <xdr:rowOff>6280</xdr:rowOff>
    </xdr:from>
    <xdr:to>
      <xdr:col>8</xdr:col>
      <xdr:colOff>394257</xdr:colOff>
      <xdr:row>59</xdr:row>
      <xdr:rowOff>103427</xdr:rowOff>
    </xdr:to>
    <xdr:sp macro="" textlink="TABLA!AR6">
      <xdr:nvSpPr>
        <xdr:cNvPr id="26" name="Diagrama de flujo: proceso 25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/>
      </xdr:nvSpPr>
      <xdr:spPr>
        <a:xfrm>
          <a:off x="11167557" y="9561760"/>
          <a:ext cx="1152000" cy="432427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F91C355-B558-4C91-AEFB-BED9F6B8A506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100,00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108857</xdr:colOff>
      <xdr:row>59</xdr:row>
      <xdr:rowOff>113083</xdr:rowOff>
    </xdr:from>
    <xdr:to>
      <xdr:col>6</xdr:col>
      <xdr:colOff>4354200</xdr:colOff>
      <xdr:row>62</xdr:row>
      <xdr:rowOff>43543</xdr:rowOff>
    </xdr:to>
    <xdr:sp macro="" textlink="TABLA!AO7">
      <xdr:nvSpPr>
        <xdr:cNvPr id="27" name="Diagrama de flujo: proces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/>
      </xdr:nvSpPr>
      <xdr:spPr>
        <a:xfrm>
          <a:off x="4071257" y="10003843"/>
          <a:ext cx="5037823" cy="433380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45AB4650-87F8-4522-83CD-588DBCCDC6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DISYUNTOR DE POTENCIA TRIFASICO TANQUE MUERTO, 46 KV, 1200 A, SF6 POLOS INDIVIDUALES CON TC.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59</xdr:row>
      <xdr:rowOff>112383</xdr:rowOff>
    </xdr:from>
    <xdr:to>
      <xdr:col>6</xdr:col>
      <xdr:colOff>5544952</xdr:colOff>
      <xdr:row>62</xdr:row>
      <xdr:rowOff>47723</xdr:rowOff>
    </xdr:to>
    <xdr:sp macro="" textlink="TABLA!AP7">
      <xdr:nvSpPr>
        <xdr:cNvPr id="28" name="Diagrama de flujo: proceso 27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/>
      </xdr:nvSpPr>
      <xdr:spPr>
        <a:xfrm>
          <a:off x="9110471" y="10003143"/>
          <a:ext cx="1189361" cy="438260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751630D-9400-43D0-A00D-445874712E2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1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79931</xdr:colOff>
      <xdr:row>59</xdr:row>
      <xdr:rowOff>106131</xdr:rowOff>
    </xdr:from>
    <xdr:to>
      <xdr:col>8</xdr:col>
      <xdr:colOff>393731</xdr:colOff>
      <xdr:row>62</xdr:row>
      <xdr:rowOff>41471</xdr:rowOff>
    </xdr:to>
    <xdr:sp macro="" textlink="TABLA!AR7">
      <xdr:nvSpPr>
        <xdr:cNvPr id="29" name="Diagrama de flujo: proceso 28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/>
      </xdr:nvSpPr>
      <xdr:spPr>
        <a:xfrm>
          <a:off x="11167031" y="9996891"/>
          <a:ext cx="1152000" cy="438260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1281087-FCA1-4381-A6E1-F8B527DDAD6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100,00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108857</xdr:colOff>
      <xdr:row>62</xdr:row>
      <xdr:rowOff>48003</xdr:rowOff>
    </xdr:from>
    <xdr:to>
      <xdr:col>6</xdr:col>
      <xdr:colOff>4354200</xdr:colOff>
      <xdr:row>64</xdr:row>
      <xdr:rowOff>143227</xdr:rowOff>
    </xdr:to>
    <xdr:sp macro="" textlink="TABLA!AO8">
      <xdr:nvSpPr>
        <xdr:cNvPr id="30" name="Diagrama de flujo: proceso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/>
      </xdr:nvSpPr>
      <xdr:spPr>
        <a:xfrm>
          <a:off x="4071257" y="10441683"/>
          <a:ext cx="5037823" cy="430504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DF68519A-237A-4E7B-8A58-13CC0A32B336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Total general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62</xdr:row>
      <xdr:rowOff>48690</xdr:rowOff>
    </xdr:from>
    <xdr:to>
      <xdr:col>6</xdr:col>
      <xdr:colOff>5544952</xdr:colOff>
      <xdr:row>64</xdr:row>
      <xdr:rowOff>143914</xdr:rowOff>
    </xdr:to>
    <xdr:sp macro="" textlink="TABLA!AP8">
      <xdr:nvSpPr>
        <xdr:cNvPr id="31" name="Diagrama de flujo: proceso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9110471" y="10442370"/>
          <a:ext cx="1189361" cy="430504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3BE1A73-A9AA-41E5-9DCE-A41F77307F1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535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80457</xdr:colOff>
      <xdr:row>62</xdr:row>
      <xdr:rowOff>42438</xdr:rowOff>
    </xdr:from>
    <xdr:to>
      <xdr:col>8</xdr:col>
      <xdr:colOff>394257</xdr:colOff>
      <xdr:row>64</xdr:row>
      <xdr:rowOff>137662</xdr:rowOff>
    </xdr:to>
    <xdr:sp macro="" textlink="TABLA!AR8">
      <xdr:nvSpPr>
        <xdr:cNvPr id="32" name="Diagrama de flujo: proceso 31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/>
      </xdr:nvSpPr>
      <xdr:spPr>
        <a:xfrm>
          <a:off x="11167557" y="10436118"/>
          <a:ext cx="1152000" cy="430504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8E5CF29-D01B-4AAD-967B-E0615474962D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91,76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108857</xdr:colOff>
      <xdr:row>64</xdr:row>
      <xdr:rowOff>143227</xdr:rowOff>
    </xdr:from>
    <xdr:to>
      <xdr:col>6</xdr:col>
      <xdr:colOff>4354200</xdr:colOff>
      <xdr:row>67</xdr:row>
      <xdr:rowOff>73686</xdr:rowOff>
    </xdr:to>
    <xdr:sp macro="" textlink="TABLA!AO9">
      <xdr:nvSpPr>
        <xdr:cNvPr id="33" name="Diagrama de flujo: proceso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/>
      </xdr:nvSpPr>
      <xdr:spPr>
        <a:xfrm>
          <a:off x="4071257" y="10872187"/>
          <a:ext cx="5037823" cy="433379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676F797E-D472-4BA0-BDC2-8B157074C76D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64</xdr:row>
      <xdr:rowOff>141048</xdr:rowOff>
    </xdr:from>
    <xdr:to>
      <xdr:col>6</xdr:col>
      <xdr:colOff>5544952</xdr:colOff>
      <xdr:row>67</xdr:row>
      <xdr:rowOff>72986</xdr:rowOff>
    </xdr:to>
    <xdr:sp macro="" textlink="TABLA!AP9">
      <xdr:nvSpPr>
        <xdr:cNvPr id="34" name="Diagrama de flujo: proceso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/>
      </xdr:nvSpPr>
      <xdr:spPr>
        <a:xfrm>
          <a:off x="9110471" y="10870008"/>
          <a:ext cx="1189361" cy="434858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9797D57-0C8F-4D26-BF1E-993730F033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79931</xdr:colOff>
      <xdr:row>64</xdr:row>
      <xdr:rowOff>134796</xdr:rowOff>
    </xdr:from>
    <xdr:to>
      <xdr:col>8</xdr:col>
      <xdr:colOff>393731</xdr:colOff>
      <xdr:row>67</xdr:row>
      <xdr:rowOff>66734</xdr:rowOff>
    </xdr:to>
    <xdr:sp macro="" textlink="TABLA!AR9">
      <xdr:nvSpPr>
        <xdr:cNvPr id="35" name="Diagrama de flujo: proceso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/>
      </xdr:nvSpPr>
      <xdr:spPr>
        <a:xfrm>
          <a:off x="11167031" y="10863756"/>
          <a:ext cx="1152000" cy="434858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77B1593-7F27-4D0C-89E5-0EBAF51B326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108857</xdr:colOff>
      <xdr:row>67</xdr:row>
      <xdr:rowOff>78521</xdr:rowOff>
    </xdr:from>
    <xdr:to>
      <xdr:col>6</xdr:col>
      <xdr:colOff>4354200</xdr:colOff>
      <xdr:row>70</xdr:row>
      <xdr:rowOff>13860</xdr:rowOff>
    </xdr:to>
    <xdr:sp macro="" textlink="TABLA!AO10">
      <xdr:nvSpPr>
        <xdr:cNvPr id="36" name="Diagrama de flujo: proceso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/>
      </xdr:nvSpPr>
      <xdr:spPr>
        <a:xfrm>
          <a:off x="4071257" y="11310401"/>
          <a:ext cx="5037823" cy="438259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35F7080-B459-40BE-A0E0-6F87C4932C4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67</xdr:row>
      <xdr:rowOff>79208</xdr:rowOff>
    </xdr:from>
    <xdr:to>
      <xdr:col>6</xdr:col>
      <xdr:colOff>5544952</xdr:colOff>
      <xdr:row>70</xdr:row>
      <xdr:rowOff>14547</xdr:rowOff>
    </xdr:to>
    <xdr:sp macro="" textlink="TABLA!AP10">
      <xdr:nvSpPr>
        <xdr:cNvPr id="37" name="Diagrama de flujo: proceso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/>
      </xdr:nvSpPr>
      <xdr:spPr>
        <a:xfrm>
          <a:off x="9110471" y="11311088"/>
          <a:ext cx="1189361" cy="438259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7EB1C29-A1A0-423D-B71F-34C5805005F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80457</xdr:colOff>
      <xdr:row>67</xdr:row>
      <xdr:rowOff>72956</xdr:rowOff>
    </xdr:from>
    <xdr:to>
      <xdr:col>8</xdr:col>
      <xdr:colOff>394257</xdr:colOff>
      <xdr:row>70</xdr:row>
      <xdr:rowOff>4894</xdr:rowOff>
    </xdr:to>
    <xdr:sp macro="" textlink="TABLA!AR10">
      <xdr:nvSpPr>
        <xdr:cNvPr id="38" name="Diagrama de flujo: proces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/>
      </xdr:nvSpPr>
      <xdr:spPr>
        <a:xfrm>
          <a:off x="11167557" y="11304836"/>
          <a:ext cx="1152000" cy="434858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27B2A55-2010-4988-88FD-F774B2692983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108857</xdr:colOff>
      <xdr:row>70</xdr:row>
      <xdr:rowOff>17417</xdr:rowOff>
    </xdr:from>
    <xdr:to>
      <xdr:col>6</xdr:col>
      <xdr:colOff>4354200</xdr:colOff>
      <xdr:row>72</xdr:row>
      <xdr:rowOff>111688</xdr:rowOff>
    </xdr:to>
    <xdr:sp macro="" textlink="TABLA!AO11">
      <xdr:nvSpPr>
        <xdr:cNvPr id="39" name="Diagrama de flujo: proceso 38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/>
      </xdr:nvSpPr>
      <xdr:spPr>
        <a:xfrm>
          <a:off x="4071257" y="11752217"/>
          <a:ext cx="5037823" cy="429551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C61D5CCB-ED99-4D59-B7B8-4F4787CCDE7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70</xdr:row>
      <xdr:rowOff>16717</xdr:rowOff>
    </xdr:from>
    <xdr:to>
      <xdr:col>6</xdr:col>
      <xdr:colOff>5544952</xdr:colOff>
      <xdr:row>72</xdr:row>
      <xdr:rowOff>110988</xdr:rowOff>
    </xdr:to>
    <xdr:sp macro="" textlink="TABLA!AP11">
      <xdr:nvSpPr>
        <xdr:cNvPr id="40" name="Diagrama de flujo: proceso 39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/>
      </xdr:nvSpPr>
      <xdr:spPr>
        <a:xfrm>
          <a:off x="9110471" y="11751517"/>
          <a:ext cx="1189361" cy="429551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C49597F-A262-46CE-83DC-788E7761E0DC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79931</xdr:colOff>
      <xdr:row>70</xdr:row>
      <xdr:rowOff>7064</xdr:rowOff>
    </xdr:from>
    <xdr:to>
      <xdr:col>8</xdr:col>
      <xdr:colOff>393731</xdr:colOff>
      <xdr:row>72</xdr:row>
      <xdr:rowOff>104736</xdr:rowOff>
    </xdr:to>
    <xdr:sp macro="" textlink="TABLA!AR11">
      <xdr:nvSpPr>
        <xdr:cNvPr id="41" name="Diagrama de flujo: proceso 40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/>
      </xdr:nvSpPr>
      <xdr:spPr>
        <a:xfrm>
          <a:off x="11167031" y="11741864"/>
          <a:ext cx="1152000" cy="432952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FCC0ABC-2895-4FE5-A605-F765B71DF32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108857</xdr:colOff>
      <xdr:row>72</xdr:row>
      <xdr:rowOff>111268</xdr:rowOff>
    </xdr:from>
    <xdr:to>
      <xdr:col>6</xdr:col>
      <xdr:colOff>4354200</xdr:colOff>
      <xdr:row>75</xdr:row>
      <xdr:rowOff>47560</xdr:rowOff>
    </xdr:to>
    <xdr:sp macro="" textlink="TABLA!AO12">
      <xdr:nvSpPr>
        <xdr:cNvPr id="42" name="Diagrama de flujo: proceso 41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/>
      </xdr:nvSpPr>
      <xdr:spPr>
        <a:xfrm>
          <a:off x="4071257" y="12181348"/>
          <a:ext cx="5037823" cy="439212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7346BACA-106C-47D8-BC3E-42FB868841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72</xdr:row>
      <xdr:rowOff>111955</xdr:rowOff>
    </xdr:from>
    <xdr:to>
      <xdr:col>6</xdr:col>
      <xdr:colOff>5544952</xdr:colOff>
      <xdr:row>75</xdr:row>
      <xdr:rowOff>48247</xdr:rowOff>
    </xdr:to>
    <xdr:sp macro="" textlink="TABLA!AP12">
      <xdr:nvSpPr>
        <xdr:cNvPr id="43" name="Diagrama de flujo: proceso 42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/>
      </xdr:nvSpPr>
      <xdr:spPr>
        <a:xfrm>
          <a:off x="9110471" y="12182035"/>
          <a:ext cx="1189361" cy="439212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FC3B7C0-D213-4BB0-9170-A0825827046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80457</xdr:colOff>
      <xdr:row>72</xdr:row>
      <xdr:rowOff>105703</xdr:rowOff>
    </xdr:from>
    <xdr:to>
      <xdr:col>8</xdr:col>
      <xdr:colOff>394257</xdr:colOff>
      <xdr:row>75</xdr:row>
      <xdr:rowOff>41995</xdr:rowOff>
    </xdr:to>
    <xdr:sp macro="" textlink="TABLA!AR12">
      <xdr:nvSpPr>
        <xdr:cNvPr id="44" name="Diagrama de flujo: proceso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/>
      </xdr:nvSpPr>
      <xdr:spPr>
        <a:xfrm>
          <a:off x="11167557" y="12175783"/>
          <a:ext cx="1152000" cy="439212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A5F9E51-D7B8-4057-AA59-E0376B0880A6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108857</xdr:colOff>
      <xdr:row>75</xdr:row>
      <xdr:rowOff>47560</xdr:rowOff>
    </xdr:from>
    <xdr:to>
      <xdr:col>6</xdr:col>
      <xdr:colOff>4354200</xdr:colOff>
      <xdr:row>77</xdr:row>
      <xdr:rowOff>141831</xdr:rowOff>
    </xdr:to>
    <xdr:sp macro="" textlink="TABLA!AO13">
      <xdr:nvSpPr>
        <xdr:cNvPr id="45" name="Diagrama de flujo: proceso 4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/>
      </xdr:nvSpPr>
      <xdr:spPr>
        <a:xfrm>
          <a:off x="4071257" y="12620560"/>
          <a:ext cx="5037823" cy="429551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655DD42-B39C-477C-9433-E76E4D361F9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75</xdr:row>
      <xdr:rowOff>45381</xdr:rowOff>
    </xdr:from>
    <xdr:to>
      <xdr:col>6</xdr:col>
      <xdr:colOff>5544952</xdr:colOff>
      <xdr:row>77</xdr:row>
      <xdr:rowOff>141131</xdr:rowOff>
    </xdr:to>
    <xdr:sp macro="" textlink="TABLA!AP13">
      <xdr:nvSpPr>
        <xdr:cNvPr id="46" name="Diagrama de flujo: proceso 45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/>
      </xdr:nvSpPr>
      <xdr:spPr>
        <a:xfrm>
          <a:off x="9110471" y="12618381"/>
          <a:ext cx="1189361" cy="431030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33D348-25BC-4033-8123-29C8F4E11C1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79931</xdr:colOff>
      <xdr:row>75</xdr:row>
      <xdr:rowOff>39129</xdr:rowOff>
    </xdr:from>
    <xdr:to>
      <xdr:col>8</xdr:col>
      <xdr:colOff>393731</xdr:colOff>
      <xdr:row>77</xdr:row>
      <xdr:rowOff>134879</xdr:rowOff>
    </xdr:to>
    <xdr:sp macro="" textlink="TABLA!AR13">
      <xdr:nvSpPr>
        <xdr:cNvPr id="47" name="Diagrama de flujo: proceso 46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/>
      </xdr:nvSpPr>
      <xdr:spPr>
        <a:xfrm>
          <a:off x="11167031" y="12612129"/>
          <a:ext cx="1152000" cy="431030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BB244DF-A9A3-46F5-B3E5-4D0C2F078573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108857</xdr:colOff>
      <xdr:row>77</xdr:row>
      <xdr:rowOff>146666</xdr:rowOff>
    </xdr:from>
    <xdr:to>
      <xdr:col>6</xdr:col>
      <xdr:colOff>4354200</xdr:colOff>
      <xdr:row>80</xdr:row>
      <xdr:rowOff>77125</xdr:rowOff>
    </xdr:to>
    <xdr:sp macro="" textlink="TABLA!AO14">
      <xdr:nvSpPr>
        <xdr:cNvPr id="48" name="Diagrama de flujo: proceso 47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/>
      </xdr:nvSpPr>
      <xdr:spPr>
        <a:xfrm>
          <a:off x="4071257" y="13054946"/>
          <a:ext cx="5037823" cy="433379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2BBE84EE-33FE-4DE8-8562-D701D047D9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77</xdr:row>
      <xdr:rowOff>147353</xdr:rowOff>
    </xdr:from>
    <xdr:to>
      <xdr:col>6</xdr:col>
      <xdr:colOff>5544952</xdr:colOff>
      <xdr:row>80</xdr:row>
      <xdr:rowOff>77812</xdr:rowOff>
    </xdr:to>
    <xdr:sp macro="" textlink="TABLA!AP14">
      <xdr:nvSpPr>
        <xdr:cNvPr id="49" name="Diagrama de flujo: proceso 48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/>
      </xdr:nvSpPr>
      <xdr:spPr>
        <a:xfrm>
          <a:off x="9110471" y="13055633"/>
          <a:ext cx="1189361" cy="433379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FE0741F-8B55-4995-8D1F-9B78B938208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80457</xdr:colOff>
      <xdr:row>77</xdr:row>
      <xdr:rowOff>141101</xdr:rowOff>
    </xdr:from>
    <xdr:to>
      <xdr:col>8</xdr:col>
      <xdr:colOff>394257</xdr:colOff>
      <xdr:row>80</xdr:row>
      <xdr:rowOff>71560</xdr:rowOff>
    </xdr:to>
    <xdr:sp macro="" textlink="TABLA!AR14">
      <xdr:nvSpPr>
        <xdr:cNvPr id="50" name="Diagrama de flujo: proceso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/>
      </xdr:nvSpPr>
      <xdr:spPr>
        <a:xfrm>
          <a:off x="11167557" y="13049381"/>
          <a:ext cx="1152000" cy="433379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C1B6599-6789-4943-9D28-EA1588DF288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108856</xdr:colOff>
      <xdr:row>80</xdr:row>
      <xdr:rowOff>88143</xdr:rowOff>
    </xdr:from>
    <xdr:to>
      <xdr:col>6</xdr:col>
      <xdr:colOff>4354199</xdr:colOff>
      <xdr:row>83</xdr:row>
      <xdr:rowOff>22958</xdr:rowOff>
    </xdr:to>
    <xdr:sp macro="" textlink="TABLA!AO15">
      <xdr:nvSpPr>
        <xdr:cNvPr id="51" name="Diagrama de flujo: proceso 50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/>
      </xdr:nvSpPr>
      <xdr:spPr>
        <a:xfrm>
          <a:off x="4057401" y="13388507"/>
          <a:ext cx="5035053" cy="433578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1A89D28E-5A89-4A04-8D8E-008E2449BA0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80</xdr:row>
      <xdr:rowOff>80516</xdr:rowOff>
    </xdr:from>
    <xdr:to>
      <xdr:col>6</xdr:col>
      <xdr:colOff>5544952</xdr:colOff>
      <xdr:row>83</xdr:row>
      <xdr:rowOff>15856</xdr:rowOff>
    </xdr:to>
    <xdr:sp macro="" textlink="TABLA!AP15">
      <xdr:nvSpPr>
        <xdr:cNvPr id="52" name="Diagrama de flujo: proceso 51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/>
      </xdr:nvSpPr>
      <xdr:spPr>
        <a:xfrm>
          <a:off x="9110471" y="13491716"/>
          <a:ext cx="1189361" cy="438260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9A66EE6-A8C4-4102-B24A-B2F81A2F9F7C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79931</xdr:colOff>
      <xdr:row>80</xdr:row>
      <xdr:rowOff>74264</xdr:rowOff>
    </xdr:from>
    <xdr:to>
      <xdr:col>8</xdr:col>
      <xdr:colOff>393731</xdr:colOff>
      <xdr:row>83</xdr:row>
      <xdr:rowOff>6201</xdr:rowOff>
    </xdr:to>
    <xdr:sp macro="" textlink="TABLA!AR15">
      <xdr:nvSpPr>
        <xdr:cNvPr id="53" name="Diagrama de flujo: proceso 52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/>
      </xdr:nvSpPr>
      <xdr:spPr>
        <a:xfrm>
          <a:off x="11167031" y="13485464"/>
          <a:ext cx="1152000" cy="434857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FF5EB74-2812-484F-88D3-1E6A06D4970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108857</xdr:colOff>
      <xdr:row>83</xdr:row>
      <xdr:rowOff>16136</xdr:rowOff>
    </xdr:from>
    <xdr:to>
      <xdr:col>6</xdr:col>
      <xdr:colOff>4354200</xdr:colOff>
      <xdr:row>85</xdr:row>
      <xdr:rowOff>111360</xdr:rowOff>
    </xdr:to>
    <xdr:sp macro="" textlink="TABLA!AO16">
      <xdr:nvSpPr>
        <xdr:cNvPr id="54" name="Diagrama de flujo: proceso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/>
      </xdr:nvSpPr>
      <xdr:spPr>
        <a:xfrm>
          <a:off x="4071257" y="13930256"/>
          <a:ext cx="5037823" cy="430504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CD68E6A5-0973-4855-A5DA-EDBA2844E1C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83</xdr:row>
      <xdr:rowOff>16823</xdr:rowOff>
    </xdr:from>
    <xdr:to>
      <xdr:col>6</xdr:col>
      <xdr:colOff>5544952</xdr:colOff>
      <xdr:row>85</xdr:row>
      <xdr:rowOff>112047</xdr:rowOff>
    </xdr:to>
    <xdr:sp macro="" textlink="TABLA!AP16">
      <xdr:nvSpPr>
        <xdr:cNvPr id="55" name="Diagrama de flujo: proceso 5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/>
      </xdr:nvSpPr>
      <xdr:spPr>
        <a:xfrm>
          <a:off x="9110471" y="13930943"/>
          <a:ext cx="1189361" cy="430504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97338BB-D931-4B40-96A5-9A5AF00D37E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80457</xdr:colOff>
      <xdr:row>83</xdr:row>
      <xdr:rowOff>7168</xdr:rowOff>
    </xdr:from>
    <xdr:to>
      <xdr:col>8</xdr:col>
      <xdr:colOff>394257</xdr:colOff>
      <xdr:row>85</xdr:row>
      <xdr:rowOff>105795</xdr:rowOff>
    </xdr:to>
    <xdr:sp macro="" textlink="TABLA!AR16">
      <xdr:nvSpPr>
        <xdr:cNvPr id="56" name="Diagrama de flujo: proceso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/>
      </xdr:nvSpPr>
      <xdr:spPr>
        <a:xfrm>
          <a:off x="11167557" y="13921288"/>
          <a:ext cx="1152000" cy="433907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33FCB26-D415-473B-8FC2-09B7F2D00AA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108857</xdr:colOff>
      <xdr:row>85</xdr:row>
      <xdr:rowOff>111360</xdr:rowOff>
    </xdr:from>
    <xdr:to>
      <xdr:col>6</xdr:col>
      <xdr:colOff>4354200</xdr:colOff>
      <xdr:row>88</xdr:row>
      <xdr:rowOff>46173</xdr:rowOff>
    </xdr:to>
    <xdr:sp macro="" textlink="TABLA!AO17">
      <xdr:nvSpPr>
        <xdr:cNvPr id="57" name="Diagrama de flujo: proceso 56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/>
      </xdr:nvSpPr>
      <xdr:spPr>
        <a:xfrm>
          <a:off x="4071257" y="14360760"/>
          <a:ext cx="5037823" cy="437733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B9AB2DCA-72FE-4DC0-956C-F47E2280FE8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4355591</xdr:colOff>
      <xdr:row>85</xdr:row>
      <xdr:rowOff>109181</xdr:rowOff>
    </xdr:from>
    <xdr:to>
      <xdr:col>6</xdr:col>
      <xdr:colOff>5544952</xdr:colOff>
      <xdr:row>88</xdr:row>
      <xdr:rowOff>45473</xdr:rowOff>
    </xdr:to>
    <xdr:sp macro="" textlink="TABLA!AP17">
      <xdr:nvSpPr>
        <xdr:cNvPr id="58" name="Diagrama de flujo: proceso 57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/>
      </xdr:nvSpPr>
      <xdr:spPr>
        <a:xfrm>
          <a:off x="9110471" y="14358581"/>
          <a:ext cx="1189361" cy="439212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AE9527A-637E-4B8A-82F0-13DE406B457C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79931</xdr:colOff>
      <xdr:row>85</xdr:row>
      <xdr:rowOff>102929</xdr:rowOff>
    </xdr:from>
    <xdr:to>
      <xdr:col>8</xdr:col>
      <xdr:colOff>393731</xdr:colOff>
      <xdr:row>88</xdr:row>
      <xdr:rowOff>39221</xdr:rowOff>
    </xdr:to>
    <xdr:sp macro="" textlink="TABLA!AR17">
      <xdr:nvSpPr>
        <xdr:cNvPr id="59" name="Diagrama de flujo: proceso 58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/>
      </xdr:nvSpPr>
      <xdr:spPr>
        <a:xfrm>
          <a:off x="11167031" y="14352329"/>
          <a:ext cx="1152000" cy="439212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BAD11A3-57F1-4B4D-AFF0-FBEF06E8B0E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91440</xdr:colOff>
          <xdr:row>0</xdr:row>
          <xdr:rowOff>137160</xdr:rowOff>
        </xdr:from>
        <xdr:to>
          <xdr:col>8</xdr:col>
          <xdr:colOff>571500</xdr:colOff>
          <xdr:row>2</xdr:row>
          <xdr:rowOff>30480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C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62344</xdr:colOff>
      <xdr:row>2</xdr:row>
      <xdr:rowOff>69273</xdr:rowOff>
    </xdr:from>
    <xdr:to>
      <xdr:col>1</xdr:col>
      <xdr:colOff>395835</xdr:colOff>
      <xdr:row>4</xdr:row>
      <xdr:rowOff>6928</xdr:rowOff>
    </xdr:to>
    <xdr:sp macro="" textlink="INGRESO_DATOS!A1">
      <xdr:nvSpPr>
        <xdr:cNvPr id="62" name="Rectángulo 61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/>
      </xdr:nvSpPr>
      <xdr:spPr>
        <a:xfrm>
          <a:off x="62344" y="401782"/>
          <a:ext cx="1123200" cy="270164"/>
        </a:xfrm>
        <a:prstGeom prst="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EB0A83-A6DA-4711-9A22-9E82E4267C02}" type="TxLink">
            <a:rPr lang="en-US" sz="1000" b="0" i="0" u="none" strike="noStrike">
              <a:solidFill>
                <a:srgbClr val="FFFFFF"/>
              </a:solidFill>
              <a:latin typeface="Arial"/>
              <a:cs typeface="Arial"/>
            </a:rPr>
            <a:t>5</a:t>
          </a:fld>
          <a:endParaRPr lang="es-EC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5549696</xdr:colOff>
      <xdr:row>46</xdr:row>
      <xdr:rowOff>39875</xdr:rowOff>
    </xdr:from>
    <xdr:to>
      <xdr:col>7</xdr:col>
      <xdr:colOff>82565</xdr:colOff>
      <xdr:row>49</xdr:row>
      <xdr:rowOff>43812</xdr:rowOff>
    </xdr:to>
    <xdr:sp macro="" textlink="">
      <xdr:nvSpPr>
        <xdr:cNvPr id="63" name="Diagrama de flujo: proceso 62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/>
      </xdr:nvSpPr>
      <xdr:spPr>
        <a:xfrm>
          <a:off x="10304576" y="7751315"/>
          <a:ext cx="865089" cy="506857"/>
        </a:xfrm>
        <a:prstGeom prst="flowChartProcess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C" sz="1000"/>
            <a:t>% PROM. REINGRESO</a:t>
          </a:r>
        </a:p>
      </xdr:txBody>
    </xdr:sp>
    <xdr:clientData/>
  </xdr:twoCellAnchor>
  <xdr:twoCellAnchor>
    <xdr:from>
      <xdr:col>6</xdr:col>
      <xdr:colOff>5549696</xdr:colOff>
      <xdr:row>49</xdr:row>
      <xdr:rowOff>39875</xdr:rowOff>
    </xdr:from>
    <xdr:to>
      <xdr:col>7</xdr:col>
      <xdr:colOff>82565</xdr:colOff>
      <xdr:row>51</xdr:row>
      <xdr:rowOff>138500</xdr:rowOff>
    </xdr:to>
    <xdr:sp macro="" textlink="TABLA!AQ3">
      <xdr:nvSpPr>
        <xdr:cNvPr id="64" name="Diagrama de flujo: proceso 63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/>
      </xdr:nvSpPr>
      <xdr:spPr>
        <a:xfrm>
          <a:off x="10304576" y="8254235"/>
          <a:ext cx="865089" cy="433905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4C0F5F6-BC9E-494E-BC20-1707C628C2D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164,00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51</xdr:row>
      <xdr:rowOff>139467</xdr:rowOff>
    </xdr:from>
    <xdr:to>
      <xdr:col>7</xdr:col>
      <xdr:colOff>82565</xdr:colOff>
      <xdr:row>54</xdr:row>
      <xdr:rowOff>71405</xdr:rowOff>
    </xdr:to>
    <xdr:sp macro="" textlink="TABLA!AQ4">
      <xdr:nvSpPr>
        <xdr:cNvPr id="65" name="Diagrama de flujo: proceso 6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/>
      </xdr:nvSpPr>
      <xdr:spPr>
        <a:xfrm>
          <a:off x="10304576" y="8689107"/>
          <a:ext cx="865089" cy="434858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70DC1A-177C-4681-81B2-A5976E6F4C1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2,00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54</xdr:row>
      <xdr:rowOff>68539</xdr:rowOff>
    </xdr:from>
    <xdr:to>
      <xdr:col>7</xdr:col>
      <xdr:colOff>82565</xdr:colOff>
      <xdr:row>57</xdr:row>
      <xdr:rowOff>5357</xdr:rowOff>
    </xdr:to>
    <xdr:sp macro="" textlink="TABLA!AQ5">
      <xdr:nvSpPr>
        <xdr:cNvPr id="66" name="Diagrama de flujo: proceso 65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/>
      </xdr:nvSpPr>
      <xdr:spPr>
        <a:xfrm>
          <a:off x="10304576" y="9121099"/>
          <a:ext cx="865089" cy="439738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3E0FA30-7D2A-49B6-B7BF-CBA0A173667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0,00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57</xdr:row>
      <xdr:rowOff>11579</xdr:rowOff>
    </xdr:from>
    <xdr:to>
      <xdr:col>7</xdr:col>
      <xdr:colOff>82565</xdr:colOff>
      <xdr:row>59</xdr:row>
      <xdr:rowOff>105324</xdr:rowOff>
    </xdr:to>
    <xdr:sp macro="" textlink="TABLA!AQ6">
      <xdr:nvSpPr>
        <xdr:cNvPr id="67" name="Diagrama de flujo: proceso 66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/>
      </xdr:nvSpPr>
      <xdr:spPr>
        <a:xfrm>
          <a:off x="10304576" y="9567059"/>
          <a:ext cx="865089" cy="429025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DCF26A8-DCC6-4D0B-BF70-C1C77D5F11C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3,00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59</xdr:row>
      <xdr:rowOff>108028</xdr:rowOff>
    </xdr:from>
    <xdr:to>
      <xdr:col>7</xdr:col>
      <xdr:colOff>82565</xdr:colOff>
      <xdr:row>62</xdr:row>
      <xdr:rowOff>43368</xdr:rowOff>
    </xdr:to>
    <xdr:sp macro="" textlink="TABLA!AQ7">
      <xdr:nvSpPr>
        <xdr:cNvPr id="68" name="Diagrama de flujo: proceso 67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/>
      </xdr:nvSpPr>
      <xdr:spPr>
        <a:xfrm>
          <a:off x="10304576" y="9998788"/>
          <a:ext cx="865089" cy="438260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5405E25-E242-4AC0-A208-5DAEF8A504E5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36,00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62</xdr:row>
      <xdr:rowOff>44335</xdr:rowOff>
    </xdr:from>
    <xdr:to>
      <xdr:col>7</xdr:col>
      <xdr:colOff>82565</xdr:colOff>
      <xdr:row>64</xdr:row>
      <xdr:rowOff>139559</xdr:rowOff>
    </xdr:to>
    <xdr:sp macro="" textlink="TABLA!AQ8">
      <xdr:nvSpPr>
        <xdr:cNvPr id="69" name="Diagrama de flujo: proceso 68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/>
      </xdr:nvSpPr>
      <xdr:spPr>
        <a:xfrm>
          <a:off x="10304576" y="10438015"/>
          <a:ext cx="865089" cy="430504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245A343-5035-40B5-A483-536A3544C1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41,00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64</xdr:row>
      <xdr:rowOff>136693</xdr:rowOff>
    </xdr:from>
    <xdr:to>
      <xdr:col>7</xdr:col>
      <xdr:colOff>82565</xdr:colOff>
      <xdr:row>67</xdr:row>
      <xdr:rowOff>68631</xdr:rowOff>
    </xdr:to>
    <xdr:sp macro="" textlink="TABLA!AQ9">
      <xdr:nvSpPr>
        <xdr:cNvPr id="70" name="Diagrama de flujo: proceso 69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/>
      </xdr:nvSpPr>
      <xdr:spPr>
        <a:xfrm>
          <a:off x="10304576" y="10865653"/>
          <a:ext cx="865089" cy="434858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4D423B3-1D19-4035-BB68-36A0E47CB919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67</xdr:row>
      <xdr:rowOff>74853</xdr:rowOff>
    </xdr:from>
    <xdr:to>
      <xdr:col>7</xdr:col>
      <xdr:colOff>82565</xdr:colOff>
      <xdr:row>70</xdr:row>
      <xdr:rowOff>10192</xdr:rowOff>
    </xdr:to>
    <xdr:sp macro="" textlink="TABLA!AQ10">
      <xdr:nvSpPr>
        <xdr:cNvPr id="71" name="Diagrama de flujo: proceso 70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/>
      </xdr:nvSpPr>
      <xdr:spPr>
        <a:xfrm>
          <a:off x="10304576" y="11306733"/>
          <a:ext cx="865089" cy="438259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D4EAA56-A7CD-4530-A0FD-182DD27B80C6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70</xdr:row>
      <xdr:rowOff>12362</xdr:rowOff>
    </xdr:from>
    <xdr:to>
      <xdr:col>7</xdr:col>
      <xdr:colOff>82565</xdr:colOff>
      <xdr:row>72</xdr:row>
      <xdr:rowOff>106633</xdr:rowOff>
    </xdr:to>
    <xdr:sp macro="" textlink="TABLA!AQ11">
      <xdr:nvSpPr>
        <xdr:cNvPr id="72" name="Diagrama de flujo: proceso 71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/>
      </xdr:nvSpPr>
      <xdr:spPr>
        <a:xfrm>
          <a:off x="10304576" y="11747162"/>
          <a:ext cx="865089" cy="429551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B915DF6-6E09-43A6-9AE8-1D7C3C5C5FB3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72</xdr:row>
      <xdr:rowOff>107600</xdr:rowOff>
    </xdr:from>
    <xdr:to>
      <xdr:col>7</xdr:col>
      <xdr:colOff>82565</xdr:colOff>
      <xdr:row>75</xdr:row>
      <xdr:rowOff>43892</xdr:rowOff>
    </xdr:to>
    <xdr:sp macro="" textlink="TABLA!AQ12">
      <xdr:nvSpPr>
        <xdr:cNvPr id="73" name="Diagrama de flujo: proceso 72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/>
      </xdr:nvSpPr>
      <xdr:spPr>
        <a:xfrm>
          <a:off x="10304576" y="12177680"/>
          <a:ext cx="865089" cy="439212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7B760B1-7D32-4E44-9737-DBAA804FFA6B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75</xdr:row>
      <xdr:rowOff>41026</xdr:rowOff>
    </xdr:from>
    <xdr:to>
      <xdr:col>7</xdr:col>
      <xdr:colOff>82565</xdr:colOff>
      <xdr:row>77</xdr:row>
      <xdr:rowOff>136776</xdr:rowOff>
    </xdr:to>
    <xdr:sp macro="" textlink="TABLA!AQ13">
      <xdr:nvSpPr>
        <xdr:cNvPr id="74" name="Diagrama de flujo: proceso 73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/>
      </xdr:nvSpPr>
      <xdr:spPr>
        <a:xfrm>
          <a:off x="10304576" y="12614026"/>
          <a:ext cx="865089" cy="431030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1CEA850-B88A-4053-AB70-5DA4E841EEF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77</xdr:row>
      <xdr:rowOff>142998</xdr:rowOff>
    </xdr:from>
    <xdr:to>
      <xdr:col>7</xdr:col>
      <xdr:colOff>82565</xdr:colOff>
      <xdr:row>80</xdr:row>
      <xdr:rowOff>73457</xdr:rowOff>
    </xdr:to>
    <xdr:sp macro="" textlink="TABLA!AQ14">
      <xdr:nvSpPr>
        <xdr:cNvPr id="75" name="Diagrama de flujo: proceso 7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/>
      </xdr:nvSpPr>
      <xdr:spPr>
        <a:xfrm>
          <a:off x="10304576" y="13051278"/>
          <a:ext cx="865089" cy="433379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3CA2ADD-5FB2-41D2-8CA2-4650CCAE9F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80</xdr:row>
      <xdr:rowOff>76161</xdr:rowOff>
    </xdr:from>
    <xdr:to>
      <xdr:col>7</xdr:col>
      <xdr:colOff>82565</xdr:colOff>
      <xdr:row>83</xdr:row>
      <xdr:rowOff>11501</xdr:rowOff>
    </xdr:to>
    <xdr:sp macro="" textlink="TABLA!AQ15">
      <xdr:nvSpPr>
        <xdr:cNvPr id="76" name="Diagrama de flujo: proceso 75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/>
      </xdr:nvSpPr>
      <xdr:spPr>
        <a:xfrm>
          <a:off x="10304576" y="13487361"/>
          <a:ext cx="865089" cy="438260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9B1884E-CE64-48C4-8AC4-4167A8C295F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83</xdr:row>
      <xdr:rowOff>12468</xdr:rowOff>
    </xdr:from>
    <xdr:to>
      <xdr:col>7</xdr:col>
      <xdr:colOff>82565</xdr:colOff>
      <xdr:row>85</xdr:row>
      <xdr:rowOff>107692</xdr:rowOff>
    </xdr:to>
    <xdr:sp macro="" textlink="TABLA!AQ16">
      <xdr:nvSpPr>
        <xdr:cNvPr id="77" name="Diagrama de flujo: proceso 76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/>
      </xdr:nvSpPr>
      <xdr:spPr>
        <a:xfrm>
          <a:off x="10304576" y="13926588"/>
          <a:ext cx="865089" cy="430504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B37BB3F-0E4E-462F-BC84-0F679255AA90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5549696</xdr:colOff>
      <xdr:row>85</xdr:row>
      <xdr:rowOff>104826</xdr:rowOff>
    </xdr:from>
    <xdr:to>
      <xdr:col>7</xdr:col>
      <xdr:colOff>82565</xdr:colOff>
      <xdr:row>88</xdr:row>
      <xdr:rowOff>41118</xdr:rowOff>
    </xdr:to>
    <xdr:sp macro="" textlink="TABLA!AQ17">
      <xdr:nvSpPr>
        <xdr:cNvPr id="78" name="Diagrama de flujo: proceso 77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/>
      </xdr:nvSpPr>
      <xdr:spPr>
        <a:xfrm>
          <a:off x="10304576" y="14354226"/>
          <a:ext cx="865089" cy="439212"/>
        </a:xfrm>
        <a:prstGeom prst="flowChartProcess">
          <a:avLst/>
        </a:prstGeom>
        <a:solidFill>
          <a:schemeClr val="accent5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2F703B6-C6D5-432C-9C22-4A2731C4ED3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s-EC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62345</xdr:colOff>
      <xdr:row>0</xdr:row>
      <xdr:rowOff>131618</xdr:rowOff>
    </xdr:from>
    <xdr:to>
      <xdr:col>1</xdr:col>
      <xdr:colOff>394855</xdr:colOff>
      <xdr:row>2</xdr:row>
      <xdr:rowOff>69273</xdr:rowOff>
    </xdr:to>
    <xdr:sp macro="" textlink="">
      <xdr:nvSpPr>
        <xdr:cNvPr id="80" name="Rectángulo 79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/>
      </xdr:nvSpPr>
      <xdr:spPr>
        <a:xfrm>
          <a:off x="62345" y="131618"/>
          <a:ext cx="1122219" cy="270164"/>
        </a:xfrm>
        <a:prstGeom prst="rect">
          <a:avLst/>
        </a:prstGeom>
        <a:solidFill>
          <a:schemeClr val="accent5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 b="1" i="0" u="none" strike="noStrike">
              <a:solidFill>
                <a:srgbClr val="FFFFFF"/>
              </a:solidFill>
              <a:latin typeface="Arial"/>
              <a:cs typeface="Arial"/>
            </a:rPr>
            <a:t>CANTIDAD</a:t>
          </a:r>
          <a:r>
            <a:rPr lang="en-US" sz="800" b="0" i="0" u="none" strike="noStrike" baseline="0">
              <a:solidFill>
                <a:srgbClr val="FFFFFF"/>
              </a:solidFill>
              <a:latin typeface="Arial"/>
              <a:cs typeface="Arial"/>
            </a:rPr>
            <a:t> </a:t>
          </a:r>
          <a:r>
            <a:rPr lang="en-US" sz="800" b="1" i="0" u="none" strike="noStrike" baseline="0">
              <a:solidFill>
                <a:srgbClr val="FFFFFF"/>
              </a:solidFill>
              <a:latin typeface="Arial"/>
              <a:cs typeface="Arial"/>
            </a:rPr>
            <a:t>TOTAL</a:t>
          </a:r>
        </a:p>
      </xdr:txBody>
    </xdr:sp>
    <xdr:clientData/>
  </xdr:twoCellAnchor>
  <xdr:twoCellAnchor>
    <xdr:from>
      <xdr:col>5</xdr:col>
      <xdr:colOff>0</xdr:colOff>
      <xdr:row>4</xdr:row>
      <xdr:rowOff>0</xdr:rowOff>
    </xdr:from>
    <xdr:to>
      <xdr:col>8</xdr:col>
      <xdr:colOff>644236</xdr:colOff>
      <xdr:row>14</xdr:row>
      <xdr:rowOff>124691</xdr:rowOff>
    </xdr:to>
    <xdr:graphicFrame macro="">
      <xdr:nvGraphicFramePr>
        <xdr:cNvPr id="81" name="Gráfico 80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83128</xdr:colOff>
      <xdr:row>15</xdr:row>
      <xdr:rowOff>166254</xdr:rowOff>
    </xdr:from>
    <xdr:to>
      <xdr:col>6</xdr:col>
      <xdr:colOff>8313</xdr:colOff>
      <xdr:row>31</xdr:row>
      <xdr:rowOff>6926</xdr:rowOff>
    </xdr:to>
    <xdr:graphicFrame macro="">
      <xdr:nvGraphicFramePr>
        <xdr:cNvPr id="82" name="Gráfico 81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533401</xdr:colOff>
      <xdr:row>15</xdr:row>
      <xdr:rowOff>13855</xdr:rowOff>
    </xdr:from>
    <xdr:to>
      <xdr:col>6</xdr:col>
      <xdr:colOff>4468091</xdr:colOff>
      <xdr:row>32</xdr:row>
      <xdr:rowOff>27883</xdr:rowOff>
    </xdr:to>
    <xdr:graphicFrame macro="">
      <xdr:nvGraphicFramePr>
        <xdr:cNvPr id="83" name="Gráfico 82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46</xdr:row>
      <xdr:rowOff>0</xdr:rowOff>
    </xdr:from>
    <xdr:to>
      <xdr:col>5</xdr:col>
      <xdr:colOff>62346</xdr:colOff>
      <xdr:row>63</xdr:row>
      <xdr:rowOff>8313</xdr:rowOff>
    </xdr:to>
    <xdr:graphicFrame macro="">
      <xdr:nvGraphicFramePr>
        <xdr:cNvPr id="84" name="Gráfico 83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103909</xdr:colOff>
      <xdr:row>63</xdr:row>
      <xdr:rowOff>62346</xdr:rowOff>
    </xdr:from>
    <xdr:to>
      <xdr:col>5</xdr:col>
      <xdr:colOff>76200</xdr:colOff>
      <xdr:row>79</xdr:row>
      <xdr:rowOff>152400</xdr:rowOff>
    </xdr:to>
    <xdr:graphicFrame macro="">
      <xdr:nvGraphicFramePr>
        <xdr:cNvPr id="85" name="Gráfic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</xdr:col>
      <xdr:colOff>4391891</xdr:colOff>
      <xdr:row>15</xdr:row>
      <xdr:rowOff>13855</xdr:rowOff>
    </xdr:from>
    <xdr:to>
      <xdr:col>8</xdr:col>
      <xdr:colOff>559724</xdr:colOff>
      <xdr:row>21</xdr:row>
      <xdr:rowOff>105988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86" name="fecha reingreso 2">
              <a:extLst>
                <a:ext uri="{FF2B5EF4-FFF2-40B4-BE49-F238E27FC236}">
                  <a16:creationId xmlns:a16="http://schemas.microsoft.com/office/drawing/2014/main" id="{4C946A02-713C-43EB-A507-6942C73FA96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fecha reingres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0146" y="2507673"/>
              <a:ext cx="3337560" cy="10896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Línea de tiempo: Funciona en Excel 2013 o superior. No mover ni cambiar el tamaño.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4391891</xdr:colOff>
      <xdr:row>24</xdr:row>
      <xdr:rowOff>6928</xdr:rowOff>
    </xdr:from>
    <xdr:to>
      <xdr:col>8</xdr:col>
      <xdr:colOff>436418</xdr:colOff>
      <xdr:row>31</xdr:row>
      <xdr:rowOff>6927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7" name="Motivos 1">
              <a:extLst>
                <a:ext uri="{FF2B5EF4-FFF2-40B4-BE49-F238E27FC236}">
                  <a16:creationId xmlns:a16="http://schemas.microsoft.com/office/drawing/2014/main" id="{5803F819-5A59-44A6-9B8C-9C57D74259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otivos 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30146" y="3997037"/>
              <a:ext cx="3214254" cy="11637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221673</xdr:colOff>
      <xdr:row>31</xdr:row>
      <xdr:rowOff>103909</xdr:rowOff>
    </xdr:from>
    <xdr:to>
      <xdr:col>8</xdr:col>
      <xdr:colOff>484909</xdr:colOff>
      <xdr:row>45</xdr:row>
      <xdr:rowOff>14720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88" name="Nombre C.Costo 2">
              <a:extLst>
                <a:ext uri="{FF2B5EF4-FFF2-40B4-BE49-F238E27FC236}">
                  <a16:creationId xmlns:a16="http://schemas.microsoft.com/office/drawing/2014/main" id="{09138F28-2A11-4384-A0A2-24C240C0E0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bre C.Costo 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1673" y="5257800"/>
              <a:ext cx="12171218" cy="2238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EC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Alejandro Redrovan Andrade" refreshedDate="44494.641990277778" backgroundQuery="1" createdVersion="5" refreshedVersion="7" minRefreshableVersion="3" recordCount="0" supportSubquery="1" supportAdvancedDrill="1" xr:uid="{00000000-000A-0000-FFFF-FFFF45030000}">
  <cacheSource type="external" connectionId="1"/>
  <cacheFields count="3">
    <cacheField name="[BD1].[Motivos].[Motivos]" caption="Motivos" numFmtId="0" hierarchy="17" level="1">
      <sharedItems count="3">
        <s v="Error en documento"/>
        <s v="Material no retirado"/>
        <s v="Material no utilizado"/>
      </sharedItems>
    </cacheField>
    <cacheField name="[Measures].[Recuento de %  50 %]" caption="Recuento de %  50 %" numFmtId="0" hierarchy="27" level="32767"/>
    <cacheField name="[BD1].[Nombre C.Costo].[Nombre C.Costo]" caption="Nombre C.Costo" numFmtId="0" hierarchy="11" level="1">
      <sharedItems containsSemiMixedTypes="0" containsNonDate="0" containsString="0"/>
    </cacheField>
  </cacheFields>
  <cacheHierarchies count="31">
    <cacheHierarchy uniqueName="[BD1].[Código EEQ]" caption="Código EEQ" attribute="1" defaultMemberUniqueName="[BD1].[Código EEQ].[All]" allUniqueName="[BD1].[Código EEQ].[All]" dimensionUniqueName="[BD1]" displayFolder="" count="0" memberValueDatatype="20" unbalanced="0"/>
    <cacheHierarchy uniqueName="[BD1].[Descripción]" caption="Descripción" attribute="1" defaultMemberUniqueName="[BD1].[Descripción].[All]" allUniqueName="[BD1].[Descripción].[All]" dimensionUniqueName="[BD1]" displayFolder="" count="0" memberValueDatatype="130" unbalanced="0"/>
    <cacheHierarchy uniqueName="[BD1].[Bodega reingreso]" caption="Bodega reingreso" attribute="1" defaultMemberUniqueName="[BD1].[Bodega reingreso].[All]" allUniqueName="[BD1].[Bodega reingreso].[All]" dimensionUniqueName="[BD1]" displayFolder="" count="0" memberValueDatatype="20" unbalanced="0"/>
    <cacheHierarchy uniqueName="[BD1].[Nombre Bodega]" caption="Nombre Bodega" attribute="1" defaultMemberUniqueName="[BD1].[Nombre Bodega].[All]" allUniqueName="[BD1].[Nombre Bodega].[All]" dimensionUniqueName="[BD1]" displayFolder="" count="0" memberValueDatatype="130" unbalanced="0"/>
    <cacheHierarchy uniqueName="[BD1].[Nro documento]" caption="Nro documento" attribute="1" defaultMemberUniqueName="[BD1].[Nro documento].[All]" allUniqueName="[BD1].[Nro documento].[All]" dimensionUniqueName="[BD1]" displayFolder="" count="0" memberValueDatatype="20" unbalanced="0"/>
    <cacheHierarchy uniqueName="[BD1].[fecha reingreso]" caption="fecha reingreso" attribute="1" time="1" defaultMemberUniqueName="[BD1].[fecha reingreso].[All]" allUniqueName="[BD1].[fecha reingreso].[All]" dimensionUniqueName="[BD1]" displayFolder="" count="0" memberValueDatatype="7" unbalanced="0"/>
    <cacheHierarchy uniqueName="[BD1].[cantidad reingresada]" caption="cantidad reingresada" attribute="1" defaultMemberUniqueName="[BD1].[cantidad reingresada].[All]" allUniqueName="[BD1].[cantidad reingresada].[All]" dimensionUniqueName="[BD1]" displayFolder="" count="0" memberValueDatatype="20" unbalanced="0"/>
    <cacheHierarchy uniqueName="[BD1].[nro egreso]" caption="nro egreso" attribute="1" defaultMemberUniqueName="[BD1].[nro egreso].[All]" allUniqueName="[BD1].[nro egreso].[All]" dimensionUniqueName="[BD1]" displayFolder="" count="0" memberValueDatatype="20" unbalanced="0"/>
    <cacheHierarchy uniqueName="[BD1].[fecha egreso]" caption="fecha egreso" attribute="1" time="1" defaultMemberUniqueName="[BD1].[fecha egreso].[All]" allUniqueName="[BD1].[fecha egreso].[All]" dimensionUniqueName="[BD1]" displayFolder="" count="0" memberValueDatatype="7" unbalanced="0"/>
    <cacheHierarchy uniqueName="[BD1].[cantidad egreso]" caption="cantidad egreso" attribute="1" defaultMemberUniqueName="[BD1].[cantidad egreso].[All]" allUniqueName="[BD1].[cantidad egreso].[All]" dimensionUniqueName="[BD1]" displayFolder="" count="0" memberValueDatatype="20" unbalanced="0"/>
    <cacheHierarchy uniqueName="[BD1].[centro de costo]" caption="centro de costo" attribute="1" defaultMemberUniqueName="[BD1].[centro de costo].[All]" allUniqueName="[BD1].[centro de costo].[All]" dimensionUniqueName="[BD1]" displayFolder="" count="0" memberValueDatatype="20" unbalanced="0"/>
    <cacheHierarchy uniqueName="[BD1].[Nombre C.Costo]" caption="Nombre C.Costo" attribute="1" defaultMemberUniqueName="[BD1].[Nombre C.Costo].[All]" allUniqueName="[BD1].[Nombre C.Costo].[All]" dimensionUniqueName="[BD1]" displayFolder="" count="2" memberValueDatatype="130" unbalanced="0">
      <fieldsUsage count="2">
        <fieldUsage x="-1"/>
        <fieldUsage x="2"/>
      </fieldsUsage>
    </cacheHierarchy>
    <cacheHierarchy uniqueName="[BD1].[rol o RUC entrega]" caption="rol o RUC entrega" attribute="1" defaultMemberUniqueName="[BD1].[rol o RUC entrega].[All]" allUniqueName="[BD1].[rol o RUC entrega].[All]" dimensionUniqueName="[BD1]" displayFolder="" count="0" memberValueDatatype="130" unbalanced="0"/>
    <cacheHierarchy uniqueName="[BD1].[Nombre entrega]" caption="Nombre entrega" attribute="1" defaultMemberUniqueName="[BD1].[Nombre entrega].[All]" allUniqueName="[BD1].[Nombre entrega].[All]" dimensionUniqueName="[BD1]" displayFolder="" count="0" memberValueDatatype="130" unbalanced="0"/>
    <cacheHierarchy uniqueName="[BD1].[% &gt; 50 %]" caption="% &gt; 50 %" attribute="1" defaultMemberUniqueName="[BD1].[% &gt; 50 %].[All]" allUniqueName="[BD1].[% &gt; 50 %].[All]" dimensionUniqueName="[BD1]" displayFolder="" count="0" memberValueDatatype="5" unbalanced="0"/>
    <cacheHierarchy uniqueName="[BD1].[Temporalidad (dias)]" caption="Temporalidad (dias)" attribute="1" defaultMemberUniqueName="[BD1].[Temporalidad (dias)].[All]" allUniqueName="[BD1].[Temporalidad (dias)].[All]" dimensionUniqueName="[BD1]" displayFolder="" count="0" memberValueDatatype="20" unbalanced="0"/>
    <cacheHierarchy uniqueName="[BD1].[Observaciones]" caption="Observaciones" attribute="1" defaultMemberUniqueName="[BD1].[Observaciones].[All]" allUniqueName="[BD1].[Observaciones].[All]" dimensionUniqueName="[BD1]" displayFolder="" count="0" memberValueDatatype="130" unbalanced="0"/>
    <cacheHierarchy uniqueName="[BD1].[Motivos]" caption="Motivos" attribute="1" defaultMemberUniqueName="[BD1].[Motivos].[All]" allUniqueName="[BD1].[Motivos].[All]" dimensionUniqueName="[BD1]" displayFolder="" count="2" memberValueDatatype="130" unbalanced="0">
      <fieldsUsage count="2">
        <fieldUsage x="-1"/>
        <fieldUsage x="0"/>
      </fieldsUsage>
    </cacheHierarchy>
    <cacheHierarchy uniqueName="[BD1].[Grupo Temporalidad]" caption="Grupo Temporalidad" attribute="1" defaultMemberUniqueName="[BD1].[Grupo Temporalidad].[All]" allUniqueName="[BD1].[Grupo Temporalidad].[All]" dimensionUniqueName="[BD1]" displayFolder="" count="0" memberValueDatatype="130" unbalanced="0"/>
    <cacheHierarchy uniqueName="[BD1].[Tipo de personal]" caption="Tipo de personal" attribute="1" defaultMemberUniqueName="[BD1].[Tipo de personal].[All]" allUniqueName="[BD1].[Tipo de personal].[All]" dimensionUniqueName="[BD1]" displayFolder="" count="0" memberValueDatatype="130" unbalanced="0"/>
    <cacheHierarchy uniqueName="[Measures].[__XL_Count BD1]" caption="__XL_Count BD1" measure="1" displayFolder="" measureGroup="BD1" count="0" hidden="1"/>
    <cacheHierarchy uniqueName="[Measures].[__XL_Count of Models]" caption="__XL_Count of Models" measure="1" displayFolder="" count="0" hidden="1"/>
    <cacheHierarchy uniqueName="[Measures].[Suma de %  50 %]" caption="Suma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%  50 %]" caption="Recuento disti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Temporalidad (dias)]" caption="Suma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Temporalidad (dias)]" caption="Recuent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Grupo Temporalidad]" caption="Recuento de Grupo Temporalidad" measure="1" displayFolder="" measureGroup="BD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%  50 %]" caption="Recuento de %  50 %" measure="1" displayFolder="" measureGroup="BD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antidad reingresada]" caption="Suma de cantidad reingresada" measure="1" displayFolder="" measureGroup="BD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Promedio de Temporalidad (dias)]" caption="Promedi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Promedio de %  50 %]" caption="Promedi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2">
    <dimension name="BD1" uniqueName="[BD1]" caption="BD1"/>
    <dimension measure="1" name="Measures" uniqueName="[Measures]" caption="Measures"/>
  </dimensions>
  <measureGroups count="1">
    <measureGroup name="BD1" caption="BD1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Alejandro Redrovan Andrade" refreshedDate="44494.641991319448" backgroundQuery="1" createdVersion="5" refreshedVersion="7" minRefreshableVersion="3" recordCount="0" supportSubquery="1" supportAdvancedDrill="1" xr:uid="{00000000-000A-0000-FFFF-FFFF3C030000}">
  <cacheSource type="external" connectionId="1"/>
  <cacheFields count="3">
    <cacheField name="[BD1].[Grupo Temporalidad].[Grupo Temporalidad]" caption="Grupo Temporalidad" numFmtId="0" hierarchy="18" level="1">
      <sharedItems count="8">
        <s v="0 - 60 DIAS"/>
        <s v="121 -180 DIAS"/>
        <s v="181-240 DIAS" u="1"/>
        <s v="241 -400 DIAS" u="1"/>
        <s v="401 -700 DIAS" u="1"/>
        <s v="61 -120 DIAS" u="1"/>
        <s v="&lt;60 DIAS" u="1"/>
        <s v="&gt;700 DIAS" u="1"/>
      </sharedItems>
    </cacheField>
    <cacheField name="[Measures].[Recuento de Grupo Temporalidad]" caption="Recuento de Grupo Temporalidad" numFmtId="0" hierarchy="26" level="32767"/>
    <cacheField name="[BD1].[Nombre C.Costo].[Nombre C.Costo]" caption="Nombre C.Costo" numFmtId="0" hierarchy="11" level="1">
      <sharedItems containsSemiMixedTypes="0" containsNonDate="0" containsString="0"/>
    </cacheField>
  </cacheFields>
  <cacheHierarchies count="31">
    <cacheHierarchy uniqueName="[BD1].[Código EEQ]" caption="Código EEQ" attribute="1" defaultMemberUniqueName="[BD1].[Código EEQ].[All]" allUniqueName="[BD1].[Código EEQ].[All]" dimensionUniqueName="[BD1]" displayFolder="" count="0" memberValueDatatype="20" unbalanced="0"/>
    <cacheHierarchy uniqueName="[BD1].[Descripción]" caption="Descripción" attribute="1" defaultMemberUniqueName="[BD1].[Descripción].[All]" allUniqueName="[BD1].[Descripción].[All]" dimensionUniqueName="[BD1]" displayFolder="" count="0" memberValueDatatype="130" unbalanced="0"/>
    <cacheHierarchy uniqueName="[BD1].[Bodega reingreso]" caption="Bodega reingreso" attribute="1" defaultMemberUniqueName="[BD1].[Bodega reingreso].[All]" allUniqueName="[BD1].[Bodega reingreso].[All]" dimensionUniqueName="[BD1]" displayFolder="" count="0" memberValueDatatype="20" unbalanced="0"/>
    <cacheHierarchy uniqueName="[BD1].[Nombre Bodega]" caption="Nombre Bodega" attribute="1" defaultMemberUniqueName="[BD1].[Nombre Bodega].[All]" allUniqueName="[BD1].[Nombre Bodega].[All]" dimensionUniqueName="[BD1]" displayFolder="" count="0" memberValueDatatype="130" unbalanced="0"/>
    <cacheHierarchy uniqueName="[BD1].[Nro documento]" caption="Nro documento" attribute="1" defaultMemberUniqueName="[BD1].[Nro documento].[All]" allUniqueName="[BD1].[Nro documento].[All]" dimensionUniqueName="[BD1]" displayFolder="" count="0" memberValueDatatype="20" unbalanced="0"/>
    <cacheHierarchy uniqueName="[BD1].[fecha reingreso]" caption="fecha reingreso" attribute="1" time="1" defaultMemberUniqueName="[BD1].[fecha reingreso].[All]" allUniqueName="[BD1].[fecha reingreso].[All]" dimensionUniqueName="[BD1]" displayFolder="" count="2" memberValueDatatype="7" unbalanced="0"/>
    <cacheHierarchy uniqueName="[BD1].[cantidad reingresada]" caption="cantidad reingresada" attribute="1" defaultMemberUniqueName="[BD1].[cantidad reingresada].[All]" allUniqueName="[BD1].[cantidad reingresada].[All]" dimensionUniqueName="[BD1]" displayFolder="" count="0" memberValueDatatype="5" unbalanced="0"/>
    <cacheHierarchy uniqueName="[BD1].[nro egreso]" caption="nro egreso" attribute="1" defaultMemberUniqueName="[BD1].[nro egreso].[All]" allUniqueName="[BD1].[nro egreso].[All]" dimensionUniqueName="[BD1]" displayFolder="" count="0" memberValueDatatype="20" unbalanced="0"/>
    <cacheHierarchy uniqueName="[BD1].[fecha egreso]" caption="fecha egreso" attribute="1" time="1" defaultMemberUniqueName="[BD1].[fecha egreso].[All]" allUniqueName="[BD1].[fecha egreso].[All]" dimensionUniqueName="[BD1]" displayFolder="" count="0" memberValueDatatype="7" unbalanced="0"/>
    <cacheHierarchy uniqueName="[BD1].[cantidad egreso]" caption="cantidad egreso" attribute="1" defaultMemberUniqueName="[BD1].[cantidad egreso].[All]" allUniqueName="[BD1].[cantidad egreso].[All]" dimensionUniqueName="[BD1]" displayFolder="" count="0" memberValueDatatype="5" unbalanced="0"/>
    <cacheHierarchy uniqueName="[BD1].[centro de costo]" caption="centro de costo" attribute="1" defaultMemberUniqueName="[BD1].[centro de costo].[All]" allUniqueName="[BD1].[centro de costo].[All]" dimensionUniqueName="[BD1]" displayFolder="" count="0" memberValueDatatype="20" unbalanced="0"/>
    <cacheHierarchy uniqueName="[BD1].[Nombre C.Costo]" caption="Nombre C.Costo" attribute="1" defaultMemberUniqueName="[BD1].[Nombre C.Costo].[All]" allUniqueName="[BD1].[Nombre C.Costo].[All]" dimensionUniqueName="[BD1]" displayFolder="" count="2" memberValueDatatype="130" unbalanced="0">
      <fieldsUsage count="2">
        <fieldUsage x="-1"/>
        <fieldUsage x="2"/>
      </fieldsUsage>
    </cacheHierarchy>
    <cacheHierarchy uniqueName="[BD1].[rol o RUC entrega]" caption="rol o RUC entrega" attribute="1" defaultMemberUniqueName="[BD1].[rol o RUC entrega].[All]" allUniqueName="[BD1].[rol o RUC entrega].[All]" dimensionUniqueName="[BD1]" displayFolder="" count="0" memberValueDatatype="130" unbalanced="0"/>
    <cacheHierarchy uniqueName="[BD1].[Nombre entrega]" caption="Nombre entrega" attribute="1" defaultMemberUniqueName="[BD1].[Nombre entrega].[All]" allUniqueName="[BD1].[Nombre entrega].[All]" dimensionUniqueName="[BD1]" displayFolder="" count="0" memberValueDatatype="130" unbalanced="0"/>
    <cacheHierarchy uniqueName="[BD1].[% &gt; 50 %]" caption="% &gt; 50 %" attribute="1" defaultMemberUniqueName="[BD1].[% &gt; 50 %].[All]" allUniqueName="[BD1].[% &gt; 50 %].[All]" dimensionUniqueName="[BD1]" displayFolder="" count="0" memberValueDatatype="5" unbalanced="0"/>
    <cacheHierarchy uniqueName="[BD1].[Temporalidad (dias)]" caption="Temporalidad (dias)" attribute="1" defaultMemberUniqueName="[BD1].[Temporalidad (dias)].[All]" allUniqueName="[BD1].[Temporalidad (dias)].[All]" dimensionUniqueName="[BD1]" displayFolder="" count="0" memberValueDatatype="20" unbalanced="0"/>
    <cacheHierarchy uniqueName="[BD1].[Observaciones]" caption="Observaciones" attribute="1" defaultMemberUniqueName="[BD1].[Observaciones].[All]" allUniqueName="[BD1].[Observaciones].[All]" dimensionUniqueName="[BD1]" displayFolder="" count="0" memberValueDatatype="130" unbalanced="0"/>
    <cacheHierarchy uniqueName="[BD1].[Motivos]" caption="Motivos" attribute="1" defaultMemberUniqueName="[BD1].[Motivos].[All]" allUniqueName="[BD1].[Motivos].[All]" dimensionUniqueName="[BD1]" displayFolder="" count="2" memberValueDatatype="130" unbalanced="0"/>
    <cacheHierarchy uniqueName="[BD1].[Grupo Temporalidad]" caption="Grupo Temporalidad" attribute="1" defaultMemberUniqueName="[BD1].[Grupo Temporalidad].[All]" allUniqueName="[BD1].[Grupo Temporalidad].[All]" dimensionUniqueName="[BD1]" displayFolder="" count="2" memberValueDatatype="130" unbalanced="0">
      <fieldsUsage count="2">
        <fieldUsage x="-1"/>
        <fieldUsage x="0"/>
      </fieldsUsage>
    </cacheHierarchy>
    <cacheHierarchy uniqueName="[BD1].[Tipo de personal]" caption="Tipo de personal" attribute="1" defaultMemberUniqueName="[BD1].[Tipo de personal].[All]" allUniqueName="[BD1].[Tipo de personal].[All]" dimensionUniqueName="[BD1]" displayFolder="" count="0" memberValueDatatype="130" unbalanced="0"/>
    <cacheHierarchy uniqueName="[Measures].[__XL_Count BD1]" caption="__XL_Count BD1" measure="1" displayFolder="" measureGroup="BD1" count="0" hidden="1"/>
    <cacheHierarchy uniqueName="[Measures].[__XL_Count of Models]" caption="__XL_Count of Models" measure="1" displayFolder="" count="0" hidden="1"/>
    <cacheHierarchy uniqueName="[Measures].[Suma de %  50 %]" caption="Suma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%  50 %]" caption="Recuento disti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Temporalidad (dias)]" caption="Suma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Temporalidad (dias)]" caption="Recuent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Grupo Temporalidad]" caption="Recuento de Grupo Temporalidad" measure="1" displayFolder="" measureGroup="BD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%  50 %]" caption="Recue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antidad reingresada]" caption="Suma de cantidad reingresada" measure="1" displayFolder="" measureGroup="BD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Promedio de Temporalidad (dias)]" caption="Promedi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Promedio de %  50 %]" caption="Promedi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2">
    <dimension name="BD1" uniqueName="[BD1]" caption="BD1"/>
    <dimension measure="1" name="Measures" uniqueName="[Measures]" caption="Measures"/>
  </dimensions>
  <measureGroups count="1">
    <measureGroup name="BD1" caption="BD1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Alejandro Redrovan Andrade" refreshedDate="44494.641991666664" backgroundQuery="1" createdVersion="5" refreshedVersion="7" minRefreshableVersion="3" recordCount="0" supportSubquery="1" supportAdvancedDrill="1" xr:uid="{00000000-000A-0000-FFFF-FFFF39030000}">
  <cacheSource type="external" connectionId="1"/>
  <cacheFields count="3">
    <cacheField name="[BD1].[Tipo de personal].[Tipo de personal]" caption="Tipo de personal" numFmtId="0" hierarchy="19" level="1">
      <sharedItems count="2">
        <s v="Contratista"/>
        <s v="Personal EEQ"/>
      </sharedItems>
    </cacheField>
    <cacheField name="[Measures].[Recuento de %  50 %]" caption="Recuento de %  50 %" numFmtId="0" hierarchy="27" level="32767"/>
    <cacheField name="[BD1].[Nombre C.Costo].[Nombre C.Costo]" caption="Nombre C.Costo" numFmtId="0" hierarchy="11" level="1">
      <sharedItems containsSemiMixedTypes="0" containsNonDate="0" containsString="0"/>
    </cacheField>
  </cacheFields>
  <cacheHierarchies count="31">
    <cacheHierarchy uniqueName="[BD1].[Código EEQ]" caption="Código EEQ" attribute="1" defaultMemberUniqueName="[BD1].[Código EEQ].[All]" allUniqueName="[BD1].[Código EEQ].[All]" dimensionUniqueName="[BD1]" displayFolder="" count="0" memberValueDatatype="20" unbalanced="0"/>
    <cacheHierarchy uniqueName="[BD1].[Descripción]" caption="Descripción" attribute="1" defaultMemberUniqueName="[BD1].[Descripción].[All]" allUniqueName="[BD1].[Descripción].[All]" dimensionUniqueName="[BD1]" displayFolder="" count="0" memberValueDatatype="130" unbalanced="0"/>
    <cacheHierarchy uniqueName="[BD1].[Bodega reingreso]" caption="Bodega reingreso" attribute="1" defaultMemberUniqueName="[BD1].[Bodega reingreso].[All]" allUniqueName="[BD1].[Bodega reingreso].[All]" dimensionUniqueName="[BD1]" displayFolder="" count="0" memberValueDatatype="20" unbalanced="0"/>
    <cacheHierarchy uniqueName="[BD1].[Nombre Bodega]" caption="Nombre Bodega" attribute="1" defaultMemberUniqueName="[BD1].[Nombre Bodega].[All]" allUniqueName="[BD1].[Nombre Bodega].[All]" dimensionUniqueName="[BD1]" displayFolder="" count="0" memberValueDatatype="130" unbalanced="0"/>
    <cacheHierarchy uniqueName="[BD1].[Nro documento]" caption="Nro documento" attribute="1" defaultMemberUniqueName="[BD1].[Nro documento].[All]" allUniqueName="[BD1].[Nro documento].[All]" dimensionUniqueName="[BD1]" displayFolder="" count="0" memberValueDatatype="20" unbalanced="0"/>
    <cacheHierarchy uniqueName="[BD1].[fecha reingreso]" caption="fecha reingreso" attribute="1" time="1" defaultMemberUniqueName="[BD1].[fecha reingreso].[All]" allUniqueName="[BD1].[fecha reingreso].[All]" dimensionUniqueName="[BD1]" displayFolder="" count="2" memberValueDatatype="7" unbalanced="0"/>
    <cacheHierarchy uniqueName="[BD1].[cantidad reingresada]" caption="cantidad reingresada" attribute="1" defaultMemberUniqueName="[BD1].[cantidad reingresada].[All]" allUniqueName="[BD1].[cantidad reingresada].[All]" dimensionUniqueName="[BD1]" displayFolder="" count="0" memberValueDatatype="5" unbalanced="0"/>
    <cacheHierarchy uniqueName="[BD1].[nro egreso]" caption="nro egreso" attribute="1" defaultMemberUniqueName="[BD1].[nro egreso].[All]" allUniqueName="[BD1].[nro egreso].[All]" dimensionUniqueName="[BD1]" displayFolder="" count="0" memberValueDatatype="20" unbalanced="0"/>
    <cacheHierarchy uniqueName="[BD1].[fecha egreso]" caption="fecha egreso" attribute="1" time="1" defaultMemberUniqueName="[BD1].[fecha egreso].[All]" allUniqueName="[BD1].[fecha egreso].[All]" dimensionUniqueName="[BD1]" displayFolder="" count="0" memberValueDatatype="7" unbalanced="0"/>
    <cacheHierarchy uniqueName="[BD1].[cantidad egreso]" caption="cantidad egreso" attribute="1" defaultMemberUniqueName="[BD1].[cantidad egreso].[All]" allUniqueName="[BD1].[cantidad egreso].[All]" dimensionUniqueName="[BD1]" displayFolder="" count="0" memberValueDatatype="5" unbalanced="0"/>
    <cacheHierarchy uniqueName="[BD1].[centro de costo]" caption="centro de costo" attribute="1" defaultMemberUniqueName="[BD1].[centro de costo].[All]" allUniqueName="[BD1].[centro de costo].[All]" dimensionUniqueName="[BD1]" displayFolder="" count="0" memberValueDatatype="20" unbalanced="0"/>
    <cacheHierarchy uniqueName="[BD1].[Nombre C.Costo]" caption="Nombre C.Costo" attribute="1" defaultMemberUniqueName="[BD1].[Nombre C.Costo].[All]" allUniqueName="[BD1].[Nombre C.Costo].[All]" dimensionUniqueName="[BD1]" displayFolder="" count="2" memberValueDatatype="130" unbalanced="0">
      <fieldsUsage count="2">
        <fieldUsage x="-1"/>
        <fieldUsage x="2"/>
      </fieldsUsage>
    </cacheHierarchy>
    <cacheHierarchy uniqueName="[BD1].[rol o RUC entrega]" caption="rol o RUC entrega" attribute="1" defaultMemberUniqueName="[BD1].[rol o RUC entrega].[All]" allUniqueName="[BD1].[rol o RUC entrega].[All]" dimensionUniqueName="[BD1]" displayFolder="" count="0" memberValueDatatype="130" unbalanced="0"/>
    <cacheHierarchy uniqueName="[BD1].[Nombre entrega]" caption="Nombre entrega" attribute="1" defaultMemberUniqueName="[BD1].[Nombre entrega].[All]" allUniqueName="[BD1].[Nombre entrega].[All]" dimensionUniqueName="[BD1]" displayFolder="" count="0" memberValueDatatype="130" unbalanced="0"/>
    <cacheHierarchy uniqueName="[BD1].[% &gt; 50 %]" caption="% &gt; 50 %" attribute="1" defaultMemberUniqueName="[BD1].[% &gt; 50 %].[All]" allUniqueName="[BD1].[% &gt; 50 %].[All]" dimensionUniqueName="[BD1]" displayFolder="" count="0" memberValueDatatype="5" unbalanced="0"/>
    <cacheHierarchy uniqueName="[BD1].[Temporalidad (dias)]" caption="Temporalidad (dias)" attribute="1" defaultMemberUniqueName="[BD1].[Temporalidad (dias)].[All]" allUniqueName="[BD1].[Temporalidad (dias)].[All]" dimensionUniqueName="[BD1]" displayFolder="" count="0" memberValueDatatype="20" unbalanced="0"/>
    <cacheHierarchy uniqueName="[BD1].[Observaciones]" caption="Observaciones" attribute="1" defaultMemberUniqueName="[BD1].[Observaciones].[All]" allUniqueName="[BD1].[Observaciones].[All]" dimensionUniqueName="[BD1]" displayFolder="" count="0" memberValueDatatype="130" unbalanced="0"/>
    <cacheHierarchy uniqueName="[BD1].[Motivos]" caption="Motivos" attribute="1" defaultMemberUniqueName="[BD1].[Motivos].[All]" allUniqueName="[BD1].[Motivos].[All]" dimensionUniqueName="[BD1]" displayFolder="" count="2" memberValueDatatype="130" unbalanced="0"/>
    <cacheHierarchy uniqueName="[BD1].[Grupo Temporalidad]" caption="Grupo Temporalidad" attribute="1" defaultMemberUniqueName="[BD1].[Grupo Temporalidad].[All]" allUniqueName="[BD1].[Grupo Temporalidad].[All]" dimensionUniqueName="[BD1]" displayFolder="" count="0" memberValueDatatype="130" unbalanced="0"/>
    <cacheHierarchy uniqueName="[BD1].[Tipo de personal]" caption="Tipo de personal" attribute="1" defaultMemberUniqueName="[BD1].[Tipo de personal].[All]" allUniqueName="[BD1].[Tipo de personal].[All]" dimensionUniqueName="[BD1]" displayFolder="" count="2" memberValueDatatype="130" unbalanced="0">
      <fieldsUsage count="2">
        <fieldUsage x="-1"/>
        <fieldUsage x="0"/>
      </fieldsUsage>
    </cacheHierarchy>
    <cacheHierarchy uniqueName="[Measures].[__XL_Count BD1]" caption="__XL_Count BD1" measure="1" displayFolder="" measureGroup="BD1" count="0" hidden="1"/>
    <cacheHierarchy uniqueName="[Measures].[__XL_Count of Models]" caption="__XL_Count of Models" measure="1" displayFolder="" count="0" hidden="1"/>
    <cacheHierarchy uniqueName="[Measures].[Suma de %  50 %]" caption="Suma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%  50 %]" caption="Recuento disti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Temporalidad (dias)]" caption="Suma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Temporalidad (dias)]" caption="Recuent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Grupo Temporalidad]" caption="Recuento de Grupo Temporalidad" measure="1" displayFolder="" measureGroup="BD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%  50 %]" caption="Recuento de %  50 %" measure="1" displayFolder="" measureGroup="BD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antidad reingresada]" caption="Suma de cantidad reingresada" measure="1" displayFolder="" measureGroup="BD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Promedio de Temporalidad (dias)]" caption="Promedi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Promedio de %  50 %]" caption="Promedi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2">
    <dimension name="BD1" uniqueName="[BD1]" caption="BD1"/>
    <dimension measure="1" name="Measures" uniqueName="[Measures]" caption="Measures"/>
  </dimensions>
  <measureGroups count="1">
    <measureGroup name="BD1" caption="BD1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Alejandro Redrovan Andrade" refreshedDate="44494.641992245372" backgroundQuery="1" createdVersion="5" refreshedVersion="7" minRefreshableVersion="3" recordCount="0" supportSubquery="1" supportAdvancedDrill="1" xr:uid="{00000000-000A-0000-FFFF-FFFF33030000}">
  <cacheSource type="external" connectionId="1"/>
  <cacheFields count="5">
    <cacheField name="[BD1].[Descripción].[Descripción]" caption="Descripción" numFmtId="0" hierarchy="1" level="1">
      <sharedItems count="5">
        <s v="ALCOHOL ANTISEPTICO 70%"/>
        <s v="CAJA DE DISTRIBUCION TRIFASICA, 3 FASES Y 1 NEUTRO, CON TAPA DE SEGURIDAD"/>
        <s v="DISYUNTOR DE POTENCIA TRIFASICO TANQUE MUERTO, 46 KV, 1200 A, SF6 POLOS INDIVIDUALES CON TC."/>
        <s v="EQUIPO DE CONTROL AUTOMATICO DE ALUMBRADO PUBLICO DE 30 A"/>
        <s v="RESMA DE PAPEL BOND A4 DE 75 GR"/>
      </sharedItems>
    </cacheField>
    <cacheField name="[Measures].[Suma de cantidad reingresada]" caption="Suma de cantidad reingresada" numFmtId="0" hierarchy="28" level="32767"/>
    <cacheField name="[Measures].[Promedio de Temporalidad (dias)]" caption="Promedio de Temporalidad (dias)" numFmtId="0" hierarchy="29" level="32767"/>
    <cacheField name="[Measures].[Promedio de %  50 %]" caption="Promedio de %  50 %" numFmtId="0" hierarchy="30" level="32767"/>
    <cacheField name="[BD1].[Nombre C.Costo].[Nombre C.Costo]" caption="Nombre C.Costo" numFmtId="0" hierarchy="11" level="1">
      <sharedItems containsSemiMixedTypes="0" containsNonDate="0" containsString="0"/>
    </cacheField>
  </cacheFields>
  <cacheHierarchies count="31">
    <cacheHierarchy uniqueName="[BD1].[Código EEQ]" caption="Código EEQ" attribute="1" defaultMemberUniqueName="[BD1].[Código EEQ].[All]" allUniqueName="[BD1].[Código EEQ].[All]" dimensionUniqueName="[BD1]" displayFolder="" count="0" memberValueDatatype="20" unbalanced="0"/>
    <cacheHierarchy uniqueName="[BD1].[Descripción]" caption="Descripción" attribute="1" defaultMemberUniqueName="[BD1].[Descripción].[All]" allUniqueName="[BD1].[Descripción].[All]" dimensionUniqueName="[BD1]" displayFolder="" count="2" memberValueDatatype="130" unbalanced="0">
      <fieldsUsage count="2">
        <fieldUsage x="-1"/>
        <fieldUsage x="0"/>
      </fieldsUsage>
    </cacheHierarchy>
    <cacheHierarchy uniqueName="[BD1].[Bodega reingreso]" caption="Bodega reingreso" attribute="1" defaultMemberUniqueName="[BD1].[Bodega reingreso].[All]" allUniqueName="[BD1].[Bodega reingreso].[All]" dimensionUniqueName="[BD1]" displayFolder="" count="0" memberValueDatatype="20" unbalanced="0"/>
    <cacheHierarchy uniqueName="[BD1].[Nombre Bodega]" caption="Nombre Bodega" attribute="1" defaultMemberUniqueName="[BD1].[Nombre Bodega].[All]" allUniqueName="[BD1].[Nombre Bodega].[All]" dimensionUniqueName="[BD1]" displayFolder="" count="0" memberValueDatatype="130" unbalanced="0"/>
    <cacheHierarchy uniqueName="[BD1].[Nro documento]" caption="Nro documento" attribute="1" defaultMemberUniqueName="[BD1].[Nro documento].[All]" allUniqueName="[BD1].[Nro documento].[All]" dimensionUniqueName="[BD1]" displayFolder="" count="0" memberValueDatatype="20" unbalanced="0"/>
    <cacheHierarchy uniqueName="[BD1].[fecha reingreso]" caption="fecha reingreso" attribute="1" time="1" defaultMemberUniqueName="[BD1].[fecha reingreso].[All]" allUniqueName="[BD1].[fecha reingreso].[All]" dimensionUniqueName="[BD1]" displayFolder="" count="2" memberValueDatatype="7" unbalanced="0"/>
    <cacheHierarchy uniqueName="[BD1].[cantidad reingresada]" caption="cantidad reingresada" attribute="1" defaultMemberUniqueName="[BD1].[cantidad reingresada].[All]" allUniqueName="[BD1].[cantidad reingresada].[All]" dimensionUniqueName="[BD1]" displayFolder="" count="0" memberValueDatatype="5" unbalanced="0"/>
    <cacheHierarchy uniqueName="[BD1].[nro egreso]" caption="nro egreso" attribute="1" defaultMemberUniqueName="[BD1].[nro egreso].[All]" allUniqueName="[BD1].[nro egreso].[All]" dimensionUniqueName="[BD1]" displayFolder="" count="0" memberValueDatatype="20" unbalanced="0"/>
    <cacheHierarchy uniqueName="[BD1].[fecha egreso]" caption="fecha egreso" attribute="1" time="1" defaultMemberUniqueName="[BD1].[fecha egreso].[All]" allUniqueName="[BD1].[fecha egreso].[All]" dimensionUniqueName="[BD1]" displayFolder="" count="0" memberValueDatatype="7" unbalanced="0"/>
    <cacheHierarchy uniqueName="[BD1].[cantidad egreso]" caption="cantidad egreso" attribute="1" defaultMemberUniqueName="[BD1].[cantidad egreso].[All]" allUniqueName="[BD1].[cantidad egreso].[All]" dimensionUniqueName="[BD1]" displayFolder="" count="0" memberValueDatatype="5" unbalanced="0"/>
    <cacheHierarchy uniqueName="[BD1].[centro de costo]" caption="centro de costo" attribute="1" defaultMemberUniqueName="[BD1].[centro de costo].[All]" allUniqueName="[BD1].[centro de costo].[All]" dimensionUniqueName="[BD1]" displayFolder="" count="0" memberValueDatatype="20" unbalanced="0"/>
    <cacheHierarchy uniqueName="[BD1].[Nombre C.Costo]" caption="Nombre C.Costo" attribute="1" defaultMemberUniqueName="[BD1].[Nombre C.Costo].[All]" allUniqueName="[BD1].[Nombre C.Costo].[All]" dimensionUniqueName="[BD1]" displayFolder="" count="2" memberValueDatatype="130" unbalanced="0">
      <fieldsUsage count="2">
        <fieldUsage x="-1"/>
        <fieldUsage x="4"/>
      </fieldsUsage>
    </cacheHierarchy>
    <cacheHierarchy uniqueName="[BD1].[rol o RUC entrega]" caption="rol o RUC entrega" attribute="1" defaultMemberUniqueName="[BD1].[rol o RUC entrega].[All]" allUniqueName="[BD1].[rol o RUC entrega].[All]" dimensionUniqueName="[BD1]" displayFolder="" count="0" memberValueDatatype="130" unbalanced="0"/>
    <cacheHierarchy uniqueName="[BD1].[Nombre entrega]" caption="Nombre entrega" attribute="1" defaultMemberUniqueName="[BD1].[Nombre entrega].[All]" allUniqueName="[BD1].[Nombre entrega].[All]" dimensionUniqueName="[BD1]" displayFolder="" count="0" memberValueDatatype="130" unbalanced="0"/>
    <cacheHierarchy uniqueName="[BD1].[% &gt; 50 %]" caption="% &gt; 50 %" attribute="1" defaultMemberUniqueName="[BD1].[% &gt; 50 %].[All]" allUniqueName="[BD1].[% &gt; 50 %].[All]" dimensionUniqueName="[BD1]" displayFolder="" count="0" memberValueDatatype="5" unbalanced="0"/>
    <cacheHierarchy uniqueName="[BD1].[Temporalidad (dias)]" caption="Temporalidad (dias)" attribute="1" defaultMemberUniqueName="[BD1].[Temporalidad (dias)].[All]" allUniqueName="[BD1].[Temporalidad (dias)].[All]" dimensionUniqueName="[BD1]" displayFolder="" count="0" memberValueDatatype="20" unbalanced="0"/>
    <cacheHierarchy uniqueName="[BD1].[Observaciones]" caption="Observaciones" attribute="1" defaultMemberUniqueName="[BD1].[Observaciones].[All]" allUniqueName="[BD1].[Observaciones].[All]" dimensionUniqueName="[BD1]" displayFolder="" count="0" memberValueDatatype="130" unbalanced="0"/>
    <cacheHierarchy uniqueName="[BD1].[Motivos]" caption="Motivos" attribute="1" defaultMemberUniqueName="[BD1].[Motivos].[All]" allUniqueName="[BD1].[Motivos].[All]" dimensionUniqueName="[BD1]" displayFolder="" count="2" memberValueDatatype="130" unbalanced="0"/>
    <cacheHierarchy uniqueName="[BD1].[Grupo Temporalidad]" caption="Grupo Temporalidad" attribute="1" defaultMemberUniqueName="[BD1].[Grupo Temporalidad].[All]" allUniqueName="[BD1].[Grupo Temporalidad].[All]" dimensionUniqueName="[BD1]" displayFolder="" count="0" memberValueDatatype="130" unbalanced="0"/>
    <cacheHierarchy uniqueName="[BD1].[Tipo de personal]" caption="Tipo de personal" attribute="1" defaultMemberUniqueName="[BD1].[Tipo de personal].[All]" allUniqueName="[BD1].[Tipo de personal].[All]" dimensionUniqueName="[BD1]" displayFolder="" count="0" memberValueDatatype="130" unbalanced="0"/>
    <cacheHierarchy uniqueName="[Measures].[__XL_Count BD1]" caption="__XL_Count BD1" measure="1" displayFolder="" measureGroup="BD1" count="0" hidden="1"/>
    <cacheHierarchy uniqueName="[Measures].[__XL_Count of Models]" caption="__XL_Count of Models" measure="1" displayFolder="" count="0" hidden="1"/>
    <cacheHierarchy uniqueName="[Measures].[Suma de %  50 %]" caption="Suma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%  50 %]" caption="Recuento disti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Temporalidad (dias)]" caption="Suma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Temporalidad (dias)]" caption="Recuent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Grupo Temporalidad]" caption="Recuento de Grupo Temporalidad" measure="1" displayFolder="" measureGroup="BD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%  50 %]" caption="Recue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antidad reingresada]" caption="Suma de cantidad reingresada" measure="1" displayFolder="" measureGroup="BD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Promedio de Temporalidad (dias)]" caption="Promedio de Temporalidad (dias)" measure="1" displayFolder="" measureGroup="BD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Promedio de %  50 %]" caption="Promedio de %  50 %" measure="1" displayFolder="" measureGroup="BD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2">
    <dimension name="BD1" uniqueName="[BD1]" caption="BD1"/>
    <dimension measure="1" name="Measures" uniqueName="[Measures]" caption="Measures"/>
  </dimensions>
  <measureGroups count="1">
    <measureGroup name="BD1" caption="BD1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Alejandro Redrovan Andrade" refreshedDate="44494.64204097222" backgroundQuery="1" createdVersion="5" refreshedVersion="7" minRefreshableVersion="3" recordCount="0" supportSubquery="1" supportAdvancedDrill="1" xr:uid="{00000000-000A-0000-FFFF-FFFF42030000}">
  <cacheSource type="external" connectionId="1"/>
  <cacheFields count="2">
    <cacheField name="[BD1].[Nombre C.Costo].[Nombre C.Costo]" caption="Nombre C.Costo" numFmtId="0" hierarchy="11" level="1">
      <sharedItems count="4">
        <s v="DEPTO.DE INSTALACIONES"/>
        <s v="GRUPO 7 MTTO.RED AEREA"/>
        <s v="SECC.ILUMINACION"/>
        <s v="SECCION SERVICIO MEDICO-DENTAL"/>
      </sharedItems>
    </cacheField>
    <cacheField name="[Measures].[Recuento de %  50 %]" caption="Recuento de %  50 %" numFmtId="0" hierarchy="27" level="32767"/>
  </cacheFields>
  <cacheHierarchies count="31">
    <cacheHierarchy uniqueName="[BD1].[Código EEQ]" caption="Código EEQ" attribute="1" defaultMemberUniqueName="[BD1].[Código EEQ].[All]" allUniqueName="[BD1].[Código EEQ].[All]" dimensionUniqueName="[BD1]" displayFolder="" count="0" memberValueDatatype="20" unbalanced="0"/>
    <cacheHierarchy uniqueName="[BD1].[Descripción]" caption="Descripción" attribute="1" defaultMemberUniqueName="[BD1].[Descripción].[All]" allUniqueName="[BD1].[Descripción].[All]" dimensionUniqueName="[BD1]" displayFolder="" count="0" memberValueDatatype="130" unbalanced="0"/>
    <cacheHierarchy uniqueName="[BD1].[Bodega reingreso]" caption="Bodega reingreso" attribute="1" defaultMemberUniqueName="[BD1].[Bodega reingreso].[All]" allUniqueName="[BD1].[Bodega reingreso].[All]" dimensionUniqueName="[BD1]" displayFolder="" count="0" memberValueDatatype="20" unbalanced="0"/>
    <cacheHierarchy uniqueName="[BD1].[Nombre Bodega]" caption="Nombre Bodega" attribute="1" defaultMemberUniqueName="[BD1].[Nombre Bodega].[All]" allUniqueName="[BD1].[Nombre Bodega].[All]" dimensionUniqueName="[BD1]" displayFolder="" count="0" memberValueDatatype="130" unbalanced="0"/>
    <cacheHierarchy uniqueName="[BD1].[Nro documento]" caption="Nro documento" attribute="1" defaultMemberUniqueName="[BD1].[Nro documento].[All]" allUniqueName="[BD1].[Nro documento].[All]" dimensionUniqueName="[BD1]" displayFolder="" count="0" memberValueDatatype="20" unbalanced="0"/>
    <cacheHierarchy uniqueName="[BD1].[fecha reingreso]" caption="fecha reingreso" attribute="1" time="1" defaultMemberUniqueName="[BD1].[fecha reingreso].[All]" allUniqueName="[BD1].[fecha reingreso].[All]" dimensionUniqueName="[BD1]" displayFolder="" count="2" memberValueDatatype="7" unbalanced="0"/>
    <cacheHierarchy uniqueName="[BD1].[cantidad reingresada]" caption="cantidad reingresada" attribute="1" defaultMemberUniqueName="[BD1].[cantidad reingresada].[All]" allUniqueName="[BD1].[cantidad reingresada].[All]" dimensionUniqueName="[BD1]" displayFolder="" count="0" memberValueDatatype="5" unbalanced="0"/>
    <cacheHierarchy uniqueName="[BD1].[nro egreso]" caption="nro egreso" attribute="1" defaultMemberUniqueName="[BD1].[nro egreso].[All]" allUniqueName="[BD1].[nro egreso].[All]" dimensionUniqueName="[BD1]" displayFolder="" count="0" memberValueDatatype="20" unbalanced="0"/>
    <cacheHierarchy uniqueName="[BD1].[fecha egreso]" caption="fecha egreso" attribute="1" time="1" defaultMemberUniqueName="[BD1].[fecha egreso].[All]" allUniqueName="[BD1].[fecha egreso].[All]" dimensionUniqueName="[BD1]" displayFolder="" count="0" memberValueDatatype="7" unbalanced="0"/>
    <cacheHierarchy uniqueName="[BD1].[cantidad egreso]" caption="cantidad egreso" attribute="1" defaultMemberUniqueName="[BD1].[cantidad egreso].[All]" allUniqueName="[BD1].[cantidad egreso].[All]" dimensionUniqueName="[BD1]" displayFolder="" count="0" memberValueDatatype="5" unbalanced="0"/>
    <cacheHierarchy uniqueName="[BD1].[centro de costo]" caption="centro de costo" attribute="1" defaultMemberUniqueName="[BD1].[centro de costo].[All]" allUniqueName="[BD1].[centro de costo].[All]" dimensionUniqueName="[BD1]" displayFolder="" count="0" memberValueDatatype="20" unbalanced="0"/>
    <cacheHierarchy uniqueName="[BD1].[Nombre C.Costo]" caption="Nombre C.Costo" attribute="1" defaultMemberUniqueName="[BD1].[Nombre C.Costo].[All]" allUniqueName="[BD1].[Nombre C.Costo].[All]" dimensionUniqueName="[BD1]" displayFolder="" count="2" memberValueDatatype="130" unbalanced="0">
      <fieldsUsage count="2">
        <fieldUsage x="-1"/>
        <fieldUsage x="0"/>
      </fieldsUsage>
    </cacheHierarchy>
    <cacheHierarchy uniqueName="[BD1].[rol o RUC entrega]" caption="rol o RUC entrega" attribute="1" defaultMemberUniqueName="[BD1].[rol o RUC entrega].[All]" allUniqueName="[BD1].[rol o RUC entrega].[All]" dimensionUniqueName="[BD1]" displayFolder="" count="0" memberValueDatatype="130" unbalanced="0"/>
    <cacheHierarchy uniqueName="[BD1].[Nombre entrega]" caption="Nombre entrega" attribute="1" defaultMemberUniqueName="[BD1].[Nombre entrega].[All]" allUniqueName="[BD1].[Nombre entrega].[All]" dimensionUniqueName="[BD1]" displayFolder="" count="0" memberValueDatatype="130" unbalanced="0"/>
    <cacheHierarchy uniqueName="[BD1].[% &gt; 50 %]" caption="% &gt; 50 %" attribute="1" defaultMemberUniqueName="[BD1].[% &gt; 50 %].[All]" allUniqueName="[BD1].[% &gt; 50 %].[All]" dimensionUniqueName="[BD1]" displayFolder="" count="0" memberValueDatatype="5" unbalanced="0"/>
    <cacheHierarchy uniqueName="[BD1].[Temporalidad (dias)]" caption="Temporalidad (dias)" attribute="1" defaultMemberUniqueName="[BD1].[Temporalidad (dias)].[All]" allUniqueName="[BD1].[Temporalidad (dias)].[All]" dimensionUniqueName="[BD1]" displayFolder="" count="0" memberValueDatatype="20" unbalanced="0"/>
    <cacheHierarchy uniqueName="[BD1].[Observaciones]" caption="Observaciones" attribute="1" defaultMemberUniqueName="[BD1].[Observaciones].[All]" allUniqueName="[BD1].[Observaciones].[All]" dimensionUniqueName="[BD1]" displayFolder="" count="0" memberValueDatatype="130" unbalanced="0"/>
    <cacheHierarchy uniqueName="[BD1].[Motivos]" caption="Motivos" attribute="1" defaultMemberUniqueName="[BD1].[Motivos].[All]" allUniqueName="[BD1].[Motivos].[All]" dimensionUniqueName="[BD1]" displayFolder="" count="2" memberValueDatatype="130" unbalanced="0"/>
    <cacheHierarchy uniqueName="[BD1].[Grupo Temporalidad]" caption="Grupo Temporalidad" attribute="1" defaultMemberUniqueName="[BD1].[Grupo Temporalidad].[All]" allUniqueName="[BD1].[Grupo Temporalidad].[All]" dimensionUniqueName="[BD1]" displayFolder="" count="0" memberValueDatatype="130" unbalanced="0"/>
    <cacheHierarchy uniqueName="[BD1].[Tipo de personal]" caption="Tipo de personal" attribute="1" defaultMemberUniqueName="[BD1].[Tipo de personal].[All]" allUniqueName="[BD1].[Tipo de personal].[All]" dimensionUniqueName="[BD1]" displayFolder="" count="0" memberValueDatatype="130" unbalanced="0"/>
    <cacheHierarchy uniqueName="[Measures].[__XL_Count BD1]" caption="__XL_Count BD1" measure="1" displayFolder="" measureGroup="BD1" count="0" hidden="1"/>
    <cacheHierarchy uniqueName="[Measures].[__XL_Count of Models]" caption="__XL_Count of Models" measure="1" displayFolder="" count="0" hidden="1"/>
    <cacheHierarchy uniqueName="[Measures].[Suma de %  50 %]" caption="Suma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%  50 %]" caption="Recuento disti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Temporalidad (dias)]" caption="Suma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Temporalidad (dias)]" caption="Recuent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Grupo Temporalidad]" caption="Recuento de Grupo Temporalidad" measure="1" displayFolder="" measureGroup="BD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%  50 %]" caption="Recuento de %  50 %" measure="1" displayFolder="" measureGroup="BD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antidad reingresada]" caption="Suma de cantidad reingresada" measure="1" displayFolder="" measureGroup="BD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Promedio de Temporalidad (dias)]" caption="Promedi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Promedio de %  50 %]" caption="Promedi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2">
    <dimension name="BD1" uniqueName="[BD1]" caption="BD1"/>
    <dimension measure="1" name="Measures" uniqueName="[Measures]" caption="Measures"/>
  </dimensions>
  <measureGroups count="1">
    <measureGroup name="BD1" caption="BD1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Alejandro Redrovan Andrade" refreshedDate="44494.642042361113" backgroundQuery="1" createdVersion="5" refreshedVersion="7" minRefreshableVersion="3" recordCount="0" supportSubquery="1" supportAdvancedDrill="1" xr:uid="{00000000-000A-0000-FFFF-FFFF3F030000}">
  <cacheSource type="external" connectionId="1"/>
  <cacheFields count="2">
    <cacheField name="[BD1].[Descripción].[Descripción]" caption="Descripción" numFmtId="0" hierarchy="1" level="1">
      <sharedItems count="5">
        <s v="ALCOHOL ANTISEPTICO 70%"/>
        <s v="CAJA DE DISTRIBUCION TRIFASICA, 3 FASES Y 1 NEUTRO, CON TAPA DE SEGURIDAD"/>
        <s v="DISYUNTOR DE POTENCIA TRIFASICO TANQUE MUERTO, 46 KV, 1200 A, SF6 POLOS INDIVIDUALES CON TC."/>
        <s v="EQUIPO DE CONTROL AUTOMATICO DE ALUMBRADO PUBLICO DE 30 A"/>
        <s v="RESMA DE PAPEL BOND A4 DE 75 GR"/>
      </sharedItems>
    </cacheField>
    <cacheField name="[Measures].[Recuento distinto de %  50 %]" caption="Recuento distinto de %  50 %" numFmtId="0" hierarchy="23" level="32767"/>
  </cacheFields>
  <cacheHierarchies count="31">
    <cacheHierarchy uniqueName="[BD1].[Código EEQ]" caption="Código EEQ" attribute="1" defaultMemberUniqueName="[BD1].[Código EEQ].[All]" allUniqueName="[BD1].[Código EEQ].[All]" dimensionUniqueName="[BD1]" displayFolder="" count="0" memberValueDatatype="20" unbalanced="0"/>
    <cacheHierarchy uniqueName="[BD1].[Descripción]" caption="Descripción" attribute="1" defaultMemberUniqueName="[BD1].[Descripción].[All]" allUniqueName="[BD1].[Descripción].[All]" dimensionUniqueName="[BD1]" displayFolder="" count="2" memberValueDatatype="130" unbalanced="0">
      <fieldsUsage count="2">
        <fieldUsage x="-1"/>
        <fieldUsage x="0"/>
      </fieldsUsage>
    </cacheHierarchy>
    <cacheHierarchy uniqueName="[BD1].[Bodega reingreso]" caption="Bodega reingreso" attribute="1" defaultMemberUniqueName="[BD1].[Bodega reingreso].[All]" allUniqueName="[BD1].[Bodega reingreso].[All]" dimensionUniqueName="[BD1]" displayFolder="" count="0" memberValueDatatype="20" unbalanced="0"/>
    <cacheHierarchy uniqueName="[BD1].[Nombre Bodega]" caption="Nombre Bodega" attribute="1" defaultMemberUniqueName="[BD1].[Nombre Bodega].[All]" allUniqueName="[BD1].[Nombre Bodega].[All]" dimensionUniqueName="[BD1]" displayFolder="" count="0" memberValueDatatype="130" unbalanced="0"/>
    <cacheHierarchy uniqueName="[BD1].[Nro documento]" caption="Nro documento" attribute="1" defaultMemberUniqueName="[BD1].[Nro documento].[All]" allUniqueName="[BD1].[Nro documento].[All]" dimensionUniqueName="[BD1]" displayFolder="" count="0" memberValueDatatype="20" unbalanced="0"/>
    <cacheHierarchy uniqueName="[BD1].[fecha reingreso]" caption="fecha reingreso" attribute="1" time="1" defaultMemberUniqueName="[BD1].[fecha reingreso].[All]" allUniqueName="[BD1].[fecha reingreso].[All]" dimensionUniqueName="[BD1]" displayFolder="" count="2" memberValueDatatype="7" unbalanced="0"/>
    <cacheHierarchy uniqueName="[BD1].[cantidad reingresada]" caption="cantidad reingresada" attribute="1" defaultMemberUniqueName="[BD1].[cantidad reingresada].[All]" allUniqueName="[BD1].[cantidad reingresada].[All]" dimensionUniqueName="[BD1]" displayFolder="" count="0" memberValueDatatype="5" unbalanced="0"/>
    <cacheHierarchy uniqueName="[BD1].[nro egreso]" caption="nro egreso" attribute="1" defaultMemberUniqueName="[BD1].[nro egreso].[All]" allUniqueName="[BD1].[nro egreso].[All]" dimensionUniqueName="[BD1]" displayFolder="" count="0" memberValueDatatype="20" unbalanced="0"/>
    <cacheHierarchy uniqueName="[BD1].[fecha egreso]" caption="fecha egreso" attribute="1" time="1" defaultMemberUniqueName="[BD1].[fecha egreso].[All]" allUniqueName="[BD1].[fecha egreso].[All]" dimensionUniqueName="[BD1]" displayFolder="" count="0" memberValueDatatype="7" unbalanced="0"/>
    <cacheHierarchy uniqueName="[BD1].[cantidad egreso]" caption="cantidad egreso" attribute="1" defaultMemberUniqueName="[BD1].[cantidad egreso].[All]" allUniqueName="[BD1].[cantidad egreso].[All]" dimensionUniqueName="[BD1]" displayFolder="" count="0" memberValueDatatype="5" unbalanced="0"/>
    <cacheHierarchy uniqueName="[BD1].[centro de costo]" caption="centro de costo" attribute="1" defaultMemberUniqueName="[BD1].[centro de costo].[All]" allUniqueName="[BD1].[centro de costo].[All]" dimensionUniqueName="[BD1]" displayFolder="" count="0" memberValueDatatype="20" unbalanced="0"/>
    <cacheHierarchy uniqueName="[BD1].[Nombre C.Costo]" caption="Nombre C.Costo" attribute="1" defaultMemberUniqueName="[BD1].[Nombre C.Costo].[All]" allUniqueName="[BD1].[Nombre C.Costo].[All]" dimensionUniqueName="[BD1]" displayFolder="" count="2" memberValueDatatype="130" unbalanced="0"/>
    <cacheHierarchy uniqueName="[BD1].[rol o RUC entrega]" caption="rol o RUC entrega" attribute="1" defaultMemberUniqueName="[BD1].[rol o RUC entrega].[All]" allUniqueName="[BD1].[rol o RUC entrega].[All]" dimensionUniqueName="[BD1]" displayFolder="" count="0" memberValueDatatype="130" unbalanced="0"/>
    <cacheHierarchy uniqueName="[BD1].[Nombre entrega]" caption="Nombre entrega" attribute="1" defaultMemberUniqueName="[BD1].[Nombre entrega].[All]" allUniqueName="[BD1].[Nombre entrega].[All]" dimensionUniqueName="[BD1]" displayFolder="" count="0" memberValueDatatype="130" unbalanced="0"/>
    <cacheHierarchy uniqueName="[BD1].[% &gt; 50 %]" caption="% &gt; 50 %" attribute="1" defaultMemberUniqueName="[BD1].[% &gt; 50 %].[All]" allUniqueName="[BD1].[% &gt; 50 %].[All]" dimensionUniqueName="[BD1]" displayFolder="" count="0" memberValueDatatype="5" unbalanced="0"/>
    <cacheHierarchy uniqueName="[BD1].[Temporalidad (dias)]" caption="Temporalidad (dias)" attribute="1" defaultMemberUniqueName="[BD1].[Temporalidad (dias)].[All]" allUniqueName="[BD1].[Temporalidad (dias)].[All]" dimensionUniqueName="[BD1]" displayFolder="" count="0" memberValueDatatype="20" unbalanced="0"/>
    <cacheHierarchy uniqueName="[BD1].[Observaciones]" caption="Observaciones" attribute="1" defaultMemberUniqueName="[BD1].[Observaciones].[All]" allUniqueName="[BD1].[Observaciones].[All]" dimensionUniqueName="[BD1]" displayFolder="" count="0" memberValueDatatype="130" unbalanced="0"/>
    <cacheHierarchy uniqueName="[BD1].[Motivos]" caption="Motivos" attribute="1" defaultMemberUniqueName="[BD1].[Motivos].[All]" allUniqueName="[BD1].[Motivos].[All]" dimensionUniqueName="[BD1]" displayFolder="" count="2" memberValueDatatype="130" unbalanced="0"/>
    <cacheHierarchy uniqueName="[BD1].[Grupo Temporalidad]" caption="Grupo Temporalidad" attribute="1" defaultMemberUniqueName="[BD1].[Grupo Temporalidad].[All]" allUniqueName="[BD1].[Grupo Temporalidad].[All]" dimensionUniqueName="[BD1]" displayFolder="" count="0" memberValueDatatype="130" unbalanced="0"/>
    <cacheHierarchy uniqueName="[BD1].[Tipo de personal]" caption="Tipo de personal" attribute="1" defaultMemberUniqueName="[BD1].[Tipo de personal].[All]" allUniqueName="[BD1].[Tipo de personal].[All]" dimensionUniqueName="[BD1]" displayFolder="" count="0" memberValueDatatype="130" unbalanced="0"/>
    <cacheHierarchy uniqueName="[Measures].[__XL_Count BD1]" caption="__XL_Count BD1" measure="1" displayFolder="" measureGroup="BD1" count="0" hidden="1"/>
    <cacheHierarchy uniqueName="[Measures].[__XL_Count of Models]" caption="__XL_Count of Models" measure="1" displayFolder="" count="0" hidden="1"/>
    <cacheHierarchy uniqueName="[Measures].[Suma de %  50 %]" caption="Suma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%  50 %]" caption="Recuento distinto de %  50 %" measure="1" displayFolder="" measureGroup="BD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Temporalidad (dias)]" caption="Suma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Temporalidad (dias)]" caption="Recuent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Grupo Temporalidad]" caption="Recuento de Grupo Temporalidad" measure="1" displayFolder="" measureGroup="BD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%  50 %]" caption="Recue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antidad reingresada]" caption="Suma de cantidad reingresada" measure="1" displayFolder="" measureGroup="BD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Promedio de Temporalidad (dias)]" caption="Promedi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Promedio de %  50 %]" caption="Promedi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2">
    <dimension name="BD1" uniqueName="[BD1]" caption="BD1"/>
    <dimension measure="1" name="Measures" uniqueName="[Measures]" caption="Measures"/>
  </dimensions>
  <measureGroups count="1">
    <measureGroup name="BD1" caption="BD1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Alejandro Redrovan Andrade" refreshedDate="44494.642042939813" backgroundQuery="1" createdVersion="5" refreshedVersion="7" minRefreshableVersion="3" recordCount="0" supportSubquery="1" supportAdvancedDrill="1" xr:uid="{00000000-000A-0000-FFFF-FFFF36030000}">
  <cacheSource type="external" connectionId="1"/>
  <cacheFields count="2">
    <cacheField name="[BD1].[Nombre C.Costo].[Nombre C.Costo]" caption="Nombre C.Costo" numFmtId="0" hierarchy="11" level="1">
      <sharedItems count="4">
        <s v="DEPTO.DE INSTALACIONES"/>
        <s v="GRUPO 7 MTTO.RED AEREA"/>
        <s v="SECC.ILUMINACION"/>
        <s v="SECCION SERVICIO MEDICO-DENTAL"/>
      </sharedItems>
    </cacheField>
    <cacheField name="[Measures].[Suma de cantidad reingresada]" caption="Suma de cantidad reingresada" numFmtId="0" hierarchy="28" level="32767"/>
  </cacheFields>
  <cacheHierarchies count="31">
    <cacheHierarchy uniqueName="[BD1].[Código EEQ]" caption="Código EEQ" attribute="1" defaultMemberUniqueName="[BD1].[Código EEQ].[All]" allUniqueName="[BD1].[Código EEQ].[All]" dimensionUniqueName="[BD1]" displayFolder="" count="0" memberValueDatatype="20" unbalanced="0"/>
    <cacheHierarchy uniqueName="[BD1].[Descripción]" caption="Descripción" attribute="1" defaultMemberUniqueName="[BD1].[Descripción].[All]" allUniqueName="[BD1].[Descripción].[All]" dimensionUniqueName="[BD1]" displayFolder="" count="0" memberValueDatatype="130" unbalanced="0"/>
    <cacheHierarchy uniqueName="[BD1].[Bodega reingreso]" caption="Bodega reingreso" attribute="1" defaultMemberUniqueName="[BD1].[Bodega reingreso].[All]" allUniqueName="[BD1].[Bodega reingreso].[All]" dimensionUniqueName="[BD1]" displayFolder="" count="0" memberValueDatatype="20" unbalanced="0"/>
    <cacheHierarchy uniqueName="[BD1].[Nombre Bodega]" caption="Nombre Bodega" attribute="1" defaultMemberUniqueName="[BD1].[Nombre Bodega].[All]" allUniqueName="[BD1].[Nombre Bodega].[All]" dimensionUniqueName="[BD1]" displayFolder="" count="0" memberValueDatatype="130" unbalanced="0"/>
    <cacheHierarchy uniqueName="[BD1].[Nro documento]" caption="Nro documento" attribute="1" defaultMemberUniqueName="[BD1].[Nro documento].[All]" allUniqueName="[BD1].[Nro documento].[All]" dimensionUniqueName="[BD1]" displayFolder="" count="0" memberValueDatatype="20" unbalanced="0"/>
    <cacheHierarchy uniqueName="[BD1].[fecha reingreso]" caption="fecha reingreso" attribute="1" time="1" defaultMemberUniqueName="[BD1].[fecha reingreso].[All]" allUniqueName="[BD1].[fecha reingreso].[All]" dimensionUniqueName="[BD1]" displayFolder="" count="2" memberValueDatatype="7" unbalanced="0"/>
    <cacheHierarchy uniqueName="[BD1].[cantidad reingresada]" caption="cantidad reingresada" attribute="1" defaultMemberUniqueName="[BD1].[cantidad reingresada].[All]" allUniqueName="[BD1].[cantidad reingresada].[All]" dimensionUniqueName="[BD1]" displayFolder="" count="0" memberValueDatatype="5" unbalanced="0"/>
    <cacheHierarchy uniqueName="[BD1].[nro egreso]" caption="nro egreso" attribute="1" defaultMemberUniqueName="[BD1].[nro egreso].[All]" allUniqueName="[BD1].[nro egreso].[All]" dimensionUniqueName="[BD1]" displayFolder="" count="0" memberValueDatatype="20" unbalanced="0"/>
    <cacheHierarchy uniqueName="[BD1].[fecha egreso]" caption="fecha egreso" attribute="1" time="1" defaultMemberUniqueName="[BD1].[fecha egreso].[All]" allUniqueName="[BD1].[fecha egreso].[All]" dimensionUniqueName="[BD1]" displayFolder="" count="0" memberValueDatatype="7" unbalanced="0"/>
    <cacheHierarchy uniqueName="[BD1].[cantidad egreso]" caption="cantidad egreso" attribute="1" defaultMemberUniqueName="[BD1].[cantidad egreso].[All]" allUniqueName="[BD1].[cantidad egreso].[All]" dimensionUniqueName="[BD1]" displayFolder="" count="0" memberValueDatatype="5" unbalanced="0"/>
    <cacheHierarchy uniqueName="[BD1].[centro de costo]" caption="centro de costo" attribute="1" defaultMemberUniqueName="[BD1].[centro de costo].[All]" allUniqueName="[BD1].[centro de costo].[All]" dimensionUniqueName="[BD1]" displayFolder="" count="0" memberValueDatatype="20" unbalanced="0"/>
    <cacheHierarchy uniqueName="[BD1].[Nombre C.Costo]" caption="Nombre C.Costo" attribute="1" defaultMemberUniqueName="[BD1].[Nombre C.Costo].[All]" allUniqueName="[BD1].[Nombre C.Costo].[All]" dimensionUniqueName="[BD1]" displayFolder="" count="2" memberValueDatatype="130" unbalanced="0">
      <fieldsUsage count="2">
        <fieldUsage x="-1"/>
        <fieldUsage x="0"/>
      </fieldsUsage>
    </cacheHierarchy>
    <cacheHierarchy uniqueName="[BD1].[rol o RUC entrega]" caption="rol o RUC entrega" attribute="1" defaultMemberUniqueName="[BD1].[rol o RUC entrega].[All]" allUniqueName="[BD1].[rol o RUC entrega].[All]" dimensionUniqueName="[BD1]" displayFolder="" count="0" memberValueDatatype="130" unbalanced="0"/>
    <cacheHierarchy uniqueName="[BD1].[Nombre entrega]" caption="Nombre entrega" attribute="1" defaultMemberUniqueName="[BD1].[Nombre entrega].[All]" allUniqueName="[BD1].[Nombre entrega].[All]" dimensionUniqueName="[BD1]" displayFolder="" count="0" memberValueDatatype="130" unbalanced="0"/>
    <cacheHierarchy uniqueName="[BD1].[% &gt; 50 %]" caption="% &gt; 50 %" attribute="1" defaultMemberUniqueName="[BD1].[% &gt; 50 %].[All]" allUniqueName="[BD1].[% &gt; 50 %].[All]" dimensionUniqueName="[BD1]" displayFolder="" count="0" memberValueDatatype="5" unbalanced="0"/>
    <cacheHierarchy uniqueName="[BD1].[Temporalidad (dias)]" caption="Temporalidad (dias)" attribute="1" defaultMemberUniqueName="[BD1].[Temporalidad (dias)].[All]" allUniqueName="[BD1].[Temporalidad (dias)].[All]" dimensionUniqueName="[BD1]" displayFolder="" count="0" memberValueDatatype="20" unbalanced="0"/>
    <cacheHierarchy uniqueName="[BD1].[Observaciones]" caption="Observaciones" attribute="1" defaultMemberUniqueName="[BD1].[Observaciones].[All]" allUniqueName="[BD1].[Observaciones].[All]" dimensionUniqueName="[BD1]" displayFolder="" count="0" memberValueDatatype="130" unbalanced="0"/>
    <cacheHierarchy uniqueName="[BD1].[Motivos]" caption="Motivos" attribute="1" defaultMemberUniqueName="[BD1].[Motivos].[All]" allUniqueName="[BD1].[Motivos].[All]" dimensionUniqueName="[BD1]" displayFolder="" count="2" memberValueDatatype="130" unbalanced="0"/>
    <cacheHierarchy uniqueName="[BD1].[Grupo Temporalidad]" caption="Grupo Temporalidad" attribute="1" defaultMemberUniqueName="[BD1].[Grupo Temporalidad].[All]" allUniqueName="[BD1].[Grupo Temporalidad].[All]" dimensionUniqueName="[BD1]" displayFolder="" count="0" memberValueDatatype="130" unbalanced="0"/>
    <cacheHierarchy uniqueName="[BD1].[Tipo de personal]" caption="Tipo de personal" attribute="1" defaultMemberUniqueName="[BD1].[Tipo de personal].[All]" allUniqueName="[BD1].[Tipo de personal].[All]" dimensionUniqueName="[BD1]" displayFolder="" count="0" memberValueDatatype="130" unbalanced="0"/>
    <cacheHierarchy uniqueName="[Measures].[__XL_Count BD1]" caption="__XL_Count BD1" measure="1" displayFolder="" measureGroup="BD1" count="0" hidden="1"/>
    <cacheHierarchy uniqueName="[Measures].[__XL_Count of Models]" caption="__XL_Count of Models" measure="1" displayFolder="" count="0" hidden="1"/>
    <cacheHierarchy uniqueName="[Measures].[Suma de %  50 %]" caption="Suma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%  50 %]" caption="Recuento disti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Temporalidad (dias)]" caption="Suma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Temporalidad (dias)]" caption="Recuent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Grupo Temporalidad]" caption="Recuento de Grupo Temporalidad" measure="1" displayFolder="" measureGroup="BD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%  50 %]" caption="Recue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antidad reingresada]" caption="Suma de cantidad reingresada" measure="1" displayFolder="" measureGroup="BD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Promedio de Temporalidad (dias)]" caption="Promedi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Promedio de %  50 %]" caption="Promedi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dimensions count="2">
    <dimension name="BD1" uniqueName="[BD1]" caption="BD1"/>
    <dimension measure="1" name="Measures" uniqueName="[Measures]" caption="Measures"/>
  </dimensions>
  <measureGroups count="1">
    <measureGroup name="BD1" caption="BD1"/>
  </measureGroups>
  <maps count="1">
    <map measureGroup="0" dimension="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Alejandro Redrovan Andrade" refreshedDate="44494.46458576389" backgroundQuery="1" createdVersion="3" refreshedVersion="7" minRefreshableVersion="3" recordCount="0" supportSubquery="1" supportAdvancedDrill="1" xr:uid="{ACCCC40B-5BF5-4B43-873A-BA3F766ED546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1">
    <cacheHierarchy uniqueName="[BD1].[Código EEQ]" caption="Código EEQ" attribute="1" defaultMemberUniqueName="[BD1].[Código EEQ].[All]" allUniqueName="[BD1].[Código EEQ].[All]" dimensionUniqueName="[BD1]" displayFolder="" count="0" memberValueDatatype="20" unbalanced="0"/>
    <cacheHierarchy uniqueName="[BD1].[Descripción]" caption="Descripción" attribute="1" defaultMemberUniqueName="[BD1].[Descripción].[All]" allUniqueName="[BD1].[Descripción].[All]" dimensionUniqueName="[BD1]" displayFolder="" count="0" memberValueDatatype="130" unbalanced="0"/>
    <cacheHierarchy uniqueName="[BD1].[Bodega reingreso]" caption="Bodega reingreso" attribute="1" defaultMemberUniqueName="[BD1].[Bodega reingreso].[All]" allUniqueName="[BD1].[Bodega reingreso].[All]" dimensionUniqueName="[BD1]" displayFolder="" count="0" memberValueDatatype="20" unbalanced="0"/>
    <cacheHierarchy uniqueName="[BD1].[Nombre Bodega]" caption="Nombre Bodega" attribute="1" defaultMemberUniqueName="[BD1].[Nombre Bodega].[All]" allUniqueName="[BD1].[Nombre Bodega].[All]" dimensionUniqueName="[BD1]" displayFolder="" count="0" memberValueDatatype="130" unbalanced="0"/>
    <cacheHierarchy uniqueName="[BD1].[Nro documento]" caption="Nro documento" attribute="1" defaultMemberUniqueName="[BD1].[Nro documento].[All]" allUniqueName="[BD1].[Nro documento].[All]" dimensionUniqueName="[BD1]" displayFolder="" count="0" memberValueDatatype="20" unbalanced="0"/>
    <cacheHierarchy uniqueName="[BD1].[fecha reingreso]" caption="fecha reingreso" attribute="1" time="1" defaultMemberUniqueName="[BD1].[fecha reingreso].[All]" allUniqueName="[BD1].[fecha reingreso].[All]" dimensionUniqueName="[BD1]" displayFolder="" count="0" memberValueDatatype="7" unbalanced="0"/>
    <cacheHierarchy uniqueName="[BD1].[cantidad reingresada]" caption="cantidad reingresada" attribute="1" defaultMemberUniqueName="[BD1].[cantidad reingresada].[All]" allUniqueName="[BD1].[cantidad reingresada].[All]" dimensionUniqueName="[BD1]" displayFolder="" count="0" memberValueDatatype="5" unbalanced="0"/>
    <cacheHierarchy uniqueName="[BD1].[nro egreso]" caption="nro egreso" attribute="1" defaultMemberUniqueName="[BD1].[nro egreso].[All]" allUniqueName="[BD1].[nro egreso].[All]" dimensionUniqueName="[BD1]" displayFolder="" count="0" memberValueDatatype="20" unbalanced="0"/>
    <cacheHierarchy uniqueName="[BD1].[fecha egreso]" caption="fecha egreso" attribute="1" time="1" defaultMemberUniqueName="[BD1].[fecha egreso].[All]" allUniqueName="[BD1].[fecha egreso].[All]" dimensionUniqueName="[BD1]" displayFolder="" count="0" memberValueDatatype="7" unbalanced="0"/>
    <cacheHierarchy uniqueName="[BD1].[cantidad egreso]" caption="cantidad egreso" attribute="1" defaultMemberUniqueName="[BD1].[cantidad egreso].[All]" allUniqueName="[BD1].[cantidad egreso].[All]" dimensionUniqueName="[BD1]" displayFolder="" count="0" memberValueDatatype="5" unbalanced="0"/>
    <cacheHierarchy uniqueName="[BD1].[centro de costo]" caption="centro de costo" attribute="1" defaultMemberUniqueName="[BD1].[centro de costo].[All]" allUniqueName="[BD1].[centro de costo].[All]" dimensionUniqueName="[BD1]" displayFolder="" count="0" memberValueDatatype="20" unbalanced="0"/>
    <cacheHierarchy uniqueName="[BD1].[Nombre C.Costo]" caption="Nombre C.Costo" attribute="1" defaultMemberUniqueName="[BD1].[Nombre C.Costo].[All]" allUniqueName="[BD1].[Nombre C.Costo].[All]" dimensionUniqueName="[BD1]" displayFolder="" count="2" memberValueDatatype="130" unbalanced="0"/>
    <cacheHierarchy uniqueName="[BD1].[rol o RUC entrega]" caption="rol o RUC entrega" attribute="1" defaultMemberUniqueName="[BD1].[rol o RUC entrega].[All]" allUniqueName="[BD1].[rol o RUC entrega].[All]" dimensionUniqueName="[BD1]" displayFolder="" count="0" memberValueDatatype="130" unbalanced="0"/>
    <cacheHierarchy uniqueName="[BD1].[Nombre entrega]" caption="Nombre entrega" attribute="1" defaultMemberUniqueName="[BD1].[Nombre entrega].[All]" allUniqueName="[BD1].[Nombre entrega].[All]" dimensionUniqueName="[BD1]" displayFolder="" count="0" memberValueDatatype="130" unbalanced="0"/>
    <cacheHierarchy uniqueName="[BD1].[% &gt; 50 %]" caption="% &gt; 50 %" attribute="1" defaultMemberUniqueName="[BD1].[% &gt; 50 %].[All]" allUniqueName="[BD1].[% &gt; 50 %].[All]" dimensionUniqueName="[BD1]" displayFolder="" count="0" memberValueDatatype="5" unbalanced="0"/>
    <cacheHierarchy uniqueName="[BD1].[Temporalidad (dias)]" caption="Temporalidad (dias)" attribute="1" defaultMemberUniqueName="[BD1].[Temporalidad (dias)].[All]" allUniqueName="[BD1].[Temporalidad (dias)].[All]" dimensionUniqueName="[BD1]" displayFolder="" count="0" memberValueDatatype="20" unbalanced="0"/>
    <cacheHierarchy uniqueName="[BD1].[Observaciones]" caption="Observaciones" attribute="1" defaultMemberUniqueName="[BD1].[Observaciones].[All]" allUniqueName="[BD1].[Observaciones].[All]" dimensionUniqueName="[BD1]" displayFolder="" count="0" memberValueDatatype="130" unbalanced="0"/>
    <cacheHierarchy uniqueName="[BD1].[Motivos]" caption="Motivos" attribute="1" defaultMemberUniqueName="[BD1].[Motivos].[All]" allUniqueName="[BD1].[Motivos].[All]" dimensionUniqueName="[BD1]" displayFolder="" count="2" memberValueDatatype="130" unbalanced="0"/>
    <cacheHierarchy uniqueName="[BD1].[Grupo Temporalidad]" caption="Grupo Temporalidad" attribute="1" defaultMemberUniqueName="[BD1].[Grupo Temporalidad].[All]" allUniqueName="[BD1].[Grupo Temporalidad].[All]" dimensionUniqueName="[BD1]" displayFolder="" count="0" memberValueDatatype="130" unbalanced="0"/>
    <cacheHierarchy uniqueName="[BD1].[Tipo de personal]" caption="Tipo de personal" attribute="1" defaultMemberUniqueName="[BD1].[Tipo de personal].[All]" allUniqueName="[BD1].[Tipo de personal].[All]" dimensionUniqueName="[BD1]" displayFolder="" count="0" memberValueDatatype="130" unbalanced="0"/>
    <cacheHierarchy uniqueName="[Measures].[__XL_Count BD1]" caption="__XL_Count BD1" measure="1" displayFolder="" measureGroup="BD1" count="0" hidden="1"/>
    <cacheHierarchy uniqueName="[Measures].[__XL_Count of Models]" caption="__XL_Count of Models" measure="1" displayFolder="" count="0" hidden="1"/>
    <cacheHierarchy uniqueName="[Measures].[Suma de %  50 %]" caption="Suma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%  50 %]" caption="Recuento disti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Temporalidad (dias)]" caption="Suma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Temporalidad (dias)]" caption="Recuent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Grupo Temporalidad]" caption="Recuento de Grupo Temporalidad" measure="1" displayFolder="" measureGroup="BD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%  50 %]" caption="Recue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antidad reingresada]" caption="Suma de cantidad reingresada" measure="1" displayFolder="" measureGroup="BD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Promedio de Temporalidad (dias)]" caption="Promedi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Promedio de %  50 %]" caption="Promedi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911866611"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abriel Alejandro Redrovan Andrade" refreshedDate="44494.464589930554" backgroundQuery="1" createdVersion="3" refreshedVersion="7" minRefreshableVersion="3" recordCount="0" supportSubquery="1" supportAdvancedDrill="1" xr:uid="{63B64468-D590-4FF4-9D31-A5D27B0AA8E8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31">
    <cacheHierarchy uniqueName="[BD1].[Código EEQ]" caption="Código EEQ" attribute="1" defaultMemberUniqueName="[BD1].[Código EEQ].[All]" allUniqueName="[BD1].[Código EEQ].[All]" dimensionUniqueName="[BD1]" displayFolder="" count="0" memberValueDatatype="20" unbalanced="0"/>
    <cacheHierarchy uniqueName="[BD1].[Descripción]" caption="Descripción" attribute="1" defaultMemberUniqueName="[BD1].[Descripción].[All]" allUniqueName="[BD1].[Descripción].[All]" dimensionUniqueName="[BD1]" displayFolder="" count="0" memberValueDatatype="130" unbalanced="0"/>
    <cacheHierarchy uniqueName="[BD1].[Bodega reingreso]" caption="Bodega reingreso" attribute="1" defaultMemberUniqueName="[BD1].[Bodega reingreso].[All]" allUniqueName="[BD1].[Bodega reingreso].[All]" dimensionUniqueName="[BD1]" displayFolder="" count="0" memberValueDatatype="20" unbalanced="0"/>
    <cacheHierarchy uniqueName="[BD1].[Nombre Bodega]" caption="Nombre Bodega" attribute="1" defaultMemberUniqueName="[BD1].[Nombre Bodega].[All]" allUniqueName="[BD1].[Nombre Bodega].[All]" dimensionUniqueName="[BD1]" displayFolder="" count="0" memberValueDatatype="130" unbalanced="0"/>
    <cacheHierarchy uniqueName="[BD1].[Nro documento]" caption="Nro documento" attribute="1" defaultMemberUniqueName="[BD1].[Nro documento].[All]" allUniqueName="[BD1].[Nro documento].[All]" dimensionUniqueName="[BD1]" displayFolder="" count="0" memberValueDatatype="20" unbalanced="0"/>
    <cacheHierarchy uniqueName="[BD1].[fecha reingreso]" caption="fecha reingreso" attribute="1" time="1" defaultMemberUniqueName="[BD1].[fecha reingreso].[All]" allUniqueName="[BD1].[fecha reingreso].[All]" dimensionUniqueName="[BD1]" displayFolder="" count="2" memberValueDatatype="7" unbalanced="0"/>
    <cacheHierarchy uniqueName="[BD1].[cantidad reingresada]" caption="cantidad reingresada" attribute="1" defaultMemberUniqueName="[BD1].[cantidad reingresada].[All]" allUniqueName="[BD1].[cantidad reingresada].[All]" dimensionUniqueName="[BD1]" displayFolder="" count="0" memberValueDatatype="5" unbalanced="0"/>
    <cacheHierarchy uniqueName="[BD1].[nro egreso]" caption="nro egreso" attribute="1" defaultMemberUniqueName="[BD1].[nro egreso].[All]" allUniqueName="[BD1].[nro egreso].[All]" dimensionUniqueName="[BD1]" displayFolder="" count="0" memberValueDatatype="20" unbalanced="0"/>
    <cacheHierarchy uniqueName="[BD1].[fecha egreso]" caption="fecha egreso" attribute="1" time="1" defaultMemberUniqueName="[BD1].[fecha egreso].[All]" allUniqueName="[BD1].[fecha egreso].[All]" dimensionUniqueName="[BD1]" displayFolder="" count="0" memberValueDatatype="7" unbalanced="0"/>
    <cacheHierarchy uniqueName="[BD1].[cantidad egreso]" caption="cantidad egreso" attribute="1" defaultMemberUniqueName="[BD1].[cantidad egreso].[All]" allUniqueName="[BD1].[cantidad egreso].[All]" dimensionUniqueName="[BD1]" displayFolder="" count="0" memberValueDatatype="5" unbalanced="0"/>
    <cacheHierarchy uniqueName="[BD1].[centro de costo]" caption="centro de costo" attribute="1" defaultMemberUniqueName="[BD1].[centro de costo].[All]" allUniqueName="[BD1].[centro de costo].[All]" dimensionUniqueName="[BD1]" displayFolder="" count="0" memberValueDatatype="20" unbalanced="0"/>
    <cacheHierarchy uniqueName="[BD1].[Nombre C.Costo]" caption="Nombre C.Costo" attribute="1" defaultMemberUniqueName="[BD1].[Nombre C.Costo].[All]" allUniqueName="[BD1].[Nombre C.Costo].[All]" dimensionUniqueName="[BD1]" displayFolder="" count="0" memberValueDatatype="130" unbalanced="0"/>
    <cacheHierarchy uniqueName="[BD1].[rol o RUC entrega]" caption="rol o RUC entrega" attribute="1" defaultMemberUniqueName="[BD1].[rol o RUC entrega].[All]" allUniqueName="[BD1].[rol o RUC entrega].[All]" dimensionUniqueName="[BD1]" displayFolder="" count="0" memberValueDatatype="130" unbalanced="0"/>
    <cacheHierarchy uniqueName="[BD1].[Nombre entrega]" caption="Nombre entrega" attribute="1" defaultMemberUniqueName="[BD1].[Nombre entrega].[All]" allUniqueName="[BD1].[Nombre entrega].[All]" dimensionUniqueName="[BD1]" displayFolder="" count="0" memberValueDatatype="130" unbalanced="0"/>
    <cacheHierarchy uniqueName="[BD1].[% &gt; 50 %]" caption="% &gt; 50 %" attribute="1" defaultMemberUniqueName="[BD1].[% &gt; 50 %].[All]" allUniqueName="[BD1].[% &gt; 50 %].[All]" dimensionUniqueName="[BD1]" displayFolder="" count="0" memberValueDatatype="5" unbalanced="0"/>
    <cacheHierarchy uniqueName="[BD1].[Temporalidad (dias)]" caption="Temporalidad (dias)" attribute="1" defaultMemberUniqueName="[BD1].[Temporalidad (dias)].[All]" allUniqueName="[BD1].[Temporalidad (dias)].[All]" dimensionUniqueName="[BD1]" displayFolder="" count="0" memberValueDatatype="20" unbalanced="0"/>
    <cacheHierarchy uniqueName="[BD1].[Observaciones]" caption="Observaciones" attribute="1" defaultMemberUniqueName="[BD1].[Observaciones].[All]" allUniqueName="[BD1].[Observaciones].[All]" dimensionUniqueName="[BD1]" displayFolder="" count="0" memberValueDatatype="130" unbalanced="0"/>
    <cacheHierarchy uniqueName="[BD1].[Motivos]" caption="Motivos" attribute="1" defaultMemberUniqueName="[BD1].[Motivos].[All]" allUniqueName="[BD1].[Motivos].[All]" dimensionUniqueName="[BD1]" displayFolder="" count="0" memberValueDatatype="130" unbalanced="0"/>
    <cacheHierarchy uniqueName="[BD1].[Grupo Temporalidad]" caption="Grupo Temporalidad" attribute="1" defaultMemberUniqueName="[BD1].[Grupo Temporalidad].[All]" allUniqueName="[BD1].[Grupo Temporalidad].[All]" dimensionUniqueName="[BD1]" displayFolder="" count="0" memberValueDatatype="130" unbalanced="0"/>
    <cacheHierarchy uniqueName="[BD1].[Tipo de personal]" caption="Tipo de personal" attribute="1" defaultMemberUniqueName="[BD1].[Tipo de personal].[All]" allUniqueName="[BD1].[Tipo de personal].[All]" dimensionUniqueName="[BD1]" displayFolder="" count="0" memberValueDatatype="130" unbalanced="0"/>
    <cacheHierarchy uniqueName="[Measures].[__XL_Count BD1]" caption="__XL_Count BD1" measure="1" displayFolder="" measureGroup="BD1" count="0" hidden="1"/>
    <cacheHierarchy uniqueName="[Measures].[__XL_Count of Models]" caption="__XL_Count of Models" measure="1" displayFolder="" count="0" hidden="1"/>
    <cacheHierarchy uniqueName="[Measures].[Suma de %  50 %]" caption="Suma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Recuento distinto de %  50 %]" caption="Recuento disti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Temporalidad (dias)]" caption="Suma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Temporalidad (dias)]" caption="Recuent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Recuento de Grupo Temporalidad]" caption="Recuento de Grupo Temporalidad" measure="1" displayFolder="" measureGroup="BD1" count="0" hidden="1">
      <extLst>
        <ext xmlns:x15="http://schemas.microsoft.com/office/spreadsheetml/2010/11/main" uri="{B97F6D7D-B522-45F9-BDA1-12C45D357490}">
          <x15:cacheHierarchy aggregatedColumn="18"/>
        </ext>
      </extLst>
    </cacheHierarchy>
    <cacheHierarchy uniqueName="[Measures].[Recuento de %  50 %]" caption="Recuent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Suma de cantidad reingresada]" caption="Suma de cantidad reingresada" measure="1" displayFolder="" measureGroup="BD1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Promedio de Temporalidad (dias)]" caption="Promedio de Temporalidad (dias)" measure="1" displayFolder="" measureGroup="BD1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Promedio de %  50 %]" caption="Promedio de %  50 %" measure="1" displayFolder="" measureGroup="BD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401283088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5000000}" name="Tabla dinámica5" cacheId="3774" applyNumberFormats="0" applyBorderFormats="0" applyFontFormats="0" applyPatternFormats="0" applyAlignmentFormats="0" applyWidthHeightFormats="1" dataCaption="Valores" updatedVersion="7" minRefreshableVersion="5" useAutoFormatting="1" subtotalHiddenItems="1" itemPrintTitles="1" createdVersion="5" indent="0" outline="1" outlineData="1" multipleFieldFilters="0" chartFormat="6">
  <location ref="AF2:AG7" firstHeaderRow="1" firstDataRow="1" firstDataCol="1"/>
  <pivotFields count="2">
    <pivotField axis="axisRow" allDrilled="1" showAll="0" measureFilter="1" dataSourceSort="1" defaultAttributeDrillState="1">
      <items count="5">
        <item x="0"/>
        <item x="1"/>
        <item x="2"/>
        <item x="3"/>
        <item t="default"/>
      </items>
    </pivotField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a de cantidad reingresada" fld="1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49" iMeasureHier="28">
      <autoFilter ref="A1">
        <filterColumn colId="0">
          <top10 val="5" filterVal="5"/>
        </filterColumn>
      </autoFilter>
    </filter>
  </filters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UEBA1.xlsm!BD1">
        <x15:activeTabTopLevelEntity name="[BD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" cacheId="3765" applyNumberFormats="0" applyBorderFormats="0" applyFontFormats="0" applyPatternFormats="0" applyAlignmentFormats="0" applyWidthHeightFormats="1" dataCaption="Valores" updatedVersion="7" minRefreshableVersion="5" useAutoFormatting="1" subtotalHiddenItems="1" itemPrintTitles="1" createdVersion="5" indent="0" outline="1" outlineData="1" multipleFieldFilters="0" chartFormat="3">
  <location ref="G2:H7" firstHeaderRow="1" firstDataRow="1" firstDataCol="1"/>
  <pivotFields count="2">
    <pivotField axis="axisRow" allDrilled="1" showAll="0" measureFilter="1" dataSourceSort="1" defaultAttributeDrillState="1">
      <items count="5">
        <item x="0"/>
        <item x="1"/>
        <item x="2"/>
        <item x="3"/>
        <item t="default"/>
      </items>
    </pivotField>
    <pivotField dataField="1" showAll="0"/>
  </pivotFields>
  <rowFields count="1">
    <field x="0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Recuento de % &gt; 50 %" fld="1" subtotal="count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Recuento de % &gt; 50 %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49" iMeasureHier="27">
      <autoFilter ref="A1">
        <filterColumn colId="0">
          <top10 val="8" filterVal="8"/>
        </filterColumn>
      </autoFilter>
    </filter>
  </filters>
  <rowHierarchiesUsage count="1">
    <rowHierarchyUsage hierarchyUsage="1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UEBA1.xlsm!BD1">
        <x15:activeTabTopLevelEntity name="[BD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1000000}" name="Tabla dinámica2" cacheId="3771" applyNumberFormats="0" applyBorderFormats="0" applyFontFormats="0" applyPatternFormats="0" applyAlignmentFormats="0" applyWidthHeightFormats="1" dataCaption="Valores" updatedVersion="7" minRefreshableVersion="5" useAutoFormatting="1" subtotalHiddenItems="1" itemPrintTitles="1" createdVersion="5" indent="0" outline="1" outlineData="1" multipleFieldFilters="0" chartFormat="3">
  <location ref="L2:M8" firstHeaderRow="1" firstDataRow="1" firstDataCol="1"/>
  <pivotFields count="2">
    <pivotField axis="axisRow" allDrilled="1" showAll="0" measureFilter="1" dataSourceSort="1" defaultAttributeDrillState="1">
      <items count="6">
        <item x="0"/>
        <item x="1"/>
        <item x="2"/>
        <item x="3"/>
        <item x="4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Recuento distinto de % &gt; 50 %" fld="1" subtotal="count" baseField="0" baseItem="0">
      <extLst>
        <ext xmlns:x15="http://schemas.microsoft.com/office/spreadsheetml/2010/11/main" uri="{FABC7310-3BB5-11E1-824E-6D434824019B}">
          <x15:dataField isCountDistinct="1"/>
        </ext>
      </extLst>
    </dataField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0" type="count" id="51" iMeasureHier="23">
      <autoFilter ref="A1">
        <filterColumn colId="0">
          <top10 val="12" filterVal="12"/>
        </filterColumn>
      </autoFilter>
    </filter>
  </filters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UEBA1.xlsm!BD1">
        <x15:activeTabTopLevelEntity name="[BD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3000000}" name="Tabla dinámica3" cacheId="3753" applyNumberFormats="0" applyBorderFormats="0" applyFontFormats="0" applyPatternFormats="0" applyAlignmentFormats="0" applyWidthHeightFormats="1" dataCaption="Valores" updatedVersion="7" minRefreshableVersion="5" useAutoFormatting="1" subtotalHiddenItems="1" itemPrintTitles="1" createdVersion="5" indent="0" outline="1" outlineData="1" multipleFieldFilters="0" chartFormat="3">
  <location ref="R2:S5" firstHeaderRow="1" firstDataRow="1" firstDataCol="1"/>
  <pivotFields count="3">
    <pivotField axis="axisRow" allDrilled="1" showAll="0" dataSourceSort="1" defaultAttributeDrillState="1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/>
    <pivotField allDrilled="1" showAll="0" dataSourceSort="1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Recuento de Grupo Temporalidad" fld="1" subtotal="count" baseField="0" baseItem="0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2" format="1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2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2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19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2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2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2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8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UEBA1.xlsm!BD1">
        <x15:activeTabTopLevelEntity name="[BD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6000000}" name="Tabla dinámica6" cacheId="3762" applyNumberFormats="0" applyBorderFormats="0" applyFontFormats="0" applyPatternFormats="0" applyAlignmentFormats="0" applyWidthHeightFormats="1" dataCaption="Valores" updatedVersion="7" minRefreshableVersion="5" useAutoFormatting="1" subtotalHiddenItems="1" itemPrintTitles="1" createdVersion="5" indent="0" outline="1" outlineData="1" multipleFieldFilters="0">
  <location ref="AO2:AR8" firstHeaderRow="0" firstDataRow="1" firstDataCol="1"/>
  <pivotFields count="5">
    <pivotField axis="axisRow" allDrilled="1" showAll="0" sortType="descending" defaultAttributeDrillState="1">
      <items count="6">
        <item x="0"/>
        <item x="1"/>
        <item x="2"/>
        <item x="3"/>
        <item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dataField="1" showAll="0"/>
    <pivotField dataField="1" showAll="0"/>
    <pivotField allDrilled="1" showAll="0" dataSourceSort="1" defaultAttributeDrillState="1"/>
  </pivotFields>
  <rowFields count="1">
    <field x="0"/>
  </rowFields>
  <rowItems count="6">
    <i>
      <x v="1"/>
    </i>
    <i>
      <x v="4"/>
    </i>
    <i>
      <x/>
    </i>
    <i>
      <x v="3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uma de cantidad reingresada" fld="1" baseField="0" baseItem="0"/>
    <dataField name="Promedio de Temporalidad (dias)" fld="2" subtotal="average" baseField="0" baseItem="4" numFmtId="2"/>
    <dataField name="Promedio de % &gt; 50 %" fld="3" subtotal="average" baseField="0" baseItem="3" numFmtId="2"/>
  </dataFields>
  <formats count="1">
    <format dxfId="10">
      <pivotArea outline="0" collapsedLevelsAreSubtotals="1" fieldPosition="0">
        <references count="1">
          <reference field="4294967294" count="2" selected="0">
            <x v="1"/>
            <x v="2"/>
          </reference>
        </references>
      </pivotArea>
    </format>
  </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UEBA1.xlsm!BD1">
        <x15:activeTabTopLevelEntity name="[BD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2000000}" name="Tabla dinámica22" cacheId="3744" applyNumberFormats="0" applyBorderFormats="0" applyFontFormats="0" applyPatternFormats="0" applyAlignmentFormats="0" applyWidthHeightFormats="1" dataCaption="Valores" updatedVersion="7" minRefreshableVersion="5" useAutoFormatting="1" subtotalHiddenItems="1" itemPrintTitles="1" createdVersion="5" indent="0" outline="1" outlineData="1" multipleFieldFilters="0" chartFormat="3">
  <location ref="A2:B6" firstHeaderRow="1" firstDataRow="1" firstDataCol="1"/>
  <pivotFields count="3"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allDrilled="1" showAll="0" dataSourceSort="1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Recuento de % &gt; 50 %" fld="1" subtotal="count" baseField="0" baseItem="0"/>
  </dataFields>
  <chartFormats count="2">
    <chartFormat chart="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 caption="Recuento de % &gt; 50 %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7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UEBA1.xlsm!BD1">
        <x15:activeTabTopLevelEntity name="[BD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4000000}" name="Tabla dinámica4" cacheId="3756" applyNumberFormats="0" applyBorderFormats="0" applyFontFormats="0" applyPatternFormats="0" applyAlignmentFormats="0" applyWidthHeightFormats="1" dataCaption="Valores" updatedVersion="7" minRefreshableVersion="5" useAutoFormatting="1" subtotalHiddenItems="1" itemPrintTitles="1" createdVersion="5" indent="0" outline="1" outlineData="1" multipleFieldFilters="0" chartFormat="3">
  <location ref="Z2:AA5" firstHeaderRow="1" firstDataRow="1" firstDataCol="1"/>
  <pivotFields count="3"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allDrilled="1" showAll="0" dataSourceSort="1" defaultAttributeDrillState="1"/>
  </pivotFields>
  <rowFields count="1">
    <field x="0"/>
  </rowFields>
  <rowItems count="3">
    <i>
      <x/>
    </i>
    <i>
      <x v="1"/>
    </i>
    <i t="grand">
      <x/>
    </i>
  </rowItems>
  <colItems count="1">
    <i/>
  </colItems>
  <dataFields count="1">
    <dataField name="Recuento de % &gt; 50 %" fld="1" subtotal="count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7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2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</chartFormats>
  <pivotHierarchies count="31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PRUEBA1.xlsm!BD1">
        <x15:activeTabTopLevelEntity name="[BD1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otivos" xr10:uid="{74BF9D25-59B3-49EB-BA75-89FDE22681BA}" sourceName="[BD1].[Motivos]">
  <pivotTables>
    <pivotTable tabId="21" name="Tabla dinámica22"/>
    <pivotTable tabId="21" name="Tabla dinámica1"/>
    <pivotTable tabId="21" name="Tabla dinámica2"/>
    <pivotTable tabId="21" name="Tabla dinámica3"/>
    <pivotTable tabId="21" name="Tabla dinámica4"/>
    <pivotTable tabId="21" name="Tabla dinámica5"/>
    <pivotTable tabId="21" name="Tabla dinámica6"/>
  </pivotTables>
  <data>
    <olap pivotCacheId="911866611">
      <levels count="2">
        <level uniqueName="[BD1].[Motivos].[(All)]" sourceCaption="(All)" count="0"/>
        <level uniqueName="[BD1].[Motivos].[Motivos]" sourceCaption="Motivos" count="3">
          <ranges>
            <range startItem="0">
              <i n="[BD1].[Motivos].&amp;[Error en documento]" c="Error en documento"/>
              <i n="[BD1].[Motivos].&amp;[Material no retirado]" c="Material no retirado"/>
              <i n="[BD1].[Motivos].&amp;[Material no utilizado]" c="Material no utilizado"/>
            </range>
          </ranges>
        </level>
      </levels>
      <selections count="1">
        <selection n="[BD1].[Motivos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Nombre_C.Costo1" xr10:uid="{8C0F10BD-833C-40CE-8908-6EA2F576E69C}" sourceName="[BD1].[Nombre C.Costo]">
  <pivotTables>
    <pivotTable tabId="21" name="Tabla dinámica22"/>
    <pivotTable tabId="21" name="Tabla dinámica1"/>
    <pivotTable tabId="21" name="Tabla dinámica2"/>
    <pivotTable tabId="21" name="Tabla dinámica3"/>
    <pivotTable tabId="21" name="Tabla dinámica4"/>
    <pivotTable tabId="21" name="Tabla dinámica5"/>
    <pivotTable tabId="21" name="Tabla dinámica6"/>
  </pivotTables>
  <data>
    <olap pivotCacheId="911866611">
      <levels count="2">
        <level uniqueName="[BD1].[Nombre C.Costo].[(All)]" sourceCaption="(All)" count="0"/>
        <level uniqueName="[BD1].[Nombre C.Costo].[Nombre C.Costo]" sourceCaption="Nombre C.Costo" count="4">
          <ranges>
            <range startItem="0">
              <i n="[BD1].[Nombre C.Costo].&amp;[DEPTO.DE INSTALACIONES]" c="DEPTO.DE INSTALACIONES"/>
              <i n="[BD1].[Nombre C.Costo].&amp;[GRUPO 7 MTTO.RED AEREA]" c="GRUPO 7 MTTO.RED AEREA"/>
              <i n="[BD1].[Nombre C.Costo].&amp;[SECC.ILUMINACION]" c="SECC.ILUMINACION"/>
              <i n="[BD1].[Nombre C.Costo].&amp;[SECCION SERVICIO MEDICO-DENTAL]" c="SECCION SERVICIO MEDICO-DENTAL"/>
            </range>
          </ranges>
        </level>
      </levels>
      <selections count="1">
        <selection n="[BD1].[Nombre C.Costo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tivos" xr10:uid="{92848171-3F85-4CAB-A188-D58FA7A762DA}" cache="SegmentaciónDeDatos_Motivos" caption="Motivos" level="1" rowHeight="209550"/>
  <slicer name="Nombre C.Costo 1" xr10:uid="{3A59B36E-808C-4341-9474-928F326950FB}" cache="SegmentaciónDeDatos_Nombre_C.Costo1" caption="Nombre C.Costo" level="1" rowHeight="2095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otivos 1" xr10:uid="{5F1E0B57-8802-45EB-B723-FC95B6980C3A}" cache="SegmentaciónDeDatos_Motivos" caption="Motivos" columnCount="2" level="1" style="SlicerStyleDark5 2" rowHeight="209550"/>
  <slicer name="Nombre C.Costo 2" xr10:uid="{A3299455-DB4E-4EB8-BE79-502833BEE739}" cache="SegmentaciónDeDatos_Nombre_C.Costo1" caption="ÁREAS DE LA EEQ" columnCount="6" level="1" style="SlicerStyleDark5 2" rowHeight="209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5FE2E74-0B16-4B54-8685-561820DFF06B}" name="BD" displayName="BD" ref="A1:T6" totalsRowShown="0" headerRowDxfId="0">
  <autoFilter ref="A1:T6" xr:uid="{A5FE2E74-0B16-4B54-8685-561820DFF06B}"/>
  <tableColumns count="20">
    <tableColumn id="1" xr3:uid="{87B9D368-DCA4-4322-BAEC-E163BB352A04}" name="Código EEQ" dataDxfId="9" dataCellStyle="Normal_INGRESO_DATOS"/>
    <tableColumn id="2" xr3:uid="{0906A50E-6EFB-49F7-AAC8-AC5FE55B63B5}" name="Descripción " dataCellStyle="Normal_INGRESO_DATOS"/>
    <tableColumn id="3" xr3:uid="{08E6F86F-F351-4EEE-A386-E15537044F9B}" name="Bodega reingreso" dataDxfId="8" dataCellStyle="Normal_INGRESO_DATOS"/>
    <tableColumn id="4" xr3:uid="{0A05C829-791D-43B3-9C06-A71B87CE6628}" name="Nombre Bodega" dataCellStyle="Normal_INGRESO_DATOS"/>
    <tableColumn id="5" xr3:uid="{C93C785E-6EC4-4486-B374-606A841653CE}" name="Nro documento" dataCellStyle="Normal_INGRESO_DATOS"/>
    <tableColumn id="6" xr3:uid="{DEF30334-2300-43D0-A2E7-FC4B462EDF0C}" name="fecha reingreso" dataDxfId="7" dataCellStyle="Normal_INGRESO_DATOS"/>
    <tableColumn id="7" xr3:uid="{B97D3871-4CD2-469D-8106-A55DACEA00A7}" name="cantidad reingresada" dataCellStyle="Normal_INGRESO_DATOS"/>
    <tableColumn id="8" xr3:uid="{F40BE34E-2B80-4130-AA49-F01B9BFA5948}" name="nro egreso" dataCellStyle="Normal_INGRESO_DATOS"/>
    <tableColumn id="9" xr3:uid="{2B335668-5743-4E2C-AC77-6F42A542BB1D}" name="fecha egreso" dataDxfId="6" dataCellStyle="Normal_INGRESO_DATOS"/>
    <tableColumn id="10" xr3:uid="{45401A01-ADA1-40D2-A111-D5FC05902B39}" name="cantidad egreso" dataCellStyle="Normal_INGRESO_DATOS"/>
    <tableColumn id="11" xr3:uid="{8C1CAFCB-3E68-4188-9743-CF86F6D04C08}" name="centro de costo" dataCellStyle="Normal_INGRESO_DATOS"/>
    <tableColumn id="12" xr3:uid="{DAA6EC73-DC71-4049-A437-E984CBC96C84}" name="Nombre C.Costo" dataCellStyle="Normal_INGRESO_DATOS"/>
    <tableColumn id="13" xr3:uid="{5DD9574D-77F3-4A3A-8940-DC7ECAB93E7E}" name="rol o RUC entrega" dataDxfId="5" dataCellStyle="Normal_INGRESO_DATOS"/>
    <tableColumn id="14" xr3:uid="{5C2EAE5B-F47E-429B-9492-87E39B2A376F}" name="Nombre entrega" dataCellStyle="Normal_INGRESO_DATOS"/>
    <tableColumn id="15" xr3:uid="{855481A6-7765-4208-941D-4399DC050D3D}" name="% &gt; 50 %" dataCellStyle="Normal_INGRESO_DATOS"/>
    <tableColumn id="16" xr3:uid="{A8302C9D-58B8-4521-B737-EAA9AAB6B29E}" name="Temporalidad (dias)" dataDxfId="4" dataCellStyle="Normal_INGRESO_DATOS">
      <calculatedColumnFormula>+F2-I2</calculatedColumnFormula>
    </tableColumn>
    <tableColumn id="17" xr3:uid="{BAF03FEA-CBEB-4B7E-BB15-E13BBEC415D4}" name="Observaciones" dataCellStyle="Normal_INGRESO_DATOS"/>
    <tableColumn id="18" xr3:uid="{F7612E95-50A1-4136-A590-128CA8BF180D}" name="Motivos" dataDxfId="3"/>
    <tableColumn id="19" xr3:uid="{09014480-9F3D-4B26-9D26-8593D3250809}" name="Grupo Temporalidad" dataDxfId="2">
      <calculatedColumnFormula>IF(AND(P2&gt;=0,P2&lt;=60),"0 - 60 DIAS",IF(AND(P2&gt;=61,P2&lt;=120),"61 -120 DIAS",IF(AND(P2&gt;=121,P2&lt;=180),"121 -180 DIAS",IF(AND(P2&gt;=181,P2&lt;=240),"181-240 DIAS",IF(AND(P2&gt;=241,P2&lt;=400),"241 -400 DIAS",IF(AND(P2&gt;=401,P2&lt;=700),"401 -700 DIAS","700 - MÁS DIAS"))))))</calculatedColumnFormula>
    </tableColumn>
    <tableColumn id="20" xr3:uid="{E5227840-BF63-42F6-A044-4D96239C6511}" name="Tipo de personal" dataDxfId="1">
      <calculatedColumnFormula>+IF(LEN(M2)=5,"Personal EEQ","Contratista")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fecha_reingreso1" xr10:uid="{7DB8C01E-0004-4D4E-9689-FEA171C6D043}" sourceName="[BD1].[fecha reingreso]">
  <pivotTables>
    <pivotTable tabId="21" name="Tabla dinámica22"/>
    <pivotTable tabId="21" name="Tabla dinámica1"/>
    <pivotTable tabId="21" name="Tabla dinámica2"/>
    <pivotTable tabId="21" name="Tabla dinámica3"/>
    <pivotTable tabId="21" name="Tabla dinámica4"/>
    <pivotTable tabId="21" name="Tabla dinámica5"/>
    <pivotTable tabId="21" name="Tabla dinámica6"/>
  </pivotTables>
  <state minimalRefreshVersion="6" lastRefreshVersion="6" pivotCacheId="401283088" filterType="unknown"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reingreso 1" xr10:uid="{2F1EEB0E-F822-4AF8-BB7A-6F939BD152FF}" cache="Timeline_fecha_reingreso1" caption="fecha reingreso" level="2" selectionLevel="2" scrollPosition="2021-05-28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fecha reingreso 2" xr10:uid="{B7D9D60D-3CE2-4742-BAC1-22E5929AE8B0}" cache="Timeline_fecha_reingreso1" caption="Escala de tiempo" showHorizontalScrollbar="0" level="2" selectionLevel="2" scrollPosition="2021-06-01T00:00:00" style="Estilo de escala de tiempo 1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microsoft.com/office/2011/relationships/timeline" Target="../timelines/timeline2.xml"/><Relationship Id="rId5" Type="http://schemas.microsoft.com/office/2007/relationships/slicer" Target="../slicers/slicer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0">
    <pageSetUpPr autoPageBreaks="0"/>
  </sheetPr>
  <dimension ref="A1:T10544"/>
  <sheetViews>
    <sheetView workbookViewId="0">
      <selection activeCell="A3" sqref="A3:T8"/>
    </sheetView>
  </sheetViews>
  <sheetFormatPr baseColWidth="10" defaultColWidth="11.5546875" defaultRowHeight="13.2" x14ac:dyDescent="0.25"/>
  <cols>
    <col min="1" max="1" width="9.88671875" style="7" customWidth="1"/>
    <col min="2" max="2" width="56" style="6" customWidth="1"/>
    <col min="3" max="3" width="10.109375" style="4" customWidth="1"/>
    <col min="4" max="4" width="28.6640625" style="6" customWidth="1"/>
    <col min="5" max="5" width="10.6640625" style="4" bestFit="1" customWidth="1"/>
    <col min="6" max="6" width="13.5546875" style="4" bestFit="1" customWidth="1"/>
    <col min="7" max="7" width="11.33203125" style="4" bestFit="1" customWidth="1"/>
    <col min="8" max="8" width="11.5546875" style="4"/>
    <col min="9" max="9" width="12" style="4" customWidth="1"/>
    <col min="10" max="11" width="13.5546875" style="4" bestFit="1" customWidth="1"/>
    <col min="12" max="12" width="24" style="6" customWidth="1"/>
    <col min="13" max="13" width="14.88671875" style="4" customWidth="1"/>
    <col min="14" max="14" width="23.88671875" style="6" customWidth="1"/>
    <col min="15" max="15" width="12.88671875" style="7" customWidth="1"/>
    <col min="16" max="16" width="12.88671875" style="31" customWidth="1"/>
    <col min="17" max="17" width="26" style="7" customWidth="1"/>
    <col min="18" max="16384" width="11.5546875" style="7"/>
  </cols>
  <sheetData>
    <row r="1" spans="1:20" ht="47.25" customHeight="1" x14ac:dyDescent="0.25">
      <c r="A1" s="41">
        <f>COUNTA($A$4:$A$9999)</f>
        <v>5</v>
      </c>
      <c r="C1" s="3"/>
    </row>
    <row r="2" spans="1:20" x14ac:dyDescent="0.25">
      <c r="A2" s="43">
        <f>COUNTA($A$4:$A$9999)+3</f>
        <v>8</v>
      </c>
      <c r="I2" s="19"/>
    </row>
    <row r="3" spans="1:20" s="10" customFormat="1" ht="39.6" x14ac:dyDescent="0.25">
      <c r="A3" s="1" t="s">
        <v>18</v>
      </c>
      <c r="B3" s="1" t="s">
        <v>19</v>
      </c>
      <c r="C3" s="1" t="s">
        <v>12</v>
      </c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13</v>
      </c>
      <c r="M3" s="2" t="s">
        <v>8</v>
      </c>
      <c r="N3" s="2" t="s">
        <v>9</v>
      </c>
      <c r="O3" s="2" t="s">
        <v>10</v>
      </c>
      <c r="P3" s="32" t="s">
        <v>146</v>
      </c>
      <c r="Q3" s="2" t="s">
        <v>11</v>
      </c>
      <c r="R3" s="10" t="s">
        <v>148</v>
      </c>
      <c r="S3" s="10" t="s">
        <v>147</v>
      </c>
      <c r="T3" s="10" t="s">
        <v>149</v>
      </c>
    </row>
    <row r="4" spans="1:20" ht="26.4" x14ac:dyDescent="0.25">
      <c r="A4" s="26">
        <v>2795203</v>
      </c>
      <c r="B4" s="27" t="s">
        <v>136</v>
      </c>
      <c r="C4" s="28">
        <v>49</v>
      </c>
      <c r="D4" s="27" t="s">
        <v>140</v>
      </c>
      <c r="E4" s="27">
        <v>724</v>
      </c>
      <c r="F4" s="29">
        <v>44351</v>
      </c>
      <c r="G4" s="27">
        <v>1</v>
      </c>
      <c r="H4" s="27">
        <v>5962</v>
      </c>
      <c r="I4" s="29">
        <v>44348</v>
      </c>
      <c r="J4" s="27">
        <v>1</v>
      </c>
      <c r="K4" s="27">
        <v>74310</v>
      </c>
      <c r="L4" s="27" t="s">
        <v>135</v>
      </c>
      <c r="M4" s="30" t="s">
        <v>141</v>
      </c>
      <c r="N4" s="27" t="s">
        <v>142</v>
      </c>
      <c r="O4" s="27">
        <v>100</v>
      </c>
      <c r="P4" s="33">
        <f>+F4-I4</f>
        <v>3</v>
      </c>
      <c r="Q4" s="27" t="s">
        <v>139</v>
      </c>
      <c r="R4" s="10" t="s">
        <v>16</v>
      </c>
      <c r="S4" s="7" t="str">
        <f>IF(AND(P4&gt;=0,P4&lt;=60),"0 - 60 DIAS",IF(AND(P4&gt;=61,P4&lt;=120),"61 -120 DIAS",IF(AND(P4&gt;=121,P4&lt;=180),"121 -180 DIAS",IF(AND(P4&gt;=181,P4&lt;=240),"181-240 DIAS",IF(AND(P4&gt;=241,P4&lt;=400),"241 -400 DIAS",IF(AND(P4&gt;=401,P4&lt;=700),"401 -700 DIAS","700 - MÁS DIAS"))))))</f>
        <v>0 - 60 DIAS</v>
      </c>
      <c r="T4" s="7" t="str">
        <f>+IF(LEN(M4)=5,"Personal EEQ","Contratista")</f>
        <v>Contratista</v>
      </c>
    </row>
    <row r="5" spans="1:20" ht="26.4" x14ac:dyDescent="0.25">
      <c r="A5" s="26">
        <v>8010470</v>
      </c>
      <c r="B5" s="27" t="s">
        <v>158</v>
      </c>
      <c r="C5" s="28">
        <v>21</v>
      </c>
      <c r="D5" s="27" t="s">
        <v>143</v>
      </c>
      <c r="E5" s="27">
        <v>1871</v>
      </c>
      <c r="F5" s="29">
        <v>44351</v>
      </c>
      <c r="G5" s="27">
        <v>2</v>
      </c>
      <c r="H5" s="27">
        <v>40372</v>
      </c>
      <c r="I5" s="29">
        <v>44349</v>
      </c>
      <c r="J5" s="27">
        <v>2</v>
      </c>
      <c r="K5" s="27">
        <v>31410</v>
      </c>
      <c r="L5" s="27" t="s">
        <v>151</v>
      </c>
      <c r="M5" s="30" t="s">
        <v>152</v>
      </c>
      <c r="N5" s="27" t="s">
        <v>153</v>
      </c>
      <c r="O5" s="27">
        <v>100</v>
      </c>
      <c r="P5" s="33">
        <f t="shared" ref="P5:P8" si="0">+F5-I5</f>
        <v>2</v>
      </c>
      <c r="Q5" s="27" t="s">
        <v>159</v>
      </c>
      <c r="R5" s="10" t="s">
        <v>124</v>
      </c>
      <c r="S5" s="7" t="str">
        <f>IF(AND(P5&gt;=0,P5&lt;=60),"0 - 60 DIAS",IF(AND(P5&gt;=61,P5&lt;=120),"61 -120 DIAS",IF(AND(P5&gt;=121,P5&lt;=180),"121 -180 DIAS",IF(AND(P5&gt;=181,P5&lt;=240),"181-240 DIAS",IF(AND(P5&gt;=241,P5&lt;=400),"241 -400 DIAS",IF(AND(P5&gt;=401,P5&lt;=700),"401 -700 DIAS","700 - MÁS DIAS"))))))</f>
        <v>0 - 60 DIAS</v>
      </c>
      <c r="T5" s="7" t="str">
        <f t="shared" ref="T5:T8" si="1">+IF(LEN(M5)=5,"Personal EEQ","Contratista")</f>
        <v>Personal EEQ</v>
      </c>
    </row>
    <row r="6" spans="1:20" ht="26.4" x14ac:dyDescent="0.25">
      <c r="A6" s="26">
        <v>22204647</v>
      </c>
      <c r="B6" s="27" t="s">
        <v>154</v>
      </c>
      <c r="C6" s="28">
        <v>19</v>
      </c>
      <c r="D6" s="27" t="s">
        <v>138</v>
      </c>
      <c r="E6" s="27">
        <v>8676</v>
      </c>
      <c r="F6" s="29">
        <v>44351</v>
      </c>
      <c r="G6" s="27">
        <v>1</v>
      </c>
      <c r="H6" s="27">
        <v>18437</v>
      </c>
      <c r="I6" s="29">
        <v>44315</v>
      </c>
      <c r="J6" s="27">
        <v>1</v>
      </c>
      <c r="K6" s="27">
        <v>73123</v>
      </c>
      <c r="L6" s="27" t="s">
        <v>160</v>
      </c>
      <c r="M6" s="30" t="s">
        <v>161</v>
      </c>
      <c r="N6" s="27" t="s">
        <v>162</v>
      </c>
      <c r="O6" s="27">
        <v>100</v>
      </c>
      <c r="P6" s="33">
        <f t="shared" si="0"/>
        <v>36</v>
      </c>
      <c r="Q6" s="27" t="s">
        <v>155</v>
      </c>
      <c r="R6" s="10" t="s">
        <v>20</v>
      </c>
      <c r="S6" s="7" t="str">
        <f>IF(AND(P6&gt;=0,P6&lt;=60),"0 - 60 DIAS",IF(AND(P6&gt;=61,P6&lt;=120),"61 -120 DIAS",IF(AND(P6&gt;=121,P6&lt;=180),"121 -180 DIAS",IF(AND(P6&gt;=181,P6&lt;=240),"181-240 DIAS",IF(AND(P6&gt;=241,P6&lt;=400),"241 -400 DIAS",IF(AND(P6&gt;=401,P6&lt;=700),"401 -700 DIAS","700 - MÁS DIAS"))))))</f>
        <v>0 - 60 DIAS</v>
      </c>
      <c r="T6" s="7" t="str">
        <f t="shared" si="1"/>
        <v>Personal EEQ</v>
      </c>
    </row>
    <row r="7" spans="1:20" ht="26.4" x14ac:dyDescent="0.25">
      <c r="A7" s="26">
        <v>2862111</v>
      </c>
      <c r="B7" s="27" t="s">
        <v>14</v>
      </c>
      <c r="C7" s="28">
        <v>19</v>
      </c>
      <c r="D7" s="27" t="s">
        <v>138</v>
      </c>
      <c r="E7" s="27">
        <v>8667</v>
      </c>
      <c r="F7" s="29">
        <v>44350</v>
      </c>
      <c r="G7" s="27">
        <v>529</v>
      </c>
      <c r="H7" s="27">
        <v>17892</v>
      </c>
      <c r="I7" s="29">
        <v>44186</v>
      </c>
      <c r="J7" s="27">
        <v>900</v>
      </c>
      <c r="K7" s="27">
        <v>51400</v>
      </c>
      <c r="L7" s="27" t="s">
        <v>17</v>
      </c>
      <c r="M7" s="30" t="s">
        <v>150</v>
      </c>
      <c r="N7" s="27" t="s">
        <v>145</v>
      </c>
      <c r="O7" s="27">
        <v>58.7777777777777</v>
      </c>
      <c r="P7" s="33">
        <f t="shared" si="0"/>
        <v>164</v>
      </c>
      <c r="Q7" s="27" t="s">
        <v>139</v>
      </c>
      <c r="R7" s="10" t="s">
        <v>16</v>
      </c>
      <c r="S7" s="7" t="str">
        <f>IF(AND(P7&gt;=0,P7&lt;=60),"0 - 60 DIAS",IF(AND(P7&gt;=61,P7&lt;=120),"61 -120 DIAS",IF(AND(P7&gt;=121,P7&lt;=180),"121 -180 DIAS",IF(AND(P7&gt;=181,P7&lt;=240),"181-240 DIAS",IF(AND(P7&gt;=241,P7&lt;=400),"241 -400 DIAS",IF(AND(P7&gt;=401,P7&lt;=700),"401 -700 DIAS","700 - MÁS DIAS"))))))</f>
        <v>121 -180 DIAS</v>
      </c>
      <c r="T7" s="7" t="str">
        <f t="shared" si="1"/>
        <v>Contratista</v>
      </c>
    </row>
    <row r="8" spans="1:20" ht="26.4" x14ac:dyDescent="0.25">
      <c r="A8" s="26">
        <v>15700330</v>
      </c>
      <c r="B8" s="27" t="s">
        <v>144</v>
      </c>
      <c r="C8" s="28">
        <v>21</v>
      </c>
      <c r="D8" s="27" t="s">
        <v>143</v>
      </c>
      <c r="E8" s="27">
        <v>1868</v>
      </c>
      <c r="F8" s="29">
        <v>44350</v>
      </c>
      <c r="G8" s="27">
        <v>2</v>
      </c>
      <c r="H8" s="27">
        <v>40379</v>
      </c>
      <c r="I8" s="29">
        <v>44350</v>
      </c>
      <c r="J8" s="27">
        <v>2</v>
      </c>
      <c r="K8" s="27">
        <v>74310</v>
      </c>
      <c r="L8" s="27" t="s">
        <v>135</v>
      </c>
      <c r="M8" s="30" t="s">
        <v>156</v>
      </c>
      <c r="N8" s="27" t="s">
        <v>157</v>
      </c>
      <c r="O8" s="27">
        <v>100</v>
      </c>
      <c r="P8" s="33">
        <f t="shared" si="0"/>
        <v>0</v>
      </c>
      <c r="Q8" s="27" t="s">
        <v>159</v>
      </c>
      <c r="R8" s="10" t="s">
        <v>124</v>
      </c>
      <c r="S8" s="7" t="str">
        <f>IF(AND(P8&gt;=0,P8&lt;=60),"0 - 60 DIAS",IF(AND(P8&gt;=61,P8&lt;=120),"61 -120 DIAS",IF(AND(P8&gt;=121,P8&lt;=180),"121 -180 DIAS",IF(AND(P8&gt;=181,P8&lt;=240),"181-240 DIAS",IF(AND(P8&gt;=241,P8&lt;=400),"241 -400 DIAS",IF(AND(P8&gt;=401,P8&lt;=700),"401 -700 DIAS","700 - MÁS DIAS"))))))</f>
        <v>0 - 60 DIAS</v>
      </c>
      <c r="T8" s="7" t="str">
        <f t="shared" si="1"/>
        <v>Personal EEQ</v>
      </c>
    </row>
    <row r="9" spans="1:20" x14ac:dyDescent="0.25">
      <c r="A9" s="26"/>
      <c r="B9" s="27"/>
      <c r="C9" s="28"/>
      <c r="D9" s="27"/>
      <c r="E9" s="27"/>
      <c r="F9" s="29"/>
      <c r="G9" s="27"/>
      <c r="H9" s="27"/>
      <c r="I9" s="29"/>
      <c r="J9" s="27"/>
      <c r="K9" s="27"/>
      <c r="L9" s="27"/>
      <c r="M9" s="30"/>
      <c r="N9" s="27"/>
      <c r="O9" s="27"/>
      <c r="P9" s="33"/>
      <c r="Q9" s="27"/>
    </row>
    <row r="10" spans="1:20" x14ac:dyDescent="0.25">
      <c r="A10" s="26"/>
      <c r="B10" s="27"/>
      <c r="C10" s="28"/>
      <c r="D10" s="27"/>
      <c r="E10" s="27"/>
      <c r="F10" s="29"/>
      <c r="G10" s="27"/>
      <c r="H10" s="27"/>
      <c r="I10" s="29"/>
      <c r="J10" s="27"/>
      <c r="K10" s="27"/>
      <c r="L10" s="27"/>
      <c r="M10" s="30"/>
      <c r="N10" s="27"/>
      <c r="O10" s="27"/>
      <c r="P10" s="33"/>
      <c r="Q10" s="27"/>
    </row>
    <row r="11" spans="1:20" x14ac:dyDescent="0.25">
      <c r="A11" s="26"/>
      <c r="B11" s="27"/>
      <c r="C11" s="28"/>
      <c r="D11" s="27"/>
      <c r="E11" s="27"/>
      <c r="F11" s="29"/>
      <c r="G11" s="27"/>
      <c r="H11" s="27"/>
      <c r="I11" s="29"/>
      <c r="J11" s="27"/>
      <c r="K11" s="27"/>
      <c r="L11" s="27"/>
      <c r="M11" s="30"/>
      <c r="N11" s="27"/>
      <c r="O11" s="27"/>
      <c r="P11" s="33"/>
      <c r="Q11" s="27"/>
    </row>
    <row r="12" spans="1:20" x14ac:dyDescent="0.25">
      <c r="A12" s="26"/>
      <c r="B12" s="27"/>
      <c r="C12" s="28"/>
      <c r="D12" s="27"/>
      <c r="E12" s="27"/>
      <c r="F12" s="29"/>
      <c r="G12" s="27"/>
      <c r="H12" s="27"/>
      <c r="I12" s="29"/>
      <c r="J12" s="27"/>
      <c r="K12" s="27"/>
      <c r="L12" s="27"/>
      <c r="M12" s="30"/>
      <c r="N12" s="27"/>
      <c r="O12" s="27"/>
      <c r="P12" s="33"/>
      <c r="Q12" s="27"/>
    </row>
    <row r="13" spans="1:20" x14ac:dyDescent="0.25">
      <c r="A13" s="26"/>
      <c r="B13" s="27"/>
      <c r="C13" s="28"/>
      <c r="D13" s="27"/>
      <c r="E13" s="27"/>
      <c r="F13" s="29"/>
      <c r="G13" s="27"/>
      <c r="H13" s="27"/>
      <c r="I13" s="29"/>
      <c r="J13" s="27"/>
      <c r="K13" s="27"/>
      <c r="L13" s="27"/>
      <c r="M13" s="30"/>
      <c r="N13" s="27"/>
      <c r="O13" s="27"/>
      <c r="P13" s="33"/>
      <c r="Q13" s="27"/>
    </row>
    <row r="14" spans="1:20" x14ac:dyDescent="0.25">
      <c r="A14" s="26"/>
      <c r="B14" s="27"/>
      <c r="C14" s="28"/>
      <c r="D14" s="27"/>
      <c r="E14" s="27"/>
      <c r="F14" s="29"/>
      <c r="G14" s="27"/>
      <c r="H14" s="27"/>
      <c r="I14" s="29"/>
      <c r="J14" s="27"/>
      <c r="K14" s="27"/>
      <c r="L14" s="27"/>
      <c r="M14" s="30"/>
      <c r="N14" s="27"/>
      <c r="O14" s="27"/>
      <c r="P14" s="33"/>
      <c r="Q14" s="27"/>
    </row>
    <row r="15" spans="1:20" x14ac:dyDescent="0.25">
      <c r="A15" s="26"/>
      <c r="B15" s="27"/>
      <c r="C15" s="28"/>
      <c r="D15" s="27"/>
      <c r="E15" s="27"/>
      <c r="F15" s="29"/>
      <c r="G15" s="27"/>
      <c r="H15" s="27"/>
      <c r="I15" s="29"/>
      <c r="J15" s="27"/>
      <c r="K15" s="27"/>
      <c r="L15" s="27"/>
      <c r="M15" s="30"/>
      <c r="N15" s="27"/>
      <c r="O15" s="27"/>
      <c r="P15" s="33"/>
      <c r="Q15" s="27"/>
    </row>
    <row r="16" spans="1:20" x14ac:dyDescent="0.25">
      <c r="A16" s="26"/>
      <c r="B16" s="27"/>
      <c r="C16" s="28"/>
      <c r="D16" s="27"/>
      <c r="E16" s="27"/>
      <c r="F16" s="29"/>
      <c r="G16" s="27"/>
      <c r="H16" s="27"/>
      <c r="I16" s="29"/>
      <c r="J16" s="27"/>
      <c r="K16" s="27"/>
      <c r="L16" s="27"/>
      <c r="M16" s="30"/>
      <c r="N16" s="27"/>
      <c r="O16" s="27"/>
      <c r="P16" s="33"/>
      <c r="Q16" s="27"/>
    </row>
    <row r="17" spans="1:17" x14ac:dyDescent="0.25">
      <c r="A17" s="26"/>
      <c r="B17" s="27"/>
      <c r="C17" s="28"/>
      <c r="D17" s="27"/>
      <c r="E17" s="27"/>
      <c r="F17" s="29"/>
      <c r="G17" s="27"/>
      <c r="H17" s="27"/>
      <c r="I17" s="29"/>
      <c r="J17" s="27"/>
      <c r="K17" s="27"/>
      <c r="L17" s="27"/>
      <c r="M17" s="30"/>
      <c r="N17" s="27"/>
      <c r="O17" s="27"/>
      <c r="P17" s="33"/>
      <c r="Q17" s="27"/>
    </row>
    <row r="18" spans="1:17" x14ac:dyDescent="0.25">
      <c r="A18" s="26"/>
      <c r="B18" s="27"/>
      <c r="C18" s="28"/>
      <c r="D18" s="27"/>
      <c r="E18" s="27"/>
      <c r="F18" s="29"/>
      <c r="G18" s="27"/>
      <c r="H18" s="27"/>
      <c r="I18" s="29"/>
      <c r="J18" s="27"/>
      <c r="K18" s="27"/>
      <c r="L18" s="27"/>
      <c r="M18" s="30"/>
      <c r="N18" s="27"/>
      <c r="O18" s="27"/>
      <c r="P18" s="33"/>
      <c r="Q18" s="27"/>
    </row>
    <row r="19" spans="1:17" x14ac:dyDescent="0.25">
      <c r="A19" s="26"/>
      <c r="B19" s="27"/>
      <c r="C19" s="28"/>
      <c r="D19" s="27"/>
      <c r="E19" s="27"/>
      <c r="F19" s="29"/>
      <c r="G19" s="27"/>
      <c r="H19" s="27"/>
      <c r="I19" s="29"/>
      <c r="J19" s="27"/>
      <c r="K19" s="27"/>
      <c r="L19" s="27"/>
      <c r="M19" s="30"/>
      <c r="N19" s="27"/>
      <c r="O19" s="27"/>
      <c r="P19" s="33"/>
      <c r="Q19" s="27"/>
    </row>
    <row r="20" spans="1:17" x14ac:dyDescent="0.25">
      <c r="A20" s="26"/>
      <c r="B20" s="27"/>
      <c r="C20" s="28"/>
      <c r="D20" s="27"/>
      <c r="E20" s="27"/>
      <c r="F20" s="29"/>
      <c r="G20" s="27"/>
      <c r="H20" s="27"/>
      <c r="I20" s="29"/>
      <c r="J20" s="27"/>
      <c r="K20" s="27"/>
      <c r="L20" s="27"/>
      <c r="M20" s="30"/>
      <c r="N20" s="27"/>
      <c r="O20" s="27"/>
      <c r="P20" s="33"/>
      <c r="Q20" s="27"/>
    </row>
    <row r="21" spans="1:17" x14ac:dyDescent="0.25">
      <c r="A21" s="26"/>
      <c r="B21" s="27"/>
      <c r="C21" s="28"/>
      <c r="D21" s="27"/>
      <c r="E21" s="27"/>
      <c r="F21" s="29"/>
      <c r="G21" s="27"/>
      <c r="H21" s="27"/>
      <c r="I21" s="29"/>
      <c r="J21" s="27"/>
      <c r="K21" s="27"/>
      <c r="L21" s="27"/>
      <c r="M21" s="30"/>
      <c r="N21" s="27"/>
      <c r="O21" s="27"/>
      <c r="P21" s="33"/>
      <c r="Q21" s="27"/>
    </row>
    <row r="22" spans="1:17" x14ac:dyDescent="0.25">
      <c r="A22" s="26"/>
      <c r="B22" s="27"/>
      <c r="C22" s="28"/>
      <c r="D22" s="27"/>
      <c r="E22" s="27"/>
      <c r="F22" s="29"/>
      <c r="G22" s="27"/>
      <c r="H22" s="27"/>
      <c r="I22" s="29"/>
      <c r="J22" s="27"/>
      <c r="K22" s="27"/>
      <c r="L22" s="27"/>
      <c r="M22" s="30"/>
      <c r="N22" s="27"/>
      <c r="O22" s="27"/>
      <c r="P22" s="33"/>
      <c r="Q22" s="27"/>
    </row>
    <row r="23" spans="1:17" x14ac:dyDescent="0.25">
      <c r="A23" s="26"/>
      <c r="B23" s="27"/>
      <c r="C23" s="28"/>
      <c r="D23" s="27"/>
      <c r="E23" s="27"/>
      <c r="F23" s="29"/>
      <c r="G23" s="27"/>
      <c r="H23" s="27"/>
      <c r="I23" s="29"/>
      <c r="J23" s="27"/>
      <c r="K23" s="27"/>
      <c r="L23" s="27"/>
      <c r="M23" s="30"/>
      <c r="N23" s="27"/>
      <c r="O23" s="27"/>
      <c r="P23" s="33"/>
      <c r="Q23" s="27"/>
    </row>
    <row r="24" spans="1:17" x14ac:dyDescent="0.25">
      <c r="A24" s="26"/>
      <c r="B24" s="27"/>
      <c r="C24" s="28"/>
      <c r="D24" s="27"/>
      <c r="E24" s="27"/>
      <c r="F24" s="29"/>
      <c r="G24" s="27"/>
      <c r="H24" s="27"/>
      <c r="I24" s="29"/>
      <c r="J24" s="27"/>
      <c r="K24" s="27"/>
      <c r="L24" s="27"/>
      <c r="M24" s="30"/>
      <c r="N24" s="27"/>
      <c r="O24" s="27"/>
      <c r="P24" s="33"/>
      <c r="Q24" s="27"/>
    </row>
    <row r="25" spans="1:17" x14ac:dyDescent="0.25">
      <c r="A25" s="26"/>
      <c r="B25" s="27"/>
      <c r="C25" s="28"/>
      <c r="D25" s="27"/>
      <c r="E25" s="27"/>
      <c r="F25" s="29"/>
      <c r="G25" s="27"/>
      <c r="H25" s="27"/>
      <c r="I25" s="29"/>
      <c r="J25" s="27"/>
      <c r="K25" s="27"/>
      <c r="L25" s="27"/>
      <c r="M25" s="30"/>
      <c r="N25" s="27"/>
      <c r="O25" s="27"/>
      <c r="P25" s="33"/>
      <c r="Q25" s="27"/>
    </row>
    <row r="26" spans="1:17" x14ac:dyDescent="0.25">
      <c r="A26" s="26"/>
      <c r="B26" s="27"/>
      <c r="C26" s="28"/>
      <c r="D26" s="27"/>
      <c r="E26" s="27"/>
      <c r="F26" s="29"/>
      <c r="G26" s="27"/>
      <c r="H26" s="27"/>
      <c r="I26" s="29"/>
      <c r="J26" s="27"/>
      <c r="K26" s="27"/>
      <c r="L26" s="27"/>
      <c r="M26" s="30"/>
      <c r="N26" s="27"/>
      <c r="O26" s="27"/>
      <c r="P26" s="33"/>
      <c r="Q26" s="27"/>
    </row>
    <row r="27" spans="1:17" x14ac:dyDescent="0.25">
      <c r="A27" s="26"/>
      <c r="B27" s="27"/>
      <c r="C27" s="28"/>
      <c r="D27" s="27"/>
      <c r="E27" s="27"/>
      <c r="F27" s="29"/>
      <c r="G27" s="27"/>
      <c r="H27" s="27"/>
      <c r="I27" s="29"/>
      <c r="J27" s="27"/>
      <c r="K27" s="27"/>
      <c r="L27" s="27"/>
      <c r="M27" s="30"/>
      <c r="N27" s="27"/>
      <c r="O27" s="27"/>
      <c r="P27" s="33"/>
      <c r="Q27" s="27"/>
    </row>
    <row r="28" spans="1:17" x14ac:dyDescent="0.25">
      <c r="A28" s="26"/>
      <c r="B28" s="27"/>
      <c r="C28" s="28"/>
      <c r="D28" s="27"/>
      <c r="E28" s="27"/>
      <c r="F28" s="29"/>
      <c r="G28" s="27"/>
      <c r="H28" s="27"/>
      <c r="I28" s="29"/>
      <c r="J28" s="27"/>
      <c r="K28" s="27"/>
      <c r="L28" s="27"/>
      <c r="M28" s="30"/>
      <c r="N28" s="27"/>
      <c r="O28" s="27"/>
      <c r="P28" s="33"/>
      <c r="Q28" s="27"/>
    </row>
    <row r="29" spans="1:17" x14ac:dyDescent="0.25">
      <c r="A29" s="26"/>
      <c r="B29" s="27"/>
      <c r="C29" s="28"/>
      <c r="D29" s="27"/>
      <c r="E29" s="27"/>
      <c r="F29" s="29"/>
      <c r="G29" s="27"/>
      <c r="H29" s="27"/>
      <c r="I29" s="29"/>
      <c r="J29" s="27"/>
      <c r="K29" s="27"/>
      <c r="L29" s="27"/>
      <c r="M29" s="30"/>
      <c r="N29" s="27"/>
      <c r="O29" s="27"/>
      <c r="P29" s="33"/>
      <c r="Q29" s="27"/>
    </row>
    <row r="30" spans="1:17" x14ac:dyDescent="0.25">
      <c r="A30" s="26"/>
      <c r="B30" s="27"/>
      <c r="C30" s="28"/>
      <c r="D30" s="27"/>
      <c r="E30" s="27"/>
      <c r="F30" s="29"/>
      <c r="G30" s="27"/>
      <c r="H30" s="27"/>
      <c r="I30" s="29"/>
      <c r="J30" s="27"/>
      <c r="K30" s="27"/>
      <c r="L30" s="27"/>
      <c r="M30" s="30"/>
      <c r="N30" s="27"/>
      <c r="O30" s="27"/>
      <c r="P30" s="33"/>
      <c r="Q30" s="27"/>
    </row>
    <row r="31" spans="1:17" x14ac:dyDescent="0.25">
      <c r="A31" s="26"/>
      <c r="B31" s="27"/>
      <c r="C31" s="28"/>
      <c r="D31" s="27"/>
      <c r="E31" s="27"/>
      <c r="F31" s="29"/>
      <c r="G31" s="27"/>
      <c r="H31" s="27"/>
      <c r="I31" s="29"/>
      <c r="J31" s="27"/>
      <c r="K31" s="27"/>
      <c r="L31" s="27"/>
      <c r="M31" s="30"/>
      <c r="N31" s="27"/>
      <c r="O31" s="27"/>
      <c r="P31" s="33"/>
      <c r="Q31" s="27"/>
    </row>
    <row r="32" spans="1:17" x14ac:dyDescent="0.25">
      <c r="A32" s="26"/>
      <c r="B32" s="27"/>
      <c r="C32" s="28"/>
      <c r="D32" s="27"/>
      <c r="E32" s="27"/>
      <c r="F32" s="29"/>
      <c r="G32" s="27"/>
      <c r="H32" s="27"/>
      <c r="I32" s="29"/>
      <c r="J32" s="27"/>
      <c r="K32" s="27"/>
      <c r="L32" s="27"/>
      <c r="M32" s="30"/>
      <c r="N32" s="27"/>
      <c r="O32" s="27"/>
      <c r="P32" s="33"/>
      <c r="Q32" s="27"/>
    </row>
    <row r="33" spans="1:17" x14ac:dyDescent="0.25">
      <c r="A33" s="26"/>
      <c r="B33" s="27"/>
      <c r="C33" s="28"/>
      <c r="D33" s="27"/>
      <c r="E33" s="27"/>
      <c r="F33" s="29"/>
      <c r="G33" s="27"/>
      <c r="H33" s="27"/>
      <c r="I33" s="29"/>
      <c r="J33" s="27"/>
      <c r="K33" s="27"/>
      <c r="L33" s="27"/>
      <c r="M33" s="30"/>
      <c r="N33" s="27"/>
      <c r="O33" s="27"/>
      <c r="P33" s="33"/>
      <c r="Q33" s="27"/>
    </row>
    <row r="34" spans="1:17" x14ac:dyDescent="0.25">
      <c r="A34" s="26"/>
      <c r="B34" s="27"/>
      <c r="C34" s="28"/>
      <c r="D34" s="27"/>
      <c r="E34" s="27"/>
      <c r="F34" s="29"/>
      <c r="G34" s="27"/>
      <c r="H34" s="27"/>
      <c r="I34" s="29"/>
      <c r="J34" s="27"/>
      <c r="K34" s="27"/>
      <c r="L34" s="27"/>
      <c r="M34" s="30"/>
      <c r="N34" s="27"/>
      <c r="O34" s="27"/>
      <c r="P34" s="33"/>
      <c r="Q34" s="27"/>
    </row>
    <row r="35" spans="1:17" x14ac:dyDescent="0.25">
      <c r="A35" s="26"/>
      <c r="B35" s="27"/>
      <c r="C35" s="28"/>
      <c r="D35" s="27"/>
      <c r="E35" s="27"/>
      <c r="F35" s="29"/>
      <c r="G35" s="27"/>
      <c r="H35" s="27"/>
      <c r="I35" s="29"/>
      <c r="J35" s="27"/>
      <c r="K35" s="27"/>
      <c r="L35" s="27"/>
      <c r="M35" s="30"/>
      <c r="N35" s="27"/>
      <c r="O35" s="27"/>
      <c r="P35" s="33"/>
      <c r="Q35" s="27"/>
    </row>
    <row r="36" spans="1:17" x14ac:dyDescent="0.25">
      <c r="A36" s="26"/>
      <c r="B36" s="27"/>
      <c r="C36" s="28"/>
      <c r="D36" s="27"/>
      <c r="E36" s="27"/>
      <c r="F36" s="29"/>
      <c r="G36" s="27"/>
      <c r="H36" s="27"/>
      <c r="I36" s="29"/>
      <c r="J36" s="27"/>
      <c r="K36" s="27"/>
      <c r="L36" s="27"/>
      <c r="M36" s="30"/>
      <c r="N36" s="27"/>
      <c r="O36" s="27"/>
      <c r="P36" s="33"/>
      <c r="Q36" s="27"/>
    </row>
    <row r="37" spans="1:17" x14ac:dyDescent="0.25">
      <c r="A37" s="26"/>
      <c r="B37" s="27"/>
      <c r="C37" s="28"/>
      <c r="D37" s="27"/>
      <c r="E37" s="27"/>
      <c r="F37" s="29"/>
      <c r="G37" s="27"/>
      <c r="H37" s="27"/>
      <c r="I37" s="29"/>
      <c r="J37" s="27"/>
      <c r="K37" s="27"/>
      <c r="L37" s="27"/>
      <c r="M37" s="30"/>
      <c r="N37" s="27"/>
      <c r="O37" s="27"/>
      <c r="P37" s="33"/>
      <c r="Q37" s="27"/>
    </row>
    <row r="38" spans="1:17" x14ac:dyDescent="0.25">
      <c r="A38" s="26"/>
      <c r="B38" s="27"/>
      <c r="C38" s="28"/>
      <c r="D38" s="27"/>
      <c r="E38" s="27"/>
      <c r="F38" s="29"/>
      <c r="G38" s="27"/>
      <c r="H38" s="27"/>
      <c r="I38" s="29"/>
      <c r="J38" s="27"/>
      <c r="K38" s="27"/>
      <c r="L38" s="27"/>
      <c r="M38" s="30"/>
      <c r="N38" s="27"/>
      <c r="O38" s="27"/>
      <c r="P38" s="33"/>
      <c r="Q38" s="27"/>
    </row>
    <row r="39" spans="1:17" x14ac:dyDescent="0.25">
      <c r="A39" s="26"/>
      <c r="B39" s="27"/>
      <c r="C39" s="28"/>
      <c r="D39" s="27"/>
      <c r="E39" s="27"/>
      <c r="F39" s="29"/>
      <c r="G39" s="27"/>
      <c r="H39" s="27"/>
      <c r="I39" s="29"/>
      <c r="J39" s="27"/>
      <c r="K39" s="27"/>
      <c r="L39" s="27"/>
      <c r="M39" s="30"/>
      <c r="N39" s="27"/>
      <c r="O39" s="27"/>
      <c r="P39" s="33"/>
      <c r="Q39" s="27"/>
    </row>
    <row r="40" spans="1:17" x14ac:dyDescent="0.25">
      <c r="A40" s="26"/>
      <c r="B40" s="27"/>
      <c r="C40" s="28"/>
      <c r="D40" s="27"/>
      <c r="E40" s="27"/>
      <c r="F40" s="29"/>
      <c r="G40" s="27"/>
      <c r="H40" s="27"/>
      <c r="I40" s="29"/>
      <c r="J40" s="27"/>
      <c r="K40" s="27"/>
      <c r="L40" s="27"/>
      <c r="M40" s="30"/>
      <c r="N40" s="27"/>
      <c r="O40" s="27"/>
      <c r="P40" s="33"/>
      <c r="Q40" s="27"/>
    </row>
    <row r="41" spans="1:17" x14ac:dyDescent="0.25">
      <c r="A41" s="26"/>
      <c r="B41" s="27"/>
      <c r="C41" s="28"/>
      <c r="D41" s="27"/>
      <c r="E41" s="27"/>
      <c r="F41" s="29"/>
      <c r="G41" s="27"/>
      <c r="H41" s="27"/>
      <c r="I41" s="29"/>
      <c r="J41" s="27"/>
      <c r="K41" s="27"/>
      <c r="L41" s="27"/>
      <c r="M41" s="30"/>
      <c r="N41" s="27"/>
      <c r="O41" s="27"/>
      <c r="P41" s="33"/>
      <c r="Q41" s="27"/>
    </row>
    <row r="42" spans="1:17" x14ac:dyDescent="0.25">
      <c r="A42" s="26"/>
      <c r="B42" s="27"/>
      <c r="C42" s="28"/>
      <c r="D42" s="27"/>
      <c r="E42" s="27"/>
      <c r="F42" s="29"/>
      <c r="G42" s="27"/>
      <c r="H42" s="27"/>
      <c r="I42" s="29"/>
      <c r="J42" s="27"/>
      <c r="K42" s="27"/>
      <c r="L42" s="27"/>
      <c r="M42" s="30"/>
      <c r="N42" s="27"/>
      <c r="O42" s="27"/>
      <c r="P42" s="33"/>
      <c r="Q42" s="27"/>
    </row>
    <row r="43" spans="1:17" x14ac:dyDescent="0.25">
      <c r="A43" s="26"/>
      <c r="B43" s="27"/>
      <c r="C43" s="28"/>
      <c r="D43" s="27"/>
      <c r="E43" s="27"/>
      <c r="F43" s="29"/>
      <c r="G43" s="27"/>
      <c r="H43" s="27"/>
      <c r="I43" s="29"/>
      <c r="J43" s="27"/>
      <c r="K43" s="27"/>
      <c r="L43" s="27"/>
      <c r="M43" s="30"/>
      <c r="N43" s="27"/>
      <c r="O43" s="27"/>
      <c r="P43" s="33"/>
      <c r="Q43" s="27"/>
    </row>
    <row r="44" spans="1:17" x14ac:dyDescent="0.25">
      <c r="A44" s="26"/>
      <c r="B44" s="27"/>
      <c r="C44" s="28"/>
      <c r="D44" s="27"/>
      <c r="E44" s="27"/>
      <c r="F44" s="29"/>
      <c r="G44" s="27"/>
      <c r="H44" s="27"/>
      <c r="I44" s="29"/>
      <c r="J44" s="27"/>
      <c r="K44" s="27"/>
      <c r="L44" s="27"/>
      <c r="M44" s="30"/>
      <c r="N44" s="27"/>
      <c r="O44" s="27"/>
      <c r="P44" s="33"/>
      <c r="Q44" s="27"/>
    </row>
    <row r="45" spans="1:17" x14ac:dyDescent="0.25">
      <c r="A45" s="26"/>
      <c r="B45" s="27"/>
      <c r="C45" s="28"/>
      <c r="D45" s="27"/>
      <c r="E45" s="27"/>
      <c r="F45" s="29"/>
      <c r="G45" s="27"/>
      <c r="H45" s="27"/>
      <c r="I45" s="29"/>
      <c r="J45" s="27"/>
      <c r="K45" s="27"/>
      <c r="L45" s="27"/>
      <c r="M45" s="30"/>
      <c r="N45" s="27"/>
      <c r="O45" s="27"/>
      <c r="P45" s="33"/>
      <c r="Q45" s="27"/>
    </row>
    <row r="46" spans="1:17" x14ac:dyDescent="0.25">
      <c r="A46" s="26"/>
      <c r="B46" s="27"/>
      <c r="C46" s="28"/>
      <c r="D46" s="27"/>
      <c r="E46" s="27"/>
      <c r="F46" s="29"/>
      <c r="G46" s="27"/>
      <c r="H46" s="27"/>
      <c r="I46" s="29"/>
      <c r="J46" s="27"/>
      <c r="K46" s="27"/>
      <c r="L46" s="27"/>
      <c r="M46" s="30"/>
      <c r="N46" s="27"/>
      <c r="O46" s="27"/>
      <c r="P46" s="33"/>
      <c r="Q46" s="27"/>
    </row>
    <row r="47" spans="1:17" x14ac:dyDescent="0.25">
      <c r="A47" s="26"/>
      <c r="B47" s="27"/>
      <c r="C47" s="28"/>
      <c r="D47" s="27"/>
      <c r="E47" s="27"/>
      <c r="F47" s="29"/>
      <c r="G47" s="27"/>
      <c r="H47" s="27"/>
      <c r="I47" s="29"/>
      <c r="J47" s="27"/>
      <c r="K47" s="27"/>
      <c r="L47" s="27"/>
      <c r="M47" s="30"/>
      <c r="N47" s="27"/>
      <c r="O47" s="27"/>
      <c r="P47" s="33"/>
      <c r="Q47" s="27"/>
    </row>
    <row r="48" spans="1:17" x14ac:dyDescent="0.25">
      <c r="A48" s="26"/>
      <c r="B48" s="27"/>
      <c r="C48" s="28"/>
      <c r="D48" s="27"/>
      <c r="E48" s="27"/>
      <c r="F48" s="29"/>
      <c r="G48" s="27"/>
      <c r="H48" s="27"/>
      <c r="I48" s="29"/>
      <c r="J48" s="27"/>
      <c r="K48" s="27"/>
      <c r="L48" s="27"/>
      <c r="M48" s="30"/>
      <c r="N48" s="27"/>
      <c r="O48" s="27"/>
      <c r="P48" s="33"/>
      <c r="Q48" s="27"/>
    </row>
    <row r="49" spans="1:17" x14ac:dyDescent="0.25">
      <c r="A49" s="26"/>
      <c r="B49" s="27"/>
      <c r="C49" s="28"/>
      <c r="D49" s="27"/>
      <c r="E49" s="27"/>
      <c r="F49" s="29"/>
      <c r="G49" s="27"/>
      <c r="H49" s="27"/>
      <c r="I49" s="29"/>
      <c r="J49" s="27"/>
      <c r="K49" s="27"/>
      <c r="L49" s="27"/>
      <c r="M49" s="30"/>
      <c r="N49" s="27"/>
      <c r="O49" s="27"/>
      <c r="P49" s="33"/>
      <c r="Q49" s="27"/>
    </row>
    <row r="50" spans="1:17" x14ac:dyDescent="0.25">
      <c r="A50" s="26"/>
      <c r="B50" s="27"/>
      <c r="C50" s="28"/>
      <c r="D50" s="27"/>
      <c r="E50" s="27"/>
      <c r="F50" s="29"/>
      <c r="G50" s="27"/>
      <c r="H50" s="27"/>
      <c r="I50" s="29"/>
      <c r="J50" s="27"/>
      <c r="K50" s="27"/>
      <c r="L50" s="27"/>
      <c r="M50" s="30"/>
      <c r="N50" s="27"/>
      <c r="O50" s="27"/>
      <c r="P50" s="33"/>
      <c r="Q50" s="27"/>
    </row>
    <row r="51" spans="1:17" x14ac:dyDescent="0.25">
      <c r="A51" s="26"/>
      <c r="B51" s="27"/>
      <c r="C51" s="28"/>
      <c r="D51" s="27"/>
      <c r="E51" s="27"/>
      <c r="F51" s="29"/>
      <c r="G51" s="27"/>
      <c r="H51" s="27"/>
      <c r="I51" s="29"/>
      <c r="J51" s="27"/>
      <c r="K51" s="27"/>
      <c r="L51" s="27"/>
      <c r="M51" s="30"/>
      <c r="N51" s="27"/>
      <c r="O51" s="27"/>
      <c r="P51" s="33"/>
      <c r="Q51" s="27"/>
    </row>
    <row r="52" spans="1:17" x14ac:dyDescent="0.25">
      <c r="A52" s="26"/>
      <c r="B52" s="27"/>
      <c r="C52" s="28"/>
      <c r="D52" s="27"/>
      <c r="E52" s="27"/>
      <c r="F52" s="29"/>
      <c r="G52" s="27"/>
      <c r="H52" s="27"/>
      <c r="I52" s="29"/>
      <c r="J52" s="27"/>
      <c r="K52" s="27"/>
      <c r="L52" s="27"/>
      <c r="M52" s="30"/>
      <c r="N52" s="27"/>
      <c r="O52" s="27"/>
      <c r="P52" s="33"/>
      <c r="Q52" s="27"/>
    </row>
    <row r="53" spans="1:17" x14ac:dyDescent="0.25">
      <c r="A53" s="26"/>
      <c r="B53" s="27"/>
      <c r="C53" s="28"/>
      <c r="D53" s="27"/>
      <c r="E53" s="27"/>
      <c r="F53" s="29"/>
      <c r="G53" s="27"/>
      <c r="H53" s="27"/>
      <c r="I53" s="29"/>
      <c r="J53" s="27"/>
      <c r="K53" s="27"/>
      <c r="L53" s="27"/>
      <c r="M53" s="30"/>
      <c r="N53" s="27"/>
      <c r="O53" s="27"/>
      <c r="P53" s="33"/>
      <c r="Q53" s="27"/>
    </row>
    <row r="54" spans="1:17" x14ac:dyDescent="0.25">
      <c r="A54" s="26"/>
      <c r="B54" s="27"/>
      <c r="C54" s="28"/>
      <c r="D54" s="27"/>
      <c r="E54" s="27"/>
      <c r="F54" s="29"/>
      <c r="G54" s="27"/>
      <c r="H54" s="27"/>
      <c r="I54" s="29"/>
      <c r="J54" s="27"/>
      <c r="K54" s="27"/>
      <c r="L54" s="27"/>
      <c r="M54" s="30"/>
      <c r="N54" s="27"/>
      <c r="O54" s="27"/>
      <c r="P54" s="33"/>
      <c r="Q54" s="27"/>
    </row>
    <row r="55" spans="1:17" x14ac:dyDescent="0.25">
      <c r="A55" s="26"/>
      <c r="B55" s="27"/>
      <c r="C55" s="28"/>
      <c r="D55" s="27"/>
      <c r="E55" s="27"/>
      <c r="F55" s="29"/>
      <c r="G55" s="27"/>
      <c r="H55" s="27"/>
      <c r="I55" s="29"/>
      <c r="J55" s="27"/>
      <c r="K55" s="27"/>
      <c r="L55" s="27"/>
      <c r="M55" s="30"/>
      <c r="N55" s="27"/>
      <c r="O55" s="27"/>
      <c r="P55" s="33"/>
      <c r="Q55" s="27"/>
    </row>
    <row r="56" spans="1:17" x14ac:dyDescent="0.25">
      <c r="A56" s="26"/>
      <c r="B56" s="27"/>
      <c r="C56" s="28"/>
      <c r="D56" s="27"/>
      <c r="E56" s="27"/>
      <c r="F56" s="29"/>
      <c r="G56" s="27"/>
      <c r="H56" s="27"/>
      <c r="I56" s="29"/>
      <c r="J56" s="27"/>
      <c r="K56" s="27"/>
      <c r="L56" s="27"/>
      <c r="M56" s="30"/>
      <c r="N56" s="27"/>
      <c r="O56" s="27"/>
      <c r="P56" s="33"/>
      <c r="Q56" s="27"/>
    </row>
    <row r="57" spans="1:17" x14ac:dyDescent="0.25">
      <c r="A57" s="26"/>
      <c r="B57" s="27"/>
      <c r="C57" s="28"/>
      <c r="D57" s="27"/>
      <c r="E57" s="27"/>
      <c r="F57" s="29"/>
      <c r="G57" s="27"/>
      <c r="H57" s="27"/>
      <c r="I57" s="29"/>
      <c r="J57" s="27"/>
      <c r="K57" s="27"/>
      <c r="L57" s="27"/>
      <c r="M57" s="30"/>
      <c r="N57" s="27"/>
      <c r="O57" s="27"/>
      <c r="P57" s="33"/>
      <c r="Q57" s="27"/>
    </row>
    <row r="58" spans="1:17" x14ac:dyDescent="0.25">
      <c r="A58" s="26"/>
      <c r="B58" s="27"/>
      <c r="C58" s="28"/>
      <c r="D58" s="27"/>
      <c r="E58" s="27"/>
      <c r="F58" s="29"/>
      <c r="G58" s="27"/>
      <c r="H58" s="27"/>
      <c r="I58" s="29"/>
      <c r="J58" s="27"/>
      <c r="K58" s="27"/>
      <c r="L58" s="27"/>
      <c r="M58" s="30"/>
      <c r="N58" s="27"/>
      <c r="O58" s="27"/>
      <c r="P58" s="33"/>
      <c r="Q58" s="27"/>
    </row>
    <row r="59" spans="1:17" x14ac:dyDescent="0.25">
      <c r="A59" s="26"/>
      <c r="B59" s="27"/>
      <c r="C59" s="28"/>
      <c r="D59" s="27"/>
      <c r="E59" s="27"/>
      <c r="F59" s="29"/>
      <c r="G59" s="27"/>
      <c r="H59" s="27"/>
      <c r="I59" s="29"/>
      <c r="J59" s="27"/>
      <c r="K59" s="27"/>
      <c r="L59" s="27"/>
      <c r="M59" s="30"/>
      <c r="N59" s="27"/>
      <c r="O59" s="27"/>
      <c r="P59" s="33"/>
      <c r="Q59" s="27"/>
    </row>
    <row r="60" spans="1:17" x14ac:dyDescent="0.25">
      <c r="A60" s="26"/>
      <c r="B60" s="27"/>
      <c r="C60" s="28"/>
      <c r="D60" s="27"/>
      <c r="E60" s="27"/>
      <c r="F60" s="29"/>
      <c r="G60" s="27"/>
      <c r="H60" s="27"/>
      <c r="I60" s="29"/>
      <c r="J60" s="27"/>
      <c r="K60" s="27"/>
      <c r="L60" s="27"/>
      <c r="M60" s="30"/>
      <c r="N60" s="27"/>
      <c r="O60" s="27"/>
      <c r="P60" s="33"/>
      <c r="Q60" s="27"/>
    </row>
    <row r="61" spans="1:17" x14ac:dyDescent="0.25">
      <c r="A61" s="26"/>
      <c r="B61" s="27"/>
      <c r="C61" s="28"/>
      <c r="D61" s="27"/>
      <c r="E61" s="27"/>
      <c r="F61" s="29"/>
      <c r="G61" s="27"/>
      <c r="H61" s="27"/>
      <c r="I61" s="29"/>
      <c r="J61" s="27"/>
      <c r="K61" s="27"/>
      <c r="L61" s="27"/>
      <c r="M61" s="30"/>
      <c r="N61" s="27"/>
      <c r="O61" s="27"/>
      <c r="P61" s="33"/>
      <c r="Q61" s="27"/>
    </row>
    <row r="62" spans="1:17" x14ac:dyDescent="0.25">
      <c r="A62" s="26"/>
      <c r="B62" s="27"/>
      <c r="C62" s="28"/>
      <c r="D62" s="27"/>
      <c r="E62" s="27"/>
      <c r="F62" s="29"/>
      <c r="G62" s="27"/>
      <c r="H62" s="27"/>
      <c r="I62" s="29"/>
      <c r="J62" s="27"/>
      <c r="K62" s="27"/>
      <c r="L62" s="27"/>
      <c r="M62" s="30"/>
      <c r="N62" s="27"/>
      <c r="O62" s="27"/>
      <c r="P62" s="33"/>
      <c r="Q62" s="27"/>
    </row>
    <row r="63" spans="1:17" x14ac:dyDescent="0.25">
      <c r="A63" s="26"/>
      <c r="B63" s="27"/>
      <c r="C63" s="28"/>
      <c r="D63" s="27"/>
      <c r="E63" s="27"/>
      <c r="F63" s="29"/>
      <c r="G63" s="27"/>
      <c r="H63" s="27"/>
      <c r="I63" s="29"/>
      <c r="J63" s="27"/>
      <c r="K63" s="27"/>
      <c r="L63" s="27"/>
      <c r="M63" s="30"/>
      <c r="N63" s="27"/>
      <c r="O63" s="27"/>
      <c r="P63" s="33"/>
      <c r="Q63" s="27"/>
    </row>
    <row r="64" spans="1:17" x14ac:dyDescent="0.25">
      <c r="A64" s="26"/>
      <c r="B64" s="27"/>
      <c r="C64" s="28"/>
      <c r="D64" s="27"/>
      <c r="E64" s="27"/>
      <c r="F64" s="29"/>
      <c r="G64" s="27"/>
      <c r="H64" s="27"/>
      <c r="I64" s="29"/>
      <c r="J64" s="27"/>
      <c r="K64" s="27"/>
      <c r="L64" s="27"/>
      <c r="M64" s="30"/>
      <c r="N64" s="27"/>
      <c r="O64" s="27"/>
      <c r="P64" s="33"/>
      <c r="Q64" s="27"/>
    </row>
    <row r="65" spans="1:17" x14ac:dyDescent="0.25">
      <c r="A65" s="26"/>
      <c r="B65" s="27"/>
      <c r="C65" s="28"/>
      <c r="D65" s="27"/>
      <c r="E65" s="27"/>
      <c r="F65" s="29"/>
      <c r="G65" s="27"/>
      <c r="H65" s="27"/>
      <c r="I65" s="29"/>
      <c r="J65" s="27"/>
      <c r="K65" s="27"/>
      <c r="L65" s="27"/>
      <c r="M65" s="30"/>
      <c r="N65" s="27"/>
      <c r="O65" s="27"/>
      <c r="P65" s="33"/>
      <c r="Q65" s="27"/>
    </row>
    <row r="66" spans="1:17" x14ac:dyDescent="0.25">
      <c r="A66" s="26"/>
      <c r="B66" s="27"/>
      <c r="C66" s="28"/>
      <c r="D66" s="27"/>
      <c r="E66" s="27"/>
      <c r="F66" s="29"/>
      <c r="G66" s="27"/>
      <c r="H66" s="27"/>
      <c r="I66" s="29"/>
      <c r="J66" s="27"/>
      <c r="K66" s="27"/>
      <c r="L66" s="27"/>
      <c r="M66" s="30"/>
      <c r="N66" s="27"/>
      <c r="O66" s="27"/>
      <c r="P66" s="33"/>
      <c r="Q66" s="27"/>
    </row>
    <row r="67" spans="1:17" x14ac:dyDescent="0.25">
      <c r="A67" s="26"/>
      <c r="B67" s="27"/>
      <c r="C67" s="28"/>
      <c r="D67" s="27"/>
      <c r="E67" s="27"/>
      <c r="F67" s="29"/>
      <c r="G67" s="27"/>
      <c r="H67" s="27"/>
      <c r="I67" s="29"/>
      <c r="J67" s="27"/>
      <c r="K67" s="27"/>
      <c r="L67" s="27"/>
      <c r="M67" s="30"/>
      <c r="N67" s="27"/>
      <c r="O67" s="27"/>
      <c r="P67" s="33"/>
      <c r="Q67" s="27"/>
    </row>
    <row r="68" spans="1:17" x14ac:dyDescent="0.25">
      <c r="A68" s="26"/>
      <c r="B68" s="27"/>
      <c r="C68" s="28"/>
      <c r="D68" s="27"/>
      <c r="E68" s="27"/>
      <c r="F68" s="29"/>
      <c r="G68" s="27"/>
      <c r="H68" s="27"/>
      <c r="I68" s="29"/>
      <c r="J68" s="27"/>
      <c r="K68" s="27"/>
      <c r="L68" s="27"/>
      <c r="M68" s="30"/>
      <c r="N68" s="27"/>
      <c r="O68" s="27"/>
      <c r="P68" s="33"/>
      <c r="Q68" s="27"/>
    </row>
    <row r="69" spans="1:17" x14ac:dyDescent="0.25">
      <c r="A69" s="26"/>
      <c r="B69" s="27"/>
      <c r="C69" s="28"/>
      <c r="D69" s="27"/>
      <c r="E69" s="27"/>
      <c r="F69" s="29"/>
      <c r="G69" s="27"/>
      <c r="H69" s="27"/>
      <c r="I69" s="29"/>
      <c r="J69" s="27"/>
      <c r="K69" s="27"/>
      <c r="L69" s="27"/>
      <c r="M69" s="30"/>
      <c r="N69" s="27"/>
      <c r="O69" s="27"/>
      <c r="P69" s="33"/>
      <c r="Q69" s="27"/>
    </row>
    <row r="70" spans="1:17" x14ac:dyDescent="0.25">
      <c r="A70" s="26"/>
      <c r="B70" s="27"/>
      <c r="C70" s="28"/>
      <c r="D70" s="27"/>
      <c r="E70" s="27"/>
      <c r="F70" s="29"/>
      <c r="G70" s="27"/>
      <c r="H70" s="27"/>
      <c r="I70" s="29"/>
      <c r="J70" s="27"/>
      <c r="K70" s="27"/>
      <c r="L70" s="27"/>
      <c r="M70" s="30"/>
      <c r="N70" s="27"/>
      <c r="O70" s="27"/>
      <c r="P70" s="33"/>
      <c r="Q70" s="27"/>
    </row>
    <row r="71" spans="1:17" x14ac:dyDescent="0.25">
      <c r="A71" s="26"/>
      <c r="B71" s="27"/>
      <c r="C71" s="28"/>
      <c r="D71" s="27"/>
      <c r="E71" s="27"/>
      <c r="F71" s="29"/>
      <c r="G71" s="27"/>
      <c r="H71" s="27"/>
      <c r="I71" s="29"/>
      <c r="J71" s="27"/>
      <c r="K71" s="27"/>
      <c r="L71" s="27"/>
      <c r="M71" s="30"/>
      <c r="N71" s="27"/>
      <c r="O71" s="27"/>
      <c r="P71" s="33"/>
      <c r="Q71" s="27"/>
    </row>
    <row r="72" spans="1:17" x14ac:dyDescent="0.25">
      <c r="A72" s="26"/>
      <c r="B72" s="27"/>
      <c r="C72" s="28"/>
      <c r="D72" s="27"/>
      <c r="E72" s="27"/>
      <c r="F72" s="29"/>
      <c r="G72" s="27"/>
      <c r="H72" s="27"/>
      <c r="I72" s="29"/>
      <c r="J72" s="27"/>
      <c r="K72" s="27"/>
      <c r="L72" s="27"/>
      <c r="M72" s="30"/>
      <c r="N72" s="27"/>
      <c r="O72" s="27"/>
      <c r="P72" s="33"/>
      <c r="Q72" s="27"/>
    </row>
    <row r="73" spans="1:17" x14ac:dyDescent="0.25">
      <c r="A73" s="26"/>
      <c r="B73" s="27"/>
      <c r="C73" s="28"/>
      <c r="D73" s="27"/>
      <c r="E73" s="27"/>
      <c r="F73" s="29"/>
      <c r="G73" s="27"/>
      <c r="H73" s="27"/>
      <c r="I73" s="29"/>
      <c r="J73" s="27"/>
      <c r="K73" s="27"/>
      <c r="L73" s="27"/>
      <c r="M73" s="30"/>
      <c r="N73" s="27"/>
      <c r="O73" s="27"/>
      <c r="P73" s="33"/>
      <c r="Q73" s="27"/>
    </row>
    <row r="74" spans="1:17" x14ac:dyDescent="0.25">
      <c r="A74" s="26"/>
      <c r="B74" s="27"/>
      <c r="C74" s="28"/>
      <c r="D74" s="27"/>
      <c r="E74" s="27"/>
      <c r="F74" s="29"/>
      <c r="G74" s="27"/>
      <c r="H74" s="27"/>
      <c r="I74" s="29"/>
      <c r="J74" s="27"/>
      <c r="K74" s="27"/>
      <c r="L74" s="27"/>
      <c r="M74" s="30"/>
      <c r="N74" s="27"/>
      <c r="O74" s="27"/>
      <c r="P74" s="33"/>
      <c r="Q74" s="27"/>
    </row>
    <row r="75" spans="1:17" x14ac:dyDescent="0.25">
      <c r="A75" s="26"/>
      <c r="B75" s="27"/>
      <c r="C75" s="28"/>
      <c r="D75" s="27"/>
      <c r="E75" s="27"/>
      <c r="F75" s="29"/>
      <c r="G75" s="27"/>
      <c r="H75" s="27"/>
      <c r="I75" s="29"/>
      <c r="J75" s="27"/>
      <c r="K75" s="27"/>
      <c r="L75" s="27"/>
      <c r="M75" s="30"/>
      <c r="N75" s="27"/>
      <c r="O75" s="27"/>
      <c r="P75" s="33"/>
      <c r="Q75" s="27"/>
    </row>
    <row r="76" spans="1:17" x14ac:dyDescent="0.25">
      <c r="A76" s="26"/>
      <c r="B76" s="27"/>
      <c r="C76" s="28"/>
      <c r="D76" s="27"/>
      <c r="E76" s="27"/>
      <c r="F76" s="29"/>
      <c r="G76" s="27"/>
      <c r="H76" s="27"/>
      <c r="I76" s="29"/>
      <c r="J76" s="27"/>
      <c r="K76" s="27"/>
      <c r="L76" s="27"/>
      <c r="M76" s="30"/>
      <c r="N76" s="27"/>
      <c r="O76" s="27"/>
      <c r="P76" s="33"/>
      <c r="Q76" s="27"/>
    </row>
    <row r="77" spans="1:17" x14ac:dyDescent="0.25">
      <c r="A77" s="26"/>
      <c r="B77" s="27"/>
      <c r="C77" s="28"/>
      <c r="D77" s="27"/>
      <c r="E77" s="27"/>
      <c r="F77" s="29"/>
      <c r="G77" s="27"/>
      <c r="H77" s="27"/>
      <c r="I77" s="29"/>
      <c r="J77" s="27"/>
      <c r="K77" s="27"/>
      <c r="L77" s="27"/>
      <c r="M77" s="30"/>
      <c r="N77" s="27"/>
      <c r="O77" s="27"/>
      <c r="P77" s="33"/>
      <c r="Q77" s="27"/>
    </row>
    <row r="78" spans="1:17" x14ac:dyDescent="0.25">
      <c r="A78" s="26"/>
      <c r="B78" s="27"/>
      <c r="C78" s="28"/>
      <c r="D78" s="27"/>
      <c r="E78" s="27"/>
      <c r="F78" s="29"/>
      <c r="G78" s="27"/>
      <c r="H78" s="27"/>
      <c r="I78" s="29"/>
      <c r="J78" s="27"/>
      <c r="K78" s="27"/>
      <c r="L78" s="27"/>
      <c r="M78" s="30"/>
      <c r="N78" s="27"/>
      <c r="O78" s="27"/>
      <c r="P78" s="33"/>
      <c r="Q78" s="27"/>
    </row>
    <row r="79" spans="1:17" x14ac:dyDescent="0.25">
      <c r="A79" s="26"/>
      <c r="B79" s="27"/>
      <c r="C79" s="28"/>
      <c r="D79" s="27"/>
      <c r="E79" s="27"/>
      <c r="F79" s="29"/>
      <c r="G79" s="27"/>
      <c r="H79" s="27"/>
      <c r="I79" s="29"/>
      <c r="J79" s="27"/>
      <c r="K79" s="27"/>
      <c r="L79" s="27"/>
      <c r="M79" s="30"/>
      <c r="N79" s="27"/>
      <c r="O79" s="27"/>
      <c r="P79" s="33"/>
      <c r="Q79" s="27"/>
    </row>
    <row r="80" spans="1:17" x14ac:dyDescent="0.25">
      <c r="A80" s="26"/>
      <c r="B80" s="27"/>
      <c r="C80" s="28"/>
      <c r="D80" s="27"/>
      <c r="E80" s="27"/>
      <c r="F80" s="29"/>
      <c r="G80" s="27"/>
      <c r="H80" s="27"/>
      <c r="I80" s="29"/>
      <c r="J80" s="27"/>
      <c r="K80" s="27"/>
      <c r="L80" s="27"/>
      <c r="M80" s="30"/>
      <c r="N80" s="27"/>
      <c r="O80" s="27"/>
      <c r="P80" s="33"/>
      <c r="Q80" s="27"/>
    </row>
    <row r="81" spans="1:17" x14ac:dyDescent="0.25">
      <c r="A81" s="26"/>
      <c r="B81" s="27"/>
      <c r="C81" s="28"/>
      <c r="D81" s="27"/>
      <c r="E81" s="27"/>
      <c r="F81" s="29"/>
      <c r="G81" s="27"/>
      <c r="H81" s="27"/>
      <c r="I81" s="29"/>
      <c r="J81" s="27"/>
      <c r="K81" s="27"/>
      <c r="L81" s="27"/>
      <c r="M81" s="30"/>
      <c r="N81" s="27"/>
      <c r="O81" s="27"/>
      <c r="P81" s="33"/>
      <c r="Q81" s="27"/>
    </row>
    <row r="82" spans="1:17" x14ac:dyDescent="0.25">
      <c r="A82" s="26"/>
      <c r="B82" s="27"/>
      <c r="C82" s="28"/>
      <c r="D82" s="27"/>
      <c r="E82" s="27"/>
      <c r="F82" s="29"/>
      <c r="G82" s="27"/>
      <c r="H82" s="27"/>
      <c r="I82" s="29"/>
      <c r="J82" s="27"/>
      <c r="K82" s="27"/>
      <c r="L82" s="27"/>
      <c r="M82" s="30"/>
      <c r="N82" s="27"/>
      <c r="O82" s="27"/>
      <c r="P82" s="33"/>
      <c r="Q82" s="27"/>
    </row>
    <row r="83" spans="1:17" x14ac:dyDescent="0.25">
      <c r="A83" s="26"/>
      <c r="B83" s="27"/>
      <c r="C83" s="28"/>
      <c r="D83" s="27"/>
      <c r="E83" s="27"/>
      <c r="F83" s="29"/>
      <c r="G83" s="27"/>
      <c r="H83" s="27"/>
      <c r="I83" s="29"/>
      <c r="J83" s="27"/>
      <c r="K83" s="27"/>
      <c r="L83" s="27"/>
      <c r="M83" s="30"/>
      <c r="N83" s="27"/>
      <c r="O83" s="27"/>
      <c r="P83" s="33"/>
      <c r="Q83" s="27"/>
    </row>
    <row r="84" spans="1:17" x14ac:dyDescent="0.25">
      <c r="A84" s="26"/>
      <c r="B84" s="27"/>
      <c r="C84" s="28"/>
      <c r="D84" s="27"/>
      <c r="E84" s="27"/>
      <c r="F84" s="29"/>
      <c r="G84" s="27"/>
      <c r="H84" s="27"/>
      <c r="I84" s="29"/>
      <c r="J84" s="27"/>
      <c r="K84" s="27"/>
      <c r="L84" s="27"/>
      <c r="M84" s="30"/>
      <c r="N84" s="27"/>
      <c r="O84" s="27"/>
      <c r="P84" s="33"/>
      <c r="Q84" s="27"/>
    </row>
    <row r="85" spans="1:17" x14ac:dyDescent="0.25">
      <c r="A85" s="26"/>
      <c r="B85" s="27"/>
      <c r="C85" s="28"/>
      <c r="D85" s="27"/>
      <c r="E85" s="27"/>
      <c r="F85" s="29"/>
      <c r="G85" s="27"/>
      <c r="H85" s="27"/>
      <c r="I85" s="29"/>
      <c r="J85" s="27"/>
      <c r="K85" s="27"/>
      <c r="L85" s="27"/>
      <c r="M85" s="30"/>
      <c r="N85" s="27"/>
      <c r="O85" s="27"/>
      <c r="P85" s="33"/>
      <c r="Q85" s="27"/>
    </row>
    <row r="86" spans="1:17" x14ac:dyDescent="0.25">
      <c r="A86" s="26"/>
      <c r="B86" s="27"/>
      <c r="C86" s="28"/>
      <c r="D86" s="27"/>
      <c r="E86" s="27"/>
      <c r="F86" s="29"/>
      <c r="G86" s="27"/>
      <c r="H86" s="27"/>
      <c r="I86" s="29"/>
      <c r="J86" s="27"/>
      <c r="K86" s="27"/>
      <c r="L86" s="27"/>
      <c r="M86" s="30"/>
      <c r="N86" s="27"/>
      <c r="O86" s="27"/>
      <c r="P86" s="33"/>
      <c r="Q86" s="27"/>
    </row>
    <row r="87" spans="1:17" x14ac:dyDescent="0.25">
      <c r="A87" s="26"/>
      <c r="B87" s="27"/>
      <c r="C87" s="28"/>
      <c r="D87" s="27"/>
      <c r="E87" s="27"/>
      <c r="F87" s="29"/>
      <c r="G87" s="27"/>
      <c r="H87" s="27"/>
      <c r="I87" s="29"/>
      <c r="J87" s="27"/>
      <c r="K87" s="27"/>
      <c r="L87" s="27"/>
      <c r="M87" s="30"/>
      <c r="N87" s="27"/>
      <c r="O87" s="27"/>
      <c r="P87" s="33"/>
      <c r="Q87" s="27"/>
    </row>
    <row r="88" spans="1:17" x14ac:dyDescent="0.25">
      <c r="A88" s="26"/>
      <c r="B88" s="27"/>
      <c r="C88" s="28"/>
      <c r="D88" s="27"/>
      <c r="E88" s="27"/>
      <c r="F88" s="29"/>
      <c r="G88" s="27"/>
      <c r="H88" s="27"/>
      <c r="I88" s="29"/>
      <c r="J88" s="27"/>
      <c r="K88" s="27"/>
      <c r="L88" s="27"/>
      <c r="M88" s="30"/>
      <c r="N88" s="27"/>
      <c r="O88" s="27"/>
      <c r="P88" s="33"/>
      <c r="Q88" s="27"/>
    </row>
    <row r="89" spans="1:17" x14ac:dyDescent="0.25">
      <c r="A89" s="26"/>
      <c r="B89" s="27"/>
      <c r="C89" s="28"/>
      <c r="D89" s="27"/>
      <c r="E89" s="27"/>
      <c r="F89" s="29"/>
      <c r="G89" s="27"/>
      <c r="H89" s="27"/>
      <c r="I89" s="29"/>
      <c r="J89" s="27"/>
      <c r="K89" s="27"/>
      <c r="L89" s="27"/>
      <c r="M89" s="30"/>
      <c r="N89" s="27"/>
      <c r="O89" s="27"/>
      <c r="P89" s="33"/>
      <c r="Q89" s="27"/>
    </row>
    <row r="90" spans="1:17" x14ac:dyDescent="0.25">
      <c r="A90" s="26"/>
      <c r="B90" s="27"/>
      <c r="C90" s="28"/>
      <c r="D90" s="27"/>
      <c r="E90" s="27"/>
      <c r="F90" s="29"/>
      <c r="G90" s="27"/>
      <c r="H90" s="27"/>
      <c r="I90" s="29"/>
      <c r="J90" s="27"/>
      <c r="K90" s="27"/>
      <c r="L90" s="27"/>
      <c r="M90" s="30"/>
      <c r="N90" s="27"/>
      <c r="O90" s="27"/>
      <c r="P90" s="33"/>
      <c r="Q90" s="27"/>
    </row>
    <row r="91" spans="1:17" x14ac:dyDescent="0.25">
      <c r="A91" s="26"/>
      <c r="B91" s="27"/>
      <c r="C91" s="28"/>
      <c r="D91" s="27"/>
      <c r="E91" s="27"/>
      <c r="F91" s="29"/>
      <c r="G91" s="27"/>
      <c r="H91" s="27"/>
      <c r="I91" s="29"/>
      <c r="J91" s="27"/>
      <c r="K91" s="27"/>
      <c r="L91" s="27"/>
      <c r="M91" s="30"/>
      <c r="N91" s="27"/>
      <c r="O91" s="27"/>
      <c r="P91" s="33"/>
      <c r="Q91" s="27"/>
    </row>
    <row r="92" spans="1:17" x14ac:dyDescent="0.25">
      <c r="A92" s="26"/>
      <c r="B92" s="27"/>
      <c r="C92" s="28"/>
      <c r="D92" s="27"/>
      <c r="E92" s="27"/>
      <c r="F92" s="29"/>
      <c r="G92" s="27"/>
      <c r="H92" s="27"/>
      <c r="I92" s="29"/>
      <c r="J92" s="27"/>
      <c r="K92" s="27"/>
      <c r="L92" s="27"/>
      <c r="M92" s="30"/>
      <c r="N92" s="27"/>
      <c r="O92" s="27"/>
      <c r="P92" s="33"/>
      <c r="Q92" s="27"/>
    </row>
    <row r="93" spans="1:17" x14ac:dyDescent="0.25">
      <c r="A93" s="26"/>
      <c r="B93" s="27"/>
      <c r="C93" s="28"/>
      <c r="D93" s="27"/>
      <c r="E93" s="27"/>
      <c r="F93" s="29"/>
      <c r="G93" s="27"/>
      <c r="H93" s="27"/>
      <c r="I93" s="29"/>
      <c r="J93" s="27"/>
      <c r="K93" s="27"/>
      <c r="L93" s="27"/>
      <c r="M93" s="30"/>
      <c r="N93" s="27"/>
      <c r="O93" s="27"/>
      <c r="P93" s="33"/>
      <c r="Q93" s="27"/>
    </row>
    <row r="94" spans="1:17" x14ac:dyDescent="0.25">
      <c r="A94" s="26"/>
      <c r="B94" s="27"/>
      <c r="C94" s="28"/>
      <c r="D94" s="27"/>
      <c r="E94" s="27"/>
      <c r="F94" s="29"/>
      <c r="G94" s="27"/>
      <c r="H94" s="27"/>
      <c r="I94" s="29"/>
      <c r="J94" s="27"/>
      <c r="K94" s="27"/>
      <c r="L94" s="27"/>
      <c r="M94" s="30"/>
      <c r="N94" s="27"/>
      <c r="O94" s="27"/>
      <c r="P94" s="33"/>
      <c r="Q94" s="27"/>
    </row>
    <row r="95" spans="1:17" x14ac:dyDescent="0.25">
      <c r="A95" s="26"/>
      <c r="B95" s="27"/>
      <c r="C95" s="28"/>
      <c r="D95" s="27"/>
      <c r="E95" s="27"/>
      <c r="F95" s="29"/>
      <c r="G95" s="27"/>
      <c r="H95" s="27"/>
      <c r="I95" s="29"/>
      <c r="J95" s="27"/>
      <c r="K95" s="27"/>
      <c r="L95" s="27"/>
      <c r="M95" s="30"/>
      <c r="N95" s="27"/>
      <c r="O95" s="27"/>
      <c r="P95" s="33"/>
      <c r="Q95" s="27"/>
    </row>
    <row r="96" spans="1:17" x14ac:dyDescent="0.25">
      <c r="A96" s="26"/>
      <c r="B96" s="27"/>
      <c r="C96" s="28"/>
      <c r="D96" s="27"/>
      <c r="E96" s="27"/>
      <c r="F96" s="29"/>
      <c r="G96" s="27"/>
      <c r="H96" s="27"/>
      <c r="I96" s="29"/>
      <c r="J96" s="27"/>
      <c r="K96" s="27"/>
      <c r="L96" s="27"/>
      <c r="M96" s="30"/>
      <c r="N96" s="27"/>
      <c r="O96" s="27"/>
      <c r="P96" s="33"/>
      <c r="Q96" s="27"/>
    </row>
    <row r="97" spans="1:17" x14ac:dyDescent="0.25">
      <c r="A97" s="26"/>
      <c r="B97" s="27"/>
      <c r="C97" s="28"/>
      <c r="D97" s="27"/>
      <c r="E97" s="27"/>
      <c r="F97" s="29"/>
      <c r="G97" s="27"/>
      <c r="H97" s="27"/>
      <c r="I97" s="29"/>
      <c r="J97" s="27"/>
      <c r="K97" s="27"/>
      <c r="L97" s="27"/>
      <c r="M97" s="30"/>
      <c r="N97" s="27"/>
      <c r="O97" s="27"/>
      <c r="P97" s="33"/>
      <c r="Q97" s="27"/>
    </row>
    <row r="98" spans="1:17" x14ac:dyDescent="0.25">
      <c r="A98" s="26"/>
      <c r="B98" s="27"/>
      <c r="C98" s="28"/>
      <c r="D98" s="27"/>
      <c r="E98" s="27"/>
      <c r="F98" s="29"/>
      <c r="G98" s="27"/>
      <c r="H98" s="27"/>
      <c r="I98" s="29"/>
      <c r="J98" s="27"/>
      <c r="K98" s="27"/>
      <c r="L98" s="27"/>
      <c r="M98" s="30"/>
      <c r="N98" s="27"/>
      <c r="O98" s="27"/>
      <c r="P98" s="33"/>
      <c r="Q98" s="27"/>
    </row>
    <row r="99" spans="1:17" x14ac:dyDescent="0.25">
      <c r="A99" s="26"/>
      <c r="B99" s="27"/>
      <c r="C99" s="28"/>
      <c r="D99" s="27"/>
      <c r="E99" s="27"/>
      <c r="F99" s="29"/>
      <c r="G99" s="27"/>
      <c r="H99" s="27"/>
      <c r="I99" s="29"/>
      <c r="J99" s="27"/>
      <c r="K99" s="27"/>
      <c r="L99" s="27"/>
      <c r="M99" s="30"/>
      <c r="N99" s="27"/>
      <c r="O99" s="27"/>
      <c r="P99" s="33"/>
      <c r="Q99" s="27"/>
    </row>
    <row r="100" spans="1:17" x14ac:dyDescent="0.25">
      <c r="A100" s="26"/>
      <c r="B100" s="27"/>
      <c r="C100" s="28"/>
      <c r="D100" s="27"/>
      <c r="E100" s="27"/>
      <c r="F100" s="29"/>
      <c r="G100" s="27"/>
      <c r="H100" s="27"/>
      <c r="I100" s="29"/>
      <c r="J100" s="27"/>
      <c r="K100" s="27"/>
      <c r="L100" s="27"/>
      <c r="M100" s="30"/>
      <c r="N100" s="27"/>
      <c r="O100" s="27"/>
      <c r="P100" s="33"/>
      <c r="Q100" s="27"/>
    </row>
    <row r="101" spans="1:17" x14ac:dyDescent="0.25">
      <c r="A101" s="26"/>
      <c r="B101" s="27"/>
      <c r="C101" s="28"/>
      <c r="D101" s="27"/>
      <c r="E101" s="27"/>
      <c r="F101" s="29"/>
      <c r="G101" s="27"/>
      <c r="H101" s="27"/>
      <c r="I101" s="29"/>
      <c r="J101" s="27"/>
      <c r="K101" s="27"/>
      <c r="L101" s="27"/>
      <c r="M101" s="30"/>
      <c r="N101" s="27"/>
      <c r="O101" s="27"/>
      <c r="P101" s="33"/>
      <c r="Q101" s="27"/>
    </row>
    <row r="102" spans="1:17" x14ac:dyDescent="0.25">
      <c r="A102" s="26"/>
      <c r="B102" s="27"/>
      <c r="C102" s="28"/>
      <c r="D102" s="27"/>
      <c r="E102" s="27"/>
      <c r="F102" s="29"/>
      <c r="G102" s="27"/>
      <c r="H102" s="27"/>
      <c r="I102" s="29"/>
      <c r="J102" s="27"/>
      <c r="K102" s="27"/>
      <c r="L102" s="27"/>
      <c r="M102" s="30"/>
      <c r="N102" s="27"/>
      <c r="O102" s="27"/>
      <c r="P102" s="33"/>
      <c r="Q102" s="27"/>
    </row>
    <row r="103" spans="1:17" x14ac:dyDescent="0.25">
      <c r="A103" s="26"/>
      <c r="B103" s="27"/>
      <c r="C103" s="28"/>
      <c r="D103" s="27"/>
      <c r="E103" s="27"/>
      <c r="F103" s="29"/>
      <c r="G103" s="27"/>
      <c r="H103" s="27"/>
      <c r="I103" s="29"/>
      <c r="J103" s="27"/>
      <c r="K103" s="27"/>
      <c r="L103" s="27"/>
      <c r="M103" s="30"/>
      <c r="N103" s="27"/>
      <c r="O103" s="27"/>
      <c r="P103" s="33"/>
      <c r="Q103" s="27"/>
    </row>
    <row r="104" spans="1:17" x14ac:dyDescent="0.25">
      <c r="A104" s="26"/>
      <c r="B104" s="27"/>
      <c r="C104" s="28"/>
      <c r="D104" s="27"/>
      <c r="E104" s="27"/>
      <c r="F104" s="29"/>
      <c r="G104" s="27"/>
      <c r="H104" s="27"/>
      <c r="I104" s="29"/>
      <c r="J104" s="27"/>
      <c r="K104" s="27"/>
      <c r="L104" s="27"/>
      <c r="M104" s="30"/>
      <c r="N104" s="27"/>
      <c r="O104" s="27"/>
      <c r="P104" s="33"/>
      <c r="Q104" s="27"/>
    </row>
    <row r="105" spans="1:17" x14ac:dyDescent="0.25">
      <c r="A105" s="26"/>
      <c r="B105" s="27"/>
      <c r="C105" s="28"/>
      <c r="D105" s="27"/>
      <c r="E105" s="27"/>
      <c r="F105" s="29"/>
      <c r="G105" s="27"/>
      <c r="H105" s="27"/>
      <c r="I105" s="29"/>
      <c r="J105" s="27"/>
      <c r="K105" s="27"/>
      <c r="L105" s="27"/>
      <c r="M105" s="30"/>
      <c r="N105" s="27"/>
      <c r="O105" s="27"/>
      <c r="P105" s="33"/>
      <c r="Q105" s="27"/>
    </row>
    <row r="106" spans="1:17" x14ac:dyDescent="0.25">
      <c r="A106" s="26"/>
      <c r="B106" s="27"/>
      <c r="C106" s="28"/>
      <c r="D106" s="27"/>
      <c r="E106" s="27"/>
      <c r="F106" s="29"/>
      <c r="G106" s="27"/>
      <c r="H106" s="27"/>
      <c r="I106" s="29"/>
      <c r="J106" s="27"/>
      <c r="K106" s="27"/>
      <c r="L106" s="27"/>
      <c r="M106" s="30"/>
      <c r="N106" s="27"/>
      <c r="O106" s="27"/>
      <c r="P106" s="33"/>
      <c r="Q106" s="27"/>
    </row>
    <row r="107" spans="1:17" x14ac:dyDescent="0.25">
      <c r="A107" s="26"/>
      <c r="B107" s="27"/>
      <c r="C107" s="28"/>
      <c r="D107" s="27"/>
      <c r="E107" s="27"/>
      <c r="F107" s="29"/>
      <c r="G107" s="27"/>
      <c r="H107" s="27"/>
      <c r="I107" s="29"/>
      <c r="J107" s="27"/>
      <c r="K107" s="27"/>
      <c r="L107" s="27"/>
      <c r="M107" s="30"/>
      <c r="N107" s="27"/>
      <c r="O107" s="27"/>
      <c r="P107" s="33"/>
      <c r="Q107" s="27"/>
    </row>
    <row r="108" spans="1:17" x14ac:dyDescent="0.25">
      <c r="A108" s="26"/>
      <c r="B108" s="27"/>
      <c r="C108" s="28"/>
      <c r="D108" s="27"/>
      <c r="E108" s="27"/>
      <c r="F108" s="29"/>
      <c r="G108" s="27"/>
      <c r="H108" s="27"/>
      <c r="I108" s="29"/>
      <c r="J108" s="27"/>
      <c r="K108" s="27"/>
      <c r="L108" s="27"/>
      <c r="M108" s="30"/>
      <c r="N108" s="27"/>
      <c r="O108" s="27"/>
      <c r="P108" s="33"/>
      <c r="Q108" s="27"/>
    </row>
    <row r="109" spans="1:17" x14ac:dyDescent="0.25">
      <c r="A109" s="26"/>
      <c r="B109" s="27"/>
      <c r="C109" s="28"/>
      <c r="D109" s="27"/>
      <c r="E109" s="27"/>
      <c r="F109" s="29"/>
      <c r="G109" s="27"/>
      <c r="H109" s="27"/>
      <c r="I109" s="29"/>
      <c r="J109" s="27"/>
      <c r="K109" s="27"/>
      <c r="L109" s="27"/>
      <c r="M109" s="30"/>
      <c r="N109" s="27"/>
      <c r="O109" s="27"/>
      <c r="P109" s="33"/>
      <c r="Q109" s="27"/>
    </row>
    <row r="110" spans="1:17" x14ac:dyDescent="0.25">
      <c r="A110" s="26"/>
      <c r="B110" s="27"/>
      <c r="C110" s="28"/>
      <c r="D110" s="27"/>
      <c r="E110" s="27"/>
      <c r="F110" s="29"/>
      <c r="G110" s="27"/>
      <c r="H110" s="27"/>
      <c r="I110" s="29"/>
      <c r="J110" s="27"/>
      <c r="K110" s="27"/>
      <c r="L110" s="27"/>
      <c r="M110" s="30"/>
      <c r="N110" s="27"/>
      <c r="O110" s="27"/>
      <c r="P110" s="33"/>
      <c r="Q110" s="27"/>
    </row>
    <row r="111" spans="1:17" x14ac:dyDescent="0.25">
      <c r="A111" s="26"/>
      <c r="B111" s="27"/>
      <c r="C111" s="28"/>
      <c r="D111" s="27"/>
      <c r="E111" s="27"/>
      <c r="F111" s="29"/>
      <c r="G111" s="27"/>
      <c r="H111" s="27"/>
      <c r="I111" s="29"/>
      <c r="J111" s="27"/>
      <c r="K111" s="27"/>
      <c r="L111" s="27"/>
      <c r="M111" s="30"/>
      <c r="N111" s="27"/>
      <c r="O111" s="27"/>
      <c r="P111" s="33"/>
      <c r="Q111" s="27"/>
    </row>
    <row r="112" spans="1:17" x14ac:dyDescent="0.25">
      <c r="A112" s="26"/>
      <c r="B112" s="27"/>
      <c r="C112" s="28"/>
      <c r="D112" s="27"/>
      <c r="E112" s="27"/>
      <c r="F112" s="29"/>
      <c r="G112" s="27"/>
      <c r="H112" s="27"/>
      <c r="I112" s="29"/>
      <c r="J112" s="27"/>
      <c r="K112" s="27"/>
      <c r="L112" s="27"/>
      <c r="M112" s="30"/>
      <c r="N112" s="27"/>
      <c r="O112" s="27"/>
      <c r="P112" s="33"/>
      <c r="Q112" s="27"/>
    </row>
    <row r="113" spans="1:17" x14ac:dyDescent="0.25">
      <c r="A113" s="26"/>
      <c r="B113" s="27"/>
      <c r="C113" s="28"/>
      <c r="D113" s="27"/>
      <c r="E113" s="27"/>
      <c r="F113" s="29"/>
      <c r="G113" s="27"/>
      <c r="H113" s="27"/>
      <c r="I113" s="29"/>
      <c r="J113" s="27"/>
      <c r="K113" s="27"/>
      <c r="L113" s="27"/>
      <c r="M113" s="30"/>
      <c r="N113" s="27"/>
      <c r="O113" s="27"/>
      <c r="P113" s="33"/>
      <c r="Q113" s="27"/>
    </row>
    <row r="114" spans="1:17" x14ac:dyDescent="0.25">
      <c r="A114" s="26"/>
      <c r="B114" s="27"/>
      <c r="C114" s="28"/>
      <c r="D114" s="27"/>
      <c r="E114" s="27"/>
      <c r="F114" s="29"/>
      <c r="G114" s="27"/>
      <c r="H114" s="27"/>
      <c r="I114" s="29"/>
      <c r="J114" s="27"/>
      <c r="K114" s="27"/>
      <c r="L114" s="27"/>
      <c r="M114" s="30"/>
      <c r="N114" s="27"/>
      <c r="O114" s="27"/>
      <c r="P114" s="33"/>
      <c r="Q114" s="27"/>
    </row>
    <row r="115" spans="1:17" x14ac:dyDescent="0.25">
      <c r="A115" s="26"/>
      <c r="B115" s="27"/>
      <c r="C115" s="28"/>
      <c r="D115" s="27"/>
      <c r="E115" s="27"/>
      <c r="F115" s="29"/>
      <c r="G115" s="27"/>
      <c r="H115" s="27"/>
      <c r="I115" s="29"/>
      <c r="J115" s="27"/>
      <c r="K115" s="27"/>
      <c r="L115" s="27"/>
      <c r="M115" s="30"/>
      <c r="N115" s="27"/>
      <c r="O115" s="27"/>
      <c r="P115" s="33"/>
      <c r="Q115" s="27"/>
    </row>
    <row r="116" spans="1:17" x14ac:dyDescent="0.25">
      <c r="A116" s="26"/>
      <c r="B116" s="27"/>
      <c r="C116" s="28"/>
      <c r="D116" s="27"/>
      <c r="E116" s="27"/>
      <c r="F116" s="29"/>
      <c r="G116" s="27"/>
      <c r="H116" s="27"/>
      <c r="I116" s="29"/>
      <c r="J116" s="27"/>
      <c r="K116" s="27"/>
      <c r="L116" s="27"/>
      <c r="M116" s="30"/>
      <c r="N116" s="27"/>
      <c r="O116" s="27"/>
      <c r="P116" s="33"/>
      <c r="Q116" s="27"/>
    </row>
    <row r="117" spans="1:17" x14ac:dyDescent="0.25">
      <c r="A117" s="26"/>
      <c r="B117" s="27"/>
      <c r="C117" s="28"/>
      <c r="D117" s="27"/>
      <c r="E117" s="27"/>
      <c r="F117" s="29"/>
      <c r="G117" s="27"/>
      <c r="H117" s="27"/>
      <c r="I117" s="29"/>
      <c r="J117" s="27"/>
      <c r="K117" s="27"/>
      <c r="L117" s="27"/>
      <c r="M117" s="30"/>
      <c r="N117" s="27"/>
      <c r="O117" s="27"/>
      <c r="P117" s="33"/>
      <c r="Q117" s="27"/>
    </row>
    <row r="118" spans="1:17" x14ac:dyDescent="0.25">
      <c r="A118" s="26"/>
      <c r="B118" s="27"/>
      <c r="C118" s="28"/>
      <c r="D118" s="27"/>
      <c r="E118" s="27"/>
      <c r="F118" s="29"/>
      <c r="G118" s="27"/>
      <c r="H118" s="27"/>
      <c r="I118" s="29"/>
      <c r="J118" s="27"/>
      <c r="K118" s="27"/>
      <c r="L118" s="27"/>
      <c r="M118" s="30"/>
      <c r="N118" s="27"/>
      <c r="O118" s="27"/>
      <c r="P118" s="33"/>
      <c r="Q118" s="27"/>
    </row>
    <row r="119" spans="1:17" x14ac:dyDescent="0.25">
      <c r="A119" s="26"/>
      <c r="B119" s="27"/>
      <c r="C119" s="28"/>
      <c r="D119" s="27"/>
      <c r="E119" s="27"/>
      <c r="F119" s="29"/>
      <c r="G119" s="27"/>
      <c r="H119" s="27"/>
      <c r="I119" s="29"/>
      <c r="J119" s="27"/>
      <c r="K119" s="27"/>
      <c r="L119" s="27"/>
      <c r="M119" s="30"/>
      <c r="N119" s="27"/>
      <c r="O119" s="27"/>
      <c r="P119" s="33"/>
      <c r="Q119" s="27"/>
    </row>
    <row r="120" spans="1:17" x14ac:dyDescent="0.25">
      <c r="A120" s="26"/>
      <c r="B120" s="27"/>
      <c r="C120" s="28"/>
      <c r="D120" s="27"/>
      <c r="E120" s="27"/>
      <c r="F120" s="29"/>
      <c r="G120" s="27"/>
      <c r="H120" s="27"/>
      <c r="I120" s="29"/>
      <c r="J120" s="27"/>
      <c r="K120" s="27"/>
      <c r="L120" s="27"/>
      <c r="M120" s="30"/>
      <c r="N120" s="27"/>
      <c r="O120" s="27"/>
      <c r="P120" s="33"/>
      <c r="Q120" s="27"/>
    </row>
    <row r="121" spans="1:17" x14ac:dyDescent="0.25">
      <c r="A121" s="26"/>
      <c r="B121" s="27"/>
      <c r="C121" s="28"/>
      <c r="D121" s="27"/>
      <c r="E121" s="27"/>
      <c r="F121" s="29"/>
      <c r="G121" s="27"/>
      <c r="H121" s="27"/>
      <c r="I121" s="29"/>
      <c r="J121" s="27"/>
      <c r="K121" s="27"/>
      <c r="L121" s="27"/>
      <c r="M121" s="30"/>
      <c r="N121" s="27"/>
      <c r="O121" s="27"/>
      <c r="P121" s="33"/>
      <c r="Q121" s="27"/>
    </row>
    <row r="122" spans="1:17" x14ac:dyDescent="0.25">
      <c r="A122" s="26"/>
      <c r="B122" s="27"/>
      <c r="C122" s="28"/>
      <c r="D122" s="27"/>
      <c r="E122" s="27"/>
      <c r="F122" s="29"/>
      <c r="G122" s="27"/>
      <c r="H122" s="27"/>
      <c r="I122" s="29"/>
      <c r="J122" s="27"/>
      <c r="K122" s="27"/>
      <c r="L122" s="27"/>
      <c r="M122" s="30"/>
      <c r="N122" s="27"/>
      <c r="O122" s="27"/>
      <c r="P122" s="33"/>
      <c r="Q122" s="27"/>
    </row>
    <row r="123" spans="1:17" x14ac:dyDescent="0.25">
      <c r="A123" s="26"/>
      <c r="B123" s="27"/>
      <c r="C123" s="28"/>
      <c r="D123" s="27"/>
      <c r="E123" s="27"/>
      <c r="F123" s="29"/>
      <c r="G123" s="27"/>
      <c r="H123" s="27"/>
      <c r="I123" s="29"/>
      <c r="J123" s="27"/>
      <c r="K123" s="27"/>
      <c r="L123" s="27"/>
      <c r="M123" s="30"/>
      <c r="N123" s="27"/>
      <c r="O123" s="27"/>
      <c r="P123" s="33"/>
      <c r="Q123" s="27"/>
    </row>
    <row r="124" spans="1:17" x14ac:dyDescent="0.25">
      <c r="A124" s="26"/>
      <c r="B124" s="27"/>
      <c r="C124" s="28"/>
      <c r="D124" s="27"/>
      <c r="E124" s="27"/>
      <c r="F124" s="29"/>
      <c r="G124" s="27"/>
      <c r="H124" s="27"/>
      <c r="I124" s="29"/>
      <c r="J124" s="27"/>
      <c r="K124" s="27"/>
      <c r="L124" s="27"/>
      <c r="M124" s="30"/>
      <c r="N124" s="27"/>
      <c r="O124" s="27"/>
      <c r="P124" s="33"/>
      <c r="Q124" s="27"/>
    </row>
    <row r="125" spans="1:17" x14ac:dyDescent="0.25">
      <c r="A125" s="26"/>
      <c r="B125" s="27"/>
      <c r="C125" s="28"/>
      <c r="D125" s="27"/>
      <c r="E125" s="27"/>
      <c r="F125" s="29"/>
      <c r="G125" s="27"/>
      <c r="H125" s="27"/>
      <c r="I125" s="29"/>
      <c r="J125" s="27"/>
      <c r="K125" s="27"/>
      <c r="L125" s="27"/>
      <c r="M125" s="30"/>
      <c r="N125" s="27"/>
      <c r="O125" s="27"/>
      <c r="P125" s="33"/>
      <c r="Q125" s="27"/>
    </row>
    <row r="126" spans="1:17" x14ac:dyDescent="0.25">
      <c r="A126" s="26"/>
      <c r="B126" s="27"/>
      <c r="C126" s="28"/>
      <c r="D126" s="27"/>
      <c r="E126" s="27"/>
      <c r="F126" s="29"/>
      <c r="G126" s="27"/>
      <c r="H126" s="27"/>
      <c r="I126" s="29"/>
      <c r="J126" s="27"/>
      <c r="K126" s="27"/>
      <c r="L126" s="27"/>
      <c r="M126" s="30"/>
      <c r="N126" s="27"/>
      <c r="O126" s="27"/>
      <c r="P126" s="33"/>
      <c r="Q126" s="27"/>
    </row>
    <row r="127" spans="1:17" x14ac:dyDescent="0.25">
      <c r="A127" s="26"/>
      <c r="B127" s="27"/>
      <c r="C127" s="28"/>
      <c r="D127" s="27"/>
      <c r="E127" s="27"/>
      <c r="F127" s="29"/>
      <c r="G127" s="27"/>
      <c r="H127" s="27"/>
      <c r="I127" s="29"/>
      <c r="J127" s="27"/>
      <c r="K127" s="27"/>
      <c r="L127" s="27"/>
      <c r="M127" s="30"/>
      <c r="N127" s="27"/>
      <c r="O127" s="27"/>
      <c r="P127" s="33"/>
      <c r="Q127" s="27"/>
    </row>
    <row r="128" spans="1:17" x14ac:dyDescent="0.25">
      <c r="A128" s="26"/>
      <c r="B128" s="27"/>
      <c r="C128" s="28"/>
      <c r="D128" s="27"/>
      <c r="E128" s="27"/>
      <c r="F128" s="29"/>
      <c r="G128" s="27"/>
      <c r="H128" s="27"/>
      <c r="I128" s="29"/>
      <c r="J128" s="27"/>
      <c r="K128" s="27"/>
      <c r="L128" s="27"/>
      <c r="M128" s="30"/>
      <c r="N128" s="27"/>
      <c r="O128" s="27"/>
      <c r="P128" s="33"/>
      <c r="Q128" s="27"/>
    </row>
    <row r="129" spans="1:17" x14ac:dyDescent="0.25">
      <c r="A129" s="26"/>
      <c r="B129" s="27"/>
      <c r="C129" s="28"/>
      <c r="D129" s="27"/>
      <c r="E129" s="27"/>
      <c r="F129" s="29"/>
      <c r="G129" s="27"/>
      <c r="H129" s="27"/>
      <c r="I129" s="29"/>
      <c r="J129" s="27"/>
      <c r="K129" s="27"/>
      <c r="L129" s="27"/>
      <c r="M129" s="30"/>
      <c r="N129" s="27"/>
      <c r="O129" s="27"/>
      <c r="P129" s="33"/>
      <c r="Q129" s="27"/>
    </row>
    <row r="130" spans="1:17" x14ac:dyDescent="0.25">
      <c r="A130" s="26"/>
      <c r="B130" s="27"/>
      <c r="C130" s="28"/>
      <c r="D130" s="27"/>
      <c r="E130" s="27"/>
      <c r="F130" s="29"/>
      <c r="G130" s="27"/>
      <c r="H130" s="27"/>
      <c r="I130" s="29"/>
      <c r="J130" s="27"/>
      <c r="K130" s="27"/>
      <c r="L130" s="27"/>
      <c r="M130" s="30"/>
      <c r="N130" s="27"/>
      <c r="O130" s="27"/>
      <c r="P130" s="33"/>
      <c r="Q130" s="27"/>
    </row>
    <row r="131" spans="1:17" x14ac:dyDescent="0.25">
      <c r="A131" s="26"/>
      <c r="B131" s="27"/>
      <c r="C131" s="28"/>
      <c r="D131" s="27"/>
      <c r="E131" s="27"/>
      <c r="F131" s="29"/>
      <c r="G131" s="27"/>
      <c r="H131" s="27"/>
      <c r="I131" s="29"/>
      <c r="J131" s="27"/>
      <c r="K131" s="27"/>
      <c r="L131" s="27"/>
      <c r="M131" s="30"/>
      <c r="N131" s="27"/>
      <c r="O131" s="27"/>
      <c r="P131" s="33"/>
      <c r="Q131" s="27"/>
    </row>
    <row r="132" spans="1:17" x14ac:dyDescent="0.25">
      <c r="A132" s="26"/>
      <c r="B132" s="27"/>
      <c r="C132" s="28"/>
      <c r="D132" s="27"/>
      <c r="E132" s="27"/>
      <c r="F132" s="29"/>
      <c r="G132" s="27"/>
      <c r="H132" s="27"/>
      <c r="I132" s="29"/>
      <c r="J132" s="27"/>
      <c r="K132" s="27"/>
      <c r="L132" s="27"/>
      <c r="M132" s="30"/>
      <c r="N132" s="27"/>
      <c r="O132" s="27"/>
      <c r="P132" s="33"/>
      <c r="Q132" s="27"/>
    </row>
    <row r="133" spans="1:17" x14ac:dyDescent="0.25">
      <c r="A133" s="26"/>
      <c r="B133" s="27"/>
      <c r="C133" s="28"/>
      <c r="D133" s="27"/>
      <c r="E133" s="27"/>
      <c r="F133" s="29"/>
      <c r="G133" s="27"/>
      <c r="H133" s="27"/>
      <c r="I133" s="29"/>
      <c r="J133" s="27"/>
      <c r="K133" s="27"/>
      <c r="L133" s="27"/>
      <c r="M133" s="30"/>
      <c r="N133" s="27"/>
      <c r="O133" s="27"/>
      <c r="P133" s="33"/>
      <c r="Q133" s="27"/>
    </row>
    <row r="134" spans="1:17" x14ac:dyDescent="0.25">
      <c r="A134" s="26"/>
      <c r="B134" s="27"/>
      <c r="C134" s="28"/>
      <c r="D134" s="27"/>
      <c r="E134" s="27"/>
      <c r="F134" s="29"/>
      <c r="G134" s="27"/>
      <c r="H134" s="27"/>
      <c r="I134" s="29"/>
      <c r="J134" s="27"/>
      <c r="K134" s="27"/>
      <c r="L134" s="27"/>
      <c r="M134" s="30"/>
      <c r="N134" s="27"/>
      <c r="O134" s="27"/>
      <c r="P134" s="33"/>
      <c r="Q134" s="27"/>
    </row>
    <row r="135" spans="1:17" x14ac:dyDescent="0.25">
      <c r="A135" s="26"/>
      <c r="B135" s="27"/>
      <c r="C135" s="28"/>
      <c r="D135" s="27"/>
      <c r="E135" s="27"/>
      <c r="F135" s="29"/>
      <c r="G135" s="27"/>
      <c r="H135" s="27"/>
      <c r="I135" s="29"/>
      <c r="J135" s="27"/>
      <c r="K135" s="27"/>
      <c r="L135" s="27"/>
      <c r="M135" s="30"/>
      <c r="N135" s="27"/>
      <c r="O135" s="27"/>
      <c r="P135" s="33"/>
      <c r="Q135" s="27"/>
    </row>
    <row r="136" spans="1:17" x14ac:dyDescent="0.25">
      <c r="A136" s="26"/>
      <c r="B136" s="27"/>
      <c r="C136" s="28"/>
      <c r="D136" s="27"/>
      <c r="E136" s="27"/>
      <c r="F136" s="29"/>
      <c r="G136" s="27"/>
      <c r="H136" s="27"/>
      <c r="I136" s="29"/>
      <c r="J136" s="27"/>
      <c r="K136" s="27"/>
      <c r="L136" s="27"/>
      <c r="M136" s="30"/>
      <c r="N136" s="27"/>
      <c r="O136" s="27"/>
      <c r="P136" s="33"/>
      <c r="Q136" s="27"/>
    </row>
    <row r="137" spans="1:17" x14ac:dyDescent="0.25">
      <c r="A137" s="26"/>
      <c r="B137" s="27"/>
      <c r="C137" s="28"/>
      <c r="D137" s="27"/>
      <c r="E137" s="27"/>
      <c r="F137" s="29"/>
      <c r="G137" s="27"/>
      <c r="H137" s="27"/>
      <c r="I137" s="29"/>
      <c r="J137" s="27"/>
      <c r="K137" s="27"/>
      <c r="L137" s="27"/>
      <c r="M137" s="30"/>
      <c r="N137" s="27"/>
      <c r="O137" s="27"/>
      <c r="P137" s="33"/>
      <c r="Q137" s="27"/>
    </row>
    <row r="138" spans="1:17" x14ac:dyDescent="0.25">
      <c r="A138" s="26"/>
      <c r="B138" s="27"/>
      <c r="C138" s="28"/>
      <c r="D138" s="27"/>
      <c r="E138" s="27"/>
      <c r="F138" s="29"/>
      <c r="G138" s="27"/>
      <c r="H138" s="27"/>
      <c r="I138" s="29"/>
      <c r="J138" s="27"/>
      <c r="K138" s="27"/>
      <c r="L138" s="27"/>
      <c r="M138" s="30"/>
      <c r="N138" s="27"/>
      <c r="O138" s="27"/>
      <c r="P138" s="33"/>
      <c r="Q138" s="27"/>
    </row>
    <row r="139" spans="1:17" x14ac:dyDescent="0.25">
      <c r="A139" s="26"/>
      <c r="B139" s="27"/>
      <c r="C139" s="28"/>
      <c r="D139" s="27"/>
      <c r="E139" s="27"/>
      <c r="F139" s="29"/>
      <c r="G139" s="27"/>
      <c r="H139" s="27"/>
      <c r="I139" s="29"/>
      <c r="J139" s="27"/>
      <c r="K139" s="27"/>
      <c r="L139" s="27"/>
      <c r="M139" s="30"/>
      <c r="N139" s="27"/>
      <c r="O139" s="27"/>
      <c r="P139" s="33"/>
      <c r="Q139" s="27"/>
    </row>
    <row r="140" spans="1:17" x14ac:dyDescent="0.25">
      <c r="A140" s="26"/>
      <c r="B140" s="27"/>
      <c r="C140" s="28"/>
      <c r="D140" s="27"/>
      <c r="E140" s="27"/>
      <c r="F140" s="29"/>
      <c r="G140" s="27"/>
      <c r="H140" s="27"/>
      <c r="I140" s="29"/>
      <c r="J140" s="27"/>
      <c r="K140" s="27"/>
      <c r="L140" s="27"/>
      <c r="M140" s="30"/>
      <c r="N140" s="27"/>
      <c r="O140" s="27"/>
      <c r="P140" s="33"/>
      <c r="Q140" s="27"/>
    </row>
    <row r="141" spans="1:17" x14ac:dyDescent="0.25">
      <c r="A141" s="26"/>
      <c r="B141" s="27"/>
      <c r="C141" s="28"/>
      <c r="D141" s="27"/>
      <c r="E141" s="27"/>
      <c r="F141" s="29"/>
      <c r="G141" s="27"/>
      <c r="H141" s="27"/>
      <c r="I141" s="29"/>
      <c r="J141" s="27"/>
      <c r="K141" s="27"/>
      <c r="L141" s="27"/>
      <c r="M141" s="30"/>
      <c r="N141" s="27"/>
      <c r="O141" s="27"/>
      <c r="P141" s="33"/>
      <c r="Q141" s="27"/>
    </row>
    <row r="142" spans="1:17" x14ac:dyDescent="0.25">
      <c r="A142" s="26"/>
      <c r="B142" s="27"/>
      <c r="C142" s="28"/>
      <c r="D142" s="27"/>
      <c r="E142" s="27"/>
      <c r="F142" s="29"/>
      <c r="G142" s="27"/>
      <c r="H142" s="27"/>
      <c r="I142" s="29"/>
      <c r="J142" s="27"/>
      <c r="K142" s="27"/>
      <c r="L142" s="27"/>
      <c r="M142" s="30"/>
      <c r="N142" s="27"/>
      <c r="O142" s="27"/>
      <c r="P142" s="33"/>
      <c r="Q142" s="27"/>
    </row>
    <row r="143" spans="1:17" x14ac:dyDescent="0.25">
      <c r="A143" s="26"/>
      <c r="B143" s="27"/>
      <c r="C143" s="28"/>
      <c r="D143" s="27"/>
      <c r="E143" s="27"/>
      <c r="F143" s="29"/>
      <c r="G143" s="27"/>
      <c r="H143" s="27"/>
      <c r="I143" s="29"/>
      <c r="J143" s="27"/>
      <c r="K143" s="27"/>
      <c r="L143" s="27"/>
      <c r="M143" s="30"/>
      <c r="N143" s="27"/>
      <c r="O143" s="27"/>
      <c r="P143" s="33"/>
      <c r="Q143" s="27"/>
    </row>
    <row r="144" spans="1:17" x14ac:dyDescent="0.25">
      <c r="A144" s="26"/>
      <c r="B144" s="27"/>
      <c r="C144" s="28"/>
      <c r="D144" s="27"/>
      <c r="E144" s="27"/>
      <c r="F144" s="29"/>
      <c r="G144" s="27"/>
      <c r="H144" s="27"/>
      <c r="I144" s="29"/>
      <c r="J144" s="27"/>
      <c r="K144" s="27"/>
      <c r="L144" s="27"/>
      <c r="M144" s="30"/>
      <c r="N144" s="27"/>
      <c r="O144" s="27"/>
      <c r="P144" s="33"/>
      <c r="Q144" s="27"/>
    </row>
    <row r="145" spans="1:17" x14ac:dyDescent="0.25">
      <c r="A145" s="26"/>
      <c r="B145" s="27"/>
      <c r="C145" s="28"/>
      <c r="D145" s="27"/>
      <c r="E145" s="27"/>
      <c r="F145" s="29"/>
      <c r="G145" s="27"/>
      <c r="H145" s="27"/>
      <c r="I145" s="29"/>
      <c r="J145" s="27"/>
      <c r="K145" s="27"/>
      <c r="L145" s="27"/>
      <c r="M145" s="30"/>
      <c r="N145" s="27"/>
      <c r="O145" s="27"/>
      <c r="P145" s="33"/>
      <c r="Q145" s="27"/>
    </row>
    <row r="146" spans="1:17" x14ac:dyDescent="0.25">
      <c r="A146" s="26"/>
      <c r="B146" s="27"/>
      <c r="C146" s="28"/>
      <c r="D146" s="27"/>
      <c r="E146" s="27"/>
      <c r="F146" s="29"/>
      <c r="G146" s="27"/>
      <c r="H146" s="27"/>
      <c r="I146" s="29"/>
      <c r="J146" s="27"/>
      <c r="K146" s="27"/>
      <c r="L146" s="27"/>
      <c r="M146" s="30"/>
      <c r="N146" s="27"/>
      <c r="O146" s="27"/>
      <c r="P146" s="33"/>
      <c r="Q146" s="27"/>
    </row>
    <row r="147" spans="1:17" x14ac:dyDescent="0.25">
      <c r="A147" s="26"/>
      <c r="B147" s="27"/>
      <c r="C147" s="28"/>
      <c r="D147" s="27"/>
      <c r="E147" s="27"/>
      <c r="F147" s="29"/>
      <c r="G147" s="27"/>
      <c r="H147" s="27"/>
      <c r="I147" s="29"/>
      <c r="J147" s="27"/>
      <c r="K147" s="27"/>
      <c r="L147" s="27"/>
      <c r="M147" s="30"/>
      <c r="N147" s="27"/>
      <c r="O147" s="27"/>
      <c r="P147" s="33"/>
      <c r="Q147" s="27"/>
    </row>
    <row r="148" spans="1:17" x14ac:dyDescent="0.25">
      <c r="A148" s="26"/>
      <c r="B148" s="27"/>
      <c r="C148" s="28"/>
      <c r="D148" s="27"/>
      <c r="E148" s="27"/>
      <c r="F148" s="29"/>
      <c r="G148" s="27"/>
      <c r="H148" s="27"/>
      <c r="I148" s="29"/>
      <c r="J148" s="27"/>
      <c r="K148" s="27"/>
      <c r="L148" s="27"/>
      <c r="M148" s="30"/>
      <c r="N148" s="27"/>
      <c r="O148" s="27"/>
      <c r="P148" s="33"/>
      <c r="Q148" s="27"/>
    </row>
    <row r="149" spans="1:17" x14ac:dyDescent="0.25">
      <c r="A149" s="26"/>
      <c r="B149" s="27"/>
      <c r="C149" s="28"/>
      <c r="D149" s="27"/>
      <c r="E149" s="27"/>
      <c r="F149" s="29"/>
      <c r="G149" s="27"/>
      <c r="H149" s="27"/>
      <c r="I149" s="29"/>
      <c r="J149" s="27"/>
      <c r="K149" s="27"/>
      <c r="L149" s="27"/>
      <c r="M149" s="30"/>
      <c r="N149" s="27"/>
      <c r="O149" s="27"/>
      <c r="P149" s="33"/>
      <c r="Q149" s="27"/>
    </row>
    <row r="150" spans="1:17" x14ac:dyDescent="0.25">
      <c r="A150" s="26"/>
      <c r="B150" s="27"/>
      <c r="C150" s="28"/>
      <c r="D150" s="27"/>
      <c r="E150" s="27"/>
      <c r="F150" s="29"/>
      <c r="G150" s="27"/>
      <c r="H150" s="27"/>
      <c r="I150" s="29"/>
      <c r="J150" s="27"/>
      <c r="K150" s="27"/>
      <c r="L150" s="27"/>
      <c r="M150" s="30"/>
      <c r="N150" s="27"/>
      <c r="O150" s="27"/>
      <c r="P150" s="33"/>
      <c r="Q150" s="27"/>
    </row>
    <row r="151" spans="1:17" x14ac:dyDescent="0.25">
      <c r="A151" s="26"/>
      <c r="B151" s="27"/>
      <c r="C151" s="28"/>
      <c r="D151" s="27"/>
      <c r="E151" s="27"/>
      <c r="F151" s="29"/>
      <c r="G151" s="27"/>
      <c r="H151" s="27"/>
      <c r="I151" s="29"/>
      <c r="J151" s="27"/>
      <c r="K151" s="27"/>
      <c r="L151" s="27"/>
      <c r="M151" s="30"/>
      <c r="N151" s="27"/>
      <c r="O151" s="27"/>
      <c r="P151" s="33"/>
      <c r="Q151" s="27"/>
    </row>
    <row r="152" spans="1:17" x14ac:dyDescent="0.25">
      <c r="A152" s="26"/>
      <c r="B152" s="27"/>
      <c r="C152" s="28"/>
      <c r="D152" s="27"/>
      <c r="E152" s="27"/>
      <c r="F152" s="29"/>
      <c r="G152" s="27"/>
      <c r="H152" s="27"/>
      <c r="I152" s="29"/>
      <c r="J152" s="27"/>
      <c r="K152" s="27"/>
      <c r="L152" s="27"/>
      <c r="M152" s="30"/>
      <c r="N152" s="27"/>
      <c r="O152" s="27"/>
      <c r="P152" s="33"/>
      <c r="Q152" s="27"/>
    </row>
    <row r="153" spans="1:17" x14ac:dyDescent="0.25">
      <c r="A153" s="26"/>
      <c r="B153" s="27"/>
      <c r="C153" s="28"/>
      <c r="D153" s="27"/>
      <c r="E153" s="27"/>
      <c r="F153" s="29"/>
      <c r="G153" s="27"/>
      <c r="H153" s="27"/>
      <c r="I153" s="29"/>
      <c r="J153" s="27"/>
      <c r="K153" s="27"/>
      <c r="L153" s="27"/>
      <c r="M153" s="30"/>
      <c r="N153" s="27"/>
      <c r="O153" s="27"/>
      <c r="P153" s="33"/>
      <c r="Q153" s="27"/>
    </row>
    <row r="154" spans="1:17" x14ac:dyDescent="0.25">
      <c r="A154" s="26"/>
      <c r="B154" s="27"/>
      <c r="C154" s="28"/>
      <c r="D154" s="27"/>
      <c r="E154" s="27"/>
      <c r="F154" s="29"/>
      <c r="G154" s="27"/>
      <c r="H154" s="27"/>
      <c r="I154" s="29"/>
      <c r="J154" s="27"/>
      <c r="K154" s="27"/>
      <c r="L154" s="27"/>
      <c r="M154" s="30"/>
      <c r="N154" s="27"/>
      <c r="O154" s="27"/>
      <c r="P154" s="33"/>
      <c r="Q154" s="27"/>
    </row>
    <row r="155" spans="1:17" x14ac:dyDescent="0.25">
      <c r="A155" s="26"/>
      <c r="B155" s="27"/>
      <c r="C155" s="28"/>
      <c r="D155" s="27"/>
      <c r="E155" s="27"/>
      <c r="F155" s="29"/>
      <c r="G155" s="27"/>
      <c r="H155" s="27"/>
      <c r="I155" s="29"/>
      <c r="J155" s="27"/>
      <c r="K155" s="27"/>
      <c r="L155" s="27"/>
      <c r="M155" s="30"/>
      <c r="N155" s="27"/>
      <c r="O155" s="27"/>
      <c r="P155" s="33"/>
      <c r="Q155" s="27"/>
    </row>
    <row r="156" spans="1:17" x14ac:dyDescent="0.25">
      <c r="A156" s="26"/>
      <c r="B156" s="27"/>
      <c r="C156" s="28"/>
      <c r="D156" s="27"/>
      <c r="E156" s="27"/>
      <c r="F156" s="29"/>
      <c r="G156" s="27"/>
      <c r="H156" s="27"/>
      <c r="I156" s="29"/>
      <c r="J156" s="27"/>
      <c r="K156" s="27"/>
      <c r="L156" s="27"/>
      <c r="M156" s="30"/>
      <c r="N156" s="27"/>
      <c r="O156" s="27"/>
      <c r="P156" s="33"/>
      <c r="Q156" s="27"/>
    </row>
    <row r="157" spans="1:17" x14ac:dyDescent="0.25">
      <c r="A157" s="26"/>
      <c r="B157" s="27"/>
      <c r="C157" s="28"/>
      <c r="D157" s="27"/>
      <c r="E157" s="27"/>
      <c r="F157" s="29"/>
      <c r="G157" s="27"/>
      <c r="H157" s="27"/>
      <c r="I157" s="29"/>
      <c r="J157" s="27"/>
      <c r="K157" s="27"/>
      <c r="L157" s="27"/>
      <c r="M157" s="30"/>
      <c r="N157" s="27"/>
      <c r="O157" s="27"/>
      <c r="P157" s="33"/>
      <c r="Q157" s="27"/>
    </row>
    <row r="158" spans="1:17" x14ac:dyDescent="0.25">
      <c r="A158" s="26"/>
      <c r="B158" s="27"/>
      <c r="C158" s="28"/>
      <c r="D158" s="27"/>
      <c r="E158" s="27"/>
      <c r="F158" s="29"/>
      <c r="G158" s="27"/>
      <c r="H158" s="27"/>
      <c r="I158" s="29"/>
      <c r="J158" s="27"/>
      <c r="K158" s="27"/>
      <c r="L158" s="27"/>
      <c r="M158" s="30"/>
      <c r="N158" s="27"/>
      <c r="O158" s="27"/>
      <c r="P158" s="33"/>
      <c r="Q158" s="27"/>
    </row>
    <row r="159" spans="1:17" x14ac:dyDescent="0.25">
      <c r="A159" s="26"/>
      <c r="B159" s="27"/>
      <c r="C159" s="28"/>
      <c r="D159" s="27"/>
      <c r="E159" s="27"/>
      <c r="F159" s="29"/>
      <c r="G159" s="27"/>
      <c r="H159" s="27"/>
      <c r="I159" s="29"/>
      <c r="J159" s="27"/>
      <c r="K159" s="27"/>
      <c r="L159" s="27"/>
      <c r="M159" s="30"/>
      <c r="N159" s="27"/>
      <c r="O159" s="27"/>
      <c r="P159" s="33"/>
      <c r="Q159" s="27"/>
    </row>
    <row r="160" spans="1:17" x14ac:dyDescent="0.25">
      <c r="A160" s="26"/>
      <c r="B160" s="27"/>
      <c r="C160" s="28"/>
      <c r="D160" s="27"/>
      <c r="E160" s="27"/>
      <c r="F160" s="29"/>
      <c r="G160" s="27"/>
      <c r="H160" s="27"/>
      <c r="I160" s="29"/>
      <c r="J160" s="27"/>
      <c r="K160" s="27"/>
      <c r="L160" s="27"/>
      <c r="M160" s="30"/>
      <c r="N160" s="27"/>
      <c r="O160" s="27"/>
      <c r="P160" s="33"/>
      <c r="Q160" s="27"/>
    </row>
    <row r="161" spans="1:17" x14ac:dyDescent="0.25">
      <c r="A161" s="26"/>
      <c r="B161" s="27"/>
      <c r="C161" s="28"/>
      <c r="D161" s="27"/>
      <c r="E161" s="27"/>
      <c r="F161" s="29"/>
      <c r="G161" s="27"/>
      <c r="H161" s="27"/>
      <c r="I161" s="29"/>
      <c r="J161" s="27"/>
      <c r="K161" s="27"/>
      <c r="L161" s="27"/>
      <c r="M161" s="30"/>
      <c r="N161" s="27"/>
      <c r="O161" s="27"/>
      <c r="P161" s="33"/>
      <c r="Q161" s="27"/>
    </row>
    <row r="162" spans="1:17" x14ac:dyDescent="0.25">
      <c r="A162" s="26"/>
      <c r="B162" s="27"/>
      <c r="C162" s="28"/>
      <c r="D162" s="27"/>
      <c r="E162" s="27"/>
      <c r="F162" s="29"/>
      <c r="G162" s="27"/>
      <c r="H162" s="27"/>
      <c r="I162" s="29"/>
      <c r="J162" s="27"/>
      <c r="K162" s="27"/>
      <c r="L162" s="27"/>
      <c r="M162" s="30"/>
      <c r="N162" s="27"/>
      <c r="O162" s="27"/>
      <c r="P162" s="33"/>
      <c r="Q162" s="27"/>
    </row>
    <row r="163" spans="1:17" x14ac:dyDescent="0.25">
      <c r="A163" s="26"/>
      <c r="B163" s="27"/>
      <c r="C163" s="28"/>
      <c r="D163" s="27"/>
      <c r="E163" s="27"/>
      <c r="F163" s="29"/>
      <c r="G163" s="27"/>
      <c r="H163" s="27"/>
      <c r="I163" s="29"/>
      <c r="J163" s="27"/>
      <c r="K163" s="27"/>
      <c r="L163" s="27"/>
      <c r="M163" s="30"/>
      <c r="N163" s="27"/>
      <c r="O163" s="27"/>
      <c r="P163" s="33"/>
      <c r="Q163" s="27"/>
    </row>
    <row r="164" spans="1:17" x14ac:dyDescent="0.25">
      <c r="A164" s="26"/>
      <c r="B164" s="27"/>
      <c r="C164" s="28"/>
      <c r="D164" s="27"/>
      <c r="E164" s="27"/>
      <c r="F164" s="29"/>
      <c r="G164" s="27"/>
      <c r="H164" s="27"/>
      <c r="I164" s="29"/>
      <c r="J164" s="27"/>
      <c r="K164" s="27"/>
      <c r="L164" s="27"/>
      <c r="M164" s="30"/>
      <c r="N164" s="27"/>
      <c r="O164" s="27"/>
      <c r="P164" s="33"/>
      <c r="Q164" s="27"/>
    </row>
    <row r="165" spans="1:17" x14ac:dyDescent="0.25">
      <c r="A165" s="26"/>
      <c r="B165" s="27"/>
      <c r="C165" s="28"/>
      <c r="D165" s="27"/>
      <c r="E165" s="27"/>
      <c r="F165" s="29"/>
      <c r="G165" s="27"/>
      <c r="H165" s="27"/>
      <c r="I165" s="29"/>
      <c r="J165" s="27"/>
      <c r="K165" s="27"/>
      <c r="L165" s="27"/>
      <c r="M165" s="30"/>
      <c r="N165" s="27"/>
      <c r="O165" s="27"/>
      <c r="P165" s="33"/>
      <c r="Q165" s="27"/>
    </row>
    <row r="166" spans="1:17" x14ac:dyDescent="0.25">
      <c r="A166" s="26"/>
      <c r="B166" s="27"/>
      <c r="C166" s="28"/>
      <c r="D166" s="27"/>
      <c r="E166" s="27"/>
      <c r="F166" s="29"/>
      <c r="G166" s="27"/>
      <c r="H166" s="27"/>
      <c r="I166" s="29"/>
      <c r="J166" s="27"/>
      <c r="K166" s="27"/>
      <c r="L166" s="27"/>
      <c r="M166" s="30"/>
      <c r="N166" s="27"/>
      <c r="O166" s="27"/>
      <c r="P166" s="33"/>
      <c r="Q166" s="27"/>
    </row>
    <row r="167" spans="1:17" x14ac:dyDescent="0.25">
      <c r="A167" s="26"/>
      <c r="B167" s="27"/>
      <c r="C167" s="28"/>
      <c r="D167" s="27"/>
      <c r="E167" s="27"/>
      <c r="F167" s="29"/>
      <c r="G167" s="27"/>
      <c r="H167" s="27"/>
      <c r="I167" s="29"/>
      <c r="J167" s="27"/>
      <c r="K167" s="27"/>
      <c r="L167" s="27"/>
      <c r="M167" s="30"/>
      <c r="N167" s="27"/>
      <c r="O167" s="27"/>
      <c r="P167" s="33"/>
      <c r="Q167" s="27"/>
    </row>
    <row r="168" spans="1:17" x14ac:dyDescent="0.25">
      <c r="A168" s="26"/>
      <c r="B168" s="27"/>
      <c r="C168" s="28"/>
      <c r="D168" s="27"/>
      <c r="E168" s="27"/>
      <c r="F168" s="29"/>
      <c r="G168" s="27"/>
      <c r="H168" s="27"/>
      <c r="I168" s="29"/>
      <c r="J168" s="27"/>
      <c r="K168" s="27"/>
      <c r="L168" s="27"/>
      <c r="M168" s="30"/>
      <c r="N168" s="27"/>
      <c r="O168" s="27"/>
      <c r="P168" s="33"/>
      <c r="Q168" s="27"/>
    </row>
    <row r="169" spans="1:17" x14ac:dyDescent="0.25">
      <c r="A169" s="26"/>
      <c r="B169" s="27"/>
      <c r="C169" s="28"/>
      <c r="D169" s="27"/>
      <c r="E169" s="27"/>
      <c r="F169" s="29"/>
      <c r="G169" s="27"/>
      <c r="H169" s="27"/>
      <c r="I169" s="29"/>
      <c r="J169" s="27"/>
      <c r="K169" s="27"/>
      <c r="L169" s="27"/>
      <c r="M169" s="30"/>
      <c r="N169" s="27"/>
      <c r="O169" s="27"/>
      <c r="P169" s="33"/>
      <c r="Q169" s="27"/>
    </row>
    <row r="170" spans="1:17" x14ac:dyDescent="0.25">
      <c r="A170" s="26"/>
      <c r="B170" s="27"/>
      <c r="C170" s="28"/>
      <c r="D170" s="27"/>
      <c r="E170" s="27"/>
      <c r="F170" s="29"/>
      <c r="G170" s="27"/>
      <c r="H170" s="27"/>
      <c r="I170" s="29"/>
      <c r="J170" s="27"/>
      <c r="K170" s="27"/>
      <c r="L170" s="27"/>
      <c r="M170" s="30"/>
      <c r="N170" s="27"/>
      <c r="O170" s="27"/>
      <c r="P170" s="33"/>
      <c r="Q170" s="27"/>
    </row>
    <row r="171" spans="1:17" x14ac:dyDescent="0.25">
      <c r="A171" s="26"/>
      <c r="B171" s="27"/>
      <c r="C171" s="28"/>
      <c r="D171" s="27"/>
      <c r="E171" s="27"/>
      <c r="F171" s="29"/>
      <c r="G171" s="27"/>
      <c r="H171" s="27"/>
      <c r="I171" s="29"/>
      <c r="J171" s="27"/>
      <c r="K171" s="27"/>
      <c r="L171" s="27"/>
      <c r="M171" s="30"/>
      <c r="N171" s="27"/>
      <c r="O171" s="27"/>
      <c r="P171" s="33"/>
      <c r="Q171" s="27"/>
    </row>
    <row r="172" spans="1:17" x14ac:dyDescent="0.25">
      <c r="A172" s="26"/>
      <c r="B172" s="27"/>
      <c r="C172" s="28"/>
      <c r="D172" s="27"/>
      <c r="E172" s="27"/>
      <c r="F172" s="29"/>
      <c r="G172" s="27"/>
      <c r="H172" s="27"/>
      <c r="I172" s="29"/>
      <c r="J172" s="27"/>
      <c r="K172" s="27"/>
      <c r="L172" s="27"/>
      <c r="M172" s="30"/>
      <c r="N172" s="27"/>
      <c r="O172" s="27"/>
      <c r="P172" s="33"/>
      <c r="Q172" s="27"/>
    </row>
    <row r="173" spans="1:17" x14ac:dyDescent="0.25">
      <c r="A173" s="26"/>
      <c r="B173" s="27"/>
      <c r="C173" s="28"/>
      <c r="D173" s="27"/>
      <c r="E173" s="27"/>
      <c r="F173" s="29"/>
      <c r="G173" s="27"/>
      <c r="H173" s="27"/>
      <c r="I173" s="29"/>
      <c r="J173" s="27"/>
      <c r="K173" s="27"/>
      <c r="L173" s="27"/>
      <c r="M173" s="30"/>
      <c r="N173" s="27"/>
      <c r="O173" s="27"/>
      <c r="P173" s="33"/>
      <c r="Q173" s="27"/>
    </row>
    <row r="174" spans="1:17" x14ac:dyDescent="0.25">
      <c r="A174" s="26"/>
      <c r="B174" s="27"/>
      <c r="C174" s="28"/>
      <c r="D174" s="27"/>
      <c r="E174" s="27"/>
      <c r="F174" s="29"/>
      <c r="G174" s="27"/>
      <c r="H174" s="27"/>
      <c r="I174" s="29"/>
      <c r="J174" s="27"/>
      <c r="K174" s="27"/>
      <c r="L174" s="27"/>
      <c r="M174" s="30"/>
      <c r="N174" s="27"/>
      <c r="O174" s="27"/>
      <c r="P174" s="33"/>
      <c r="Q174" s="27"/>
    </row>
    <row r="175" spans="1:17" x14ac:dyDescent="0.25">
      <c r="A175" s="26"/>
      <c r="B175" s="27"/>
      <c r="C175" s="28"/>
      <c r="D175" s="27"/>
      <c r="E175" s="27"/>
      <c r="F175" s="29"/>
      <c r="G175" s="27"/>
      <c r="H175" s="27"/>
      <c r="I175" s="29"/>
      <c r="J175" s="27"/>
      <c r="K175" s="27"/>
      <c r="L175" s="27"/>
      <c r="M175" s="30"/>
      <c r="N175" s="27"/>
      <c r="O175" s="27"/>
      <c r="P175" s="33"/>
      <c r="Q175" s="27"/>
    </row>
    <row r="176" spans="1:17" x14ac:dyDescent="0.25">
      <c r="A176" s="26"/>
      <c r="B176" s="27"/>
      <c r="C176" s="28"/>
      <c r="D176" s="27"/>
      <c r="E176" s="27"/>
      <c r="F176" s="29"/>
      <c r="G176" s="27"/>
      <c r="H176" s="27"/>
      <c r="I176" s="29"/>
      <c r="J176" s="27"/>
      <c r="K176" s="27"/>
      <c r="L176" s="27"/>
      <c r="M176" s="30"/>
      <c r="N176" s="27"/>
      <c r="O176" s="27"/>
      <c r="P176" s="33"/>
      <c r="Q176" s="27"/>
    </row>
    <row r="177" spans="1:17" x14ac:dyDescent="0.25">
      <c r="A177" s="26"/>
      <c r="B177" s="27"/>
      <c r="C177" s="28"/>
      <c r="D177" s="27"/>
      <c r="E177" s="27"/>
      <c r="F177" s="29"/>
      <c r="G177" s="27"/>
      <c r="H177" s="27"/>
      <c r="I177" s="29"/>
      <c r="J177" s="27"/>
      <c r="K177" s="27"/>
      <c r="L177" s="27"/>
      <c r="M177" s="30"/>
      <c r="N177" s="27"/>
      <c r="O177" s="27"/>
      <c r="P177" s="33"/>
      <c r="Q177" s="27"/>
    </row>
    <row r="178" spans="1:17" x14ac:dyDescent="0.25">
      <c r="A178" s="26"/>
      <c r="B178" s="27"/>
      <c r="C178" s="28"/>
      <c r="D178" s="27"/>
      <c r="E178" s="27"/>
      <c r="F178" s="29"/>
      <c r="G178" s="27"/>
      <c r="H178" s="27"/>
      <c r="I178" s="29"/>
      <c r="J178" s="27"/>
      <c r="K178" s="27"/>
      <c r="L178" s="27"/>
      <c r="M178" s="30"/>
      <c r="N178" s="27"/>
      <c r="O178" s="27"/>
      <c r="P178" s="33"/>
      <c r="Q178" s="27"/>
    </row>
    <row r="179" spans="1:17" x14ac:dyDescent="0.25">
      <c r="A179" s="26"/>
      <c r="B179" s="27"/>
      <c r="C179" s="28"/>
      <c r="D179" s="27"/>
      <c r="E179" s="27"/>
      <c r="F179" s="29"/>
      <c r="G179" s="27"/>
      <c r="H179" s="27"/>
      <c r="I179" s="29"/>
      <c r="J179" s="27"/>
      <c r="K179" s="27"/>
      <c r="L179" s="27"/>
      <c r="M179" s="30"/>
      <c r="N179" s="27"/>
      <c r="O179" s="27"/>
      <c r="P179" s="33"/>
      <c r="Q179" s="27"/>
    </row>
    <row r="180" spans="1:17" x14ac:dyDescent="0.25">
      <c r="A180" s="26"/>
      <c r="B180" s="27"/>
      <c r="C180" s="28"/>
      <c r="D180" s="27"/>
      <c r="E180" s="27"/>
      <c r="F180" s="29"/>
      <c r="G180" s="27"/>
      <c r="H180" s="27"/>
      <c r="I180" s="29"/>
      <c r="J180" s="27"/>
      <c r="K180" s="27"/>
      <c r="L180" s="27"/>
      <c r="M180" s="30"/>
      <c r="N180" s="27"/>
      <c r="O180" s="27"/>
      <c r="P180" s="33"/>
      <c r="Q180" s="27"/>
    </row>
    <row r="181" spans="1:17" x14ac:dyDescent="0.25">
      <c r="A181" s="26"/>
      <c r="B181" s="27"/>
      <c r="C181" s="28"/>
      <c r="D181" s="27"/>
      <c r="E181" s="27"/>
      <c r="F181" s="29"/>
      <c r="G181" s="27"/>
      <c r="H181" s="27"/>
      <c r="I181" s="29"/>
      <c r="J181" s="27"/>
      <c r="K181" s="27"/>
      <c r="L181" s="27"/>
      <c r="M181" s="30"/>
      <c r="N181" s="27"/>
      <c r="O181" s="27"/>
      <c r="P181" s="33"/>
      <c r="Q181" s="27"/>
    </row>
    <row r="182" spans="1:17" x14ac:dyDescent="0.25">
      <c r="A182" s="26"/>
      <c r="B182" s="27"/>
      <c r="C182" s="28"/>
      <c r="D182" s="27"/>
      <c r="E182" s="27"/>
      <c r="F182" s="29"/>
      <c r="G182" s="27"/>
      <c r="H182" s="27"/>
      <c r="I182" s="29"/>
      <c r="J182" s="27"/>
      <c r="K182" s="27"/>
      <c r="L182" s="27"/>
      <c r="M182" s="30"/>
      <c r="N182" s="27"/>
      <c r="O182" s="27"/>
      <c r="P182" s="33"/>
      <c r="Q182" s="27"/>
    </row>
    <row r="183" spans="1:17" x14ac:dyDescent="0.25">
      <c r="A183" s="26"/>
      <c r="B183" s="27"/>
      <c r="C183" s="28"/>
      <c r="D183" s="27"/>
      <c r="E183" s="27"/>
      <c r="F183" s="29"/>
      <c r="G183" s="27"/>
      <c r="H183" s="27"/>
      <c r="I183" s="29"/>
      <c r="J183" s="27"/>
      <c r="K183" s="27"/>
      <c r="L183" s="27"/>
      <c r="M183" s="30"/>
      <c r="N183" s="27"/>
      <c r="O183" s="27"/>
      <c r="P183" s="33"/>
      <c r="Q183" s="27"/>
    </row>
    <row r="184" spans="1:17" x14ac:dyDescent="0.25">
      <c r="A184" s="26"/>
      <c r="B184" s="27"/>
      <c r="C184" s="28"/>
      <c r="D184" s="27"/>
      <c r="E184" s="27"/>
      <c r="F184" s="29"/>
      <c r="G184" s="27"/>
      <c r="H184" s="27"/>
      <c r="I184" s="29"/>
      <c r="J184" s="27"/>
      <c r="K184" s="27"/>
      <c r="L184" s="27"/>
      <c r="M184" s="30"/>
      <c r="N184" s="27"/>
      <c r="O184" s="27"/>
      <c r="P184" s="33"/>
      <c r="Q184" s="27"/>
    </row>
    <row r="185" spans="1:17" x14ac:dyDescent="0.25">
      <c r="A185" s="26"/>
      <c r="B185" s="27"/>
      <c r="C185" s="28"/>
      <c r="D185" s="27"/>
      <c r="E185" s="27"/>
      <c r="F185" s="29"/>
      <c r="G185" s="27"/>
      <c r="H185" s="27"/>
      <c r="I185" s="29"/>
      <c r="J185" s="27"/>
      <c r="K185" s="27"/>
      <c r="L185" s="27"/>
      <c r="M185" s="30"/>
      <c r="N185" s="27"/>
      <c r="O185" s="27"/>
      <c r="P185" s="33"/>
      <c r="Q185" s="27"/>
    </row>
    <row r="186" spans="1:17" x14ac:dyDescent="0.25">
      <c r="A186" s="26"/>
      <c r="B186" s="27"/>
      <c r="C186" s="28"/>
      <c r="D186" s="27"/>
      <c r="E186" s="27"/>
      <c r="F186" s="29"/>
      <c r="G186" s="27"/>
      <c r="H186" s="27"/>
      <c r="I186" s="29"/>
      <c r="J186" s="27"/>
      <c r="K186" s="27"/>
      <c r="L186" s="27"/>
      <c r="M186" s="30"/>
      <c r="N186" s="27"/>
      <c r="O186" s="27"/>
      <c r="P186" s="33"/>
      <c r="Q186" s="27"/>
    </row>
    <row r="187" spans="1:17" x14ac:dyDescent="0.25">
      <c r="A187" s="26"/>
      <c r="B187" s="27"/>
      <c r="C187" s="28"/>
      <c r="D187" s="27"/>
      <c r="E187" s="27"/>
      <c r="F187" s="29"/>
      <c r="G187" s="27"/>
      <c r="H187" s="27"/>
      <c r="I187" s="29"/>
      <c r="J187" s="27"/>
      <c r="K187" s="27"/>
      <c r="L187" s="27"/>
      <c r="M187" s="30"/>
      <c r="N187" s="27"/>
      <c r="O187" s="27"/>
      <c r="P187" s="33"/>
      <c r="Q187" s="27"/>
    </row>
    <row r="188" spans="1:17" x14ac:dyDescent="0.25">
      <c r="A188" s="26"/>
      <c r="B188" s="27"/>
      <c r="C188" s="28"/>
      <c r="D188" s="27"/>
      <c r="E188" s="27"/>
      <c r="F188" s="29"/>
      <c r="G188" s="27"/>
      <c r="H188" s="27"/>
      <c r="I188" s="29"/>
      <c r="J188" s="27"/>
      <c r="K188" s="27"/>
      <c r="L188" s="27"/>
      <c r="M188" s="30"/>
      <c r="N188" s="27"/>
      <c r="O188" s="27"/>
      <c r="P188" s="33"/>
      <c r="Q188" s="27"/>
    </row>
    <row r="189" spans="1:17" x14ac:dyDescent="0.25">
      <c r="A189" s="26"/>
      <c r="B189" s="27"/>
      <c r="C189" s="28"/>
      <c r="D189" s="27"/>
      <c r="E189" s="27"/>
      <c r="F189" s="29"/>
      <c r="G189" s="27"/>
      <c r="H189" s="27"/>
      <c r="I189" s="29"/>
      <c r="J189" s="27"/>
      <c r="K189" s="27"/>
      <c r="L189" s="27"/>
      <c r="M189" s="30"/>
      <c r="N189" s="27"/>
      <c r="O189" s="27"/>
      <c r="P189" s="33"/>
      <c r="Q189" s="27"/>
    </row>
    <row r="190" spans="1:17" x14ac:dyDescent="0.25">
      <c r="A190" s="26"/>
      <c r="B190" s="27"/>
      <c r="C190" s="28"/>
      <c r="D190" s="27"/>
      <c r="E190" s="27"/>
      <c r="F190" s="29"/>
      <c r="G190" s="27"/>
      <c r="H190" s="27"/>
      <c r="I190" s="29"/>
      <c r="J190" s="27"/>
      <c r="K190" s="27"/>
      <c r="L190" s="27"/>
      <c r="M190" s="30"/>
      <c r="N190" s="27"/>
      <c r="O190" s="27"/>
      <c r="P190" s="33"/>
      <c r="Q190" s="27"/>
    </row>
    <row r="191" spans="1:17" x14ac:dyDescent="0.25">
      <c r="A191" s="26"/>
      <c r="B191" s="27"/>
      <c r="C191" s="28"/>
      <c r="D191" s="27"/>
      <c r="E191" s="27"/>
      <c r="F191" s="29"/>
      <c r="G191" s="27"/>
      <c r="H191" s="27"/>
      <c r="I191" s="29"/>
      <c r="J191" s="27"/>
      <c r="K191" s="27"/>
      <c r="L191" s="27"/>
      <c r="M191" s="30"/>
      <c r="N191" s="27"/>
      <c r="O191" s="27"/>
      <c r="P191" s="33"/>
      <c r="Q191" s="27"/>
    </row>
    <row r="192" spans="1:17" x14ac:dyDescent="0.25">
      <c r="A192" s="26"/>
      <c r="B192" s="27"/>
      <c r="C192" s="28"/>
      <c r="D192" s="27"/>
      <c r="E192" s="27"/>
      <c r="F192" s="29"/>
      <c r="G192" s="27"/>
      <c r="H192" s="27"/>
      <c r="I192" s="29"/>
      <c r="J192" s="27"/>
      <c r="K192" s="27"/>
      <c r="L192" s="27"/>
      <c r="M192" s="30"/>
      <c r="N192" s="27"/>
      <c r="O192" s="27"/>
      <c r="P192" s="33"/>
      <c r="Q192" s="27"/>
    </row>
    <row r="193" spans="1:17" x14ac:dyDescent="0.25">
      <c r="A193" s="26"/>
      <c r="B193" s="27"/>
      <c r="C193" s="28"/>
      <c r="D193" s="27"/>
      <c r="E193" s="27"/>
      <c r="F193" s="29"/>
      <c r="G193" s="27"/>
      <c r="H193" s="27"/>
      <c r="I193" s="29"/>
      <c r="J193" s="27"/>
      <c r="K193" s="27"/>
      <c r="L193" s="27"/>
      <c r="M193" s="30"/>
      <c r="N193" s="27"/>
      <c r="O193" s="27"/>
      <c r="P193" s="33"/>
      <c r="Q193" s="27"/>
    </row>
    <row r="194" spans="1:17" x14ac:dyDescent="0.25">
      <c r="A194" s="26"/>
      <c r="B194" s="27"/>
      <c r="C194" s="28"/>
      <c r="D194" s="27"/>
      <c r="E194" s="27"/>
      <c r="F194" s="29"/>
      <c r="G194" s="27"/>
      <c r="H194" s="27"/>
      <c r="I194" s="29"/>
      <c r="J194" s="27"/>
      <c r="K194" s="27"/>
      <c r="L194" s="27"/>
      <c r="M194" s="30"/>
      <c r="N194" s="27"/>
      <c r="O194" s="27"/>
      <c r="P194" s="33"/>
      <c r="Q194" s="27"/>
    </row>
    <row r="195" spans="1:17" x14ac:dyDescent="0.25">
      <c r="A195" s="26"/>
      <c r="B195" s="27"/>
      <c r="C195" s="28"/>
      <c r="D195" s="27"/>
      <c r="E195" s="27"/>
      <c r="F195" s="29"/>
      <c r="G195" s="27"/>
      <c r="H195" s="27"/>
      <c r="I195" s="29"/>
      <c r="J195" s="27"/>
      <c r="K195" s="27"/>
      <c r="L195" s="27"/>
      <c r="M195" s="30"/>
      <c r="N195" s="27"/>
      <c r="O195" s="27"/>
      <c r="P195" s="33"/>
      <c r="Q195" s="27"/>
    </row>
    <row r="196" spans="1:17" x14ac:dyDescent="0.25">
      <c r="A196" s="26"/>
      <c r="B196" s="27"/>
      <c r="C196" s="28"/>
      <c r="D196" s="27"/>
      <c r="E196" s="27"/>
      <c r="F196" s="29"/>
      <c r="G196" s="27"/>
      <c r="H196" s="27"/>
      <c r="I196" s="29"/>
      <c r="J196" s="27"/>
      <c r="K196" s="27"/>
      <c r="L196" s="27"/>
      <c r="M196" s="30"/>
      <c r="N196" s="27"/>
      <c r="O196" s="27"/>
      <c r="P196" s="33"/>
      <c r="Q196" s="27"/>
    </row>
    <row r="197" spans="1:17" x14ac:dyDescent="0.25">
      <c r="A197" s="26"/>
      <c r="B197" s="27"/>
      <c r="C197" s="28"/>
      <c r="D197" s="27"/>
      <c r="E197" s="27"/>
      <c r="F197" s="29"/>
      <c r="G197" s="27"/>
      <c r="H197" s="27"/>
      <c r="I197" s="29"/>
      <c r="J197" s="27"/>
      <c r="K197" s="27"/>
      <c r="L197" s="27"/>
      <c r="M197" s="30"/>
      <c r="N197" s="27"/>
      <c r="O197" s="27"/>
      <c r="P197" s="33"/>
      <c r="Q197" s="27"/>
    </row>
    <row r="198" spans="1:17" x14ac:dyDescent="0.25">
      <c r="A198" s="26"/>
      <c r="B198" s="27"/>
      <c r="C198" s="28"/>
      <c r="D198" s="27"/>
      <c r="E198" s="27"/>
      <c r="F198" s="29"/>
      <c r="G198" s="27"/>
      <c r="H198" s="27"/>
      <c r="I198" s="29"/>
      <c r="J198" s="27"/>
      <c r="K198" s="27"/>
      <c r="L198" s="27"/>
      <c r="M198" s="30"/>
      <c r="N198" s="27"/>
      <c r="O198" s="27"/>
      <c r="P198" s="33"/>
      <c r="Q198" s="27"/>
    </row>
    <row r="199" spans="1:17" x14ac:dyDescent="0.25">
      <c r="A199" s="26"/>
      <c r="B199" s="27"/>
      <c r="C199" s="28"/>
      <c r="D199" s="27"/>
      <c r="E199" s="27"/>
      <c r="F199" s="29"/>
      <c r="G199" s="27"/>
      <c r="H199" s="27"/>
      <c r="I199" s="29"/>
      <c r="J199" s="27"/>
      <c r="K199" s="27"/>
      <c r="L199" s="27"/>
      <c r="M199" s="30"/>
      <c r="N199" s="27"/>
      <c r="O199" s="27"/>
      <c r="P199" s="33"/>
      <c r="Q199" s="27"/>
    </row>
    <row r="200" spans="1:17" x14ac:dyDescent="0.25">
      <c r="A200" s="26"/>
      <c r="B200" s="27"/>
      <c r="C200" s="28"/>
      <c r="D200" s="27"/>
      <c r="E200" s="27"/>
      <c r="F200" s="29"/>
      <c r="G200" s="27"/>
      <c r="H200" s="27"/>
      <c r="I200" s="29"/>
      <c r="J200" s="27"/>
      <c r="K200" s="27"/>
      <c r="L200" s="27"/>
      <c r="M200" s="30"/>
      <c r="N200" s="27"/>
      <c r="O200" s="27"/>
      <c r="P200" s="33"/>
      <c r="Q200" s="27"/>
    </row>
    <row r="201" spans="1:17" x14ac:dyDescent="0.25">
      <c r="A201" s="26"/>
      <c r="B201" s="27"/>
      <c r="C201" s="28"/>
      <c r="D201" s="27"/>
      <c r="E201" s="27"/>
      <c r="F201" s="29"/>
      <c r="G201" s="27"/>
      <c r="H201" s="27"/>
      <c r="I201" s="29"/>
      <c r="J201" s="27"/>
      <c r="K201" s="27"/>
      <c r="L201" s="27"/>
      <c r="M201" s="30"/>
      <c r="N201" s="27"/>
      <c r="O201" s="27"/>
      <c r="P201" s="33"/>
      <c r="Q201" s="27"/>
    </row>
    <row r="202" spans="1:17" x14ac:dyDescent="0.25">
      <c r="A202" s="26"/>
      <c r="B202" s="27"/>
      <c r="C202" s="28"/>
      <c r="D202" s="27"/>
      <c r="E202" s="27"/>
      <c r="F202" s="29"/>
      <c r="G202" s="27"/>
      <c r="H202" s="27"/>
      <c r="I202" s="29"/>
      <c r="J202" s="27"/>
      <c r="K202" s="27"/>
      <c r="L202" s="27"/>
      <c r="M202" s="30"/>
      <c r="N202" s="27"/>
      <c r="O202" s="27"/>
      <c r="P202" s="33"/>
      <c r="Q202" s="27"/>
    </row>
    <row r="203" spans="1:17" x14ac:dyDescent="0.25">
      <c r="A203" s="26"/>
      <c r="B203" s="27"/>
      <c r="C203" s="28"/>
      <c r="D203" s="27"/>
      <c r="E203" s="27"/>
      <c r="F203" s="29"/>
      <c r="G203" s="27"/>
      <c r="H203" s="27"/>
      <c r="I203" s="29"/>
      <c r="J203" s="27"/>
      <c r="K203" s="27"/>
      <c r="L203" s="27"/>
      <c r="M203" s="30"/>
      <c r="N203" s="27"/>
      <c r="O203" s="27"/>
      <c r="P203" s="33"/>
      <c r="Q203" s="27"/>
    </row>
    <row r="204" spans="1:17" x14ac:dyDescent="0.25">
      <c r="A204" s="26"/>
      <c r="B204" s="27"/>
      <c r="C204" s="28"/>
      <c r="D204" s="27"/>
      <c r="E204" s="27"/>
      <c r="F204" s="29"/>
      <c r="G204" s="27"/>
      <c r="H204" s="27"/>
      <c r="I204" s="29"/>
      <c r="J204" s="27"/>
      <c r="K204" s="27"/>
      <c r="L204" s="27"/>
      <c r="M204" s="30"/>
      <c r="N204" s="27"/>
      <c r="O204" s="27"/>
      <c r="P204" s="33"/>
      <c r="Q204" s="27"/>
    </row>
    <row r="205" spans="1:17" x14ac:dyDescent="0.25">
      <c r="A205" s="26"/>
      <c r="B205" s="27"/>
      <c r="C205" s="28"/>
      <c r="D205" s="27"/>
      <c r="E205" s="27"/>
      <c r="F205" s="29"/>
      <c r="G205" s="27"/>
      <c r="H205" s="27"/>
      <c r="I205" s="29"/>
      <c r="J205" s="27"/>
      <c r="K205" s="27"/>
      <c r="L205" s="27"/>
      <c r="M205" s="30"/>
      <c r="N205" s="27"/>
      <c r="O205" s="27"/>
      <c r="P205" s="33"/>
      <c r="Q205" s="27"/>
    </row>
    <row r="206" spans="1:17" x14ac:dyDescent="0.25">
      <c r="A206" s="26"/>
      <c r="B206" s="27"/>
      <c r="C206" s="28"/>
      <c r="D206" s="27"/>
      <c r="E206" s="27"/>
      <c r="F206" s="29"/>
      <c r="G206" s="27"/>
      <c r="H206" s="27"/>
      <c r="I206" s="29"/>
      <c r="J206" s="27"/>
      <c r="K206" s="27"/>
      <c r="L206" s="27"/>
      <c r="M206" s="30"/>
      <c r="N206" s="27"/>
      <c r="O206" s="27"/>
      <c r="P206" s="33"/>
      <c r="Q206" s="27"/>
    </row>
    <row r="207" spans="1:17" x14ac:dyDescent="0.25">
      <c r="A207" s="26"/>
      <c r="B207" s="27"/>
      <c r="C207" s="28"/>
      <c r="D207" s="27"/>
      <c r="E207" s="27"/>
      <c r="F207" s="29"/>
      <c r="G207" s="27"/>
      <c r="H207" s="27"/>
      <c r="I207" s="29"/>
      <c r="J207" s="27"/>
      <c r="K207" s="27"/>
      <c r="L207" s="27"/>
      <c r="M207" s="30"/>
      <c r="N207" s="27"/>
      <c r="O207" s="27"/>
      <c r="P207" s="33"/>
      <c r="Q207" s="27"/>
    </row>
    <row r="208" spans="1:17" x14ac:dyDescent="0.25">
      <c r="A208" s="26"/>
      <c r="B208" s="27"/>
      <c r="C208" s="28"/>
      <c r="D208" s="27"/>
      <c r="E208" s="27"/>
      <c r="F208" s="29"/>
      <c r="G208" s="27"/>
      <c r="H208" s="27"/>
      <c r="I208" s="29"/>
      <c r="J208" s="27"/>
      <c r="K208" s="27"/>
      <c r="L208" s="27"/>
      <c r="M208" s="30"/>
      <c r="N208" s="27"/>
      <c r="O208" s="27"/>
      <c r="P208" s="33"/>
      <c r="Q208" s="27"/>
    </row>
    <row r="209" spans="1:17" x14ac:dyDescent="0.25">
      <c r="A209" s="26"/>
      <c r="B209" s="27"/>
      <c r="C209" s="28"/>
      <c r="D209" s="27"/>
      <c r="E209" s="27"/>
      <c r="F209" s="29"/>
      <c r="G209" s="27"/>
      <c r="H209" s="27"/>
      <c r="I209" s="29"/>
      <c r="J209" s="27"/>
      <c r="K209" s="27"/>
      <c r="L209" s="27"/>
      <c r="M209" s="30"/>
      <c r="N209" s="27"/>
      <c r="O209" s="27"/>
      <c r="P209" s="33"/>
      <c r="Q209" s="27"/>
    </row>
    <row r="210" spans="1:17" x14ac:dyDescent="0.25">
      <c r="A210" s="26"/>
      <c r="B210" s="27"/>
      <c r="C210" s="28"/>
      <c r="D210" s="27"/>
      <c r="E210" s="27"/>
      <c r="F210" s="29"/>
      <c r="G210" s="27"/>
      <c r="H210" s="27"/>
      <c r="I210" s="29"/>
      <c r="J210" s="27"/>
      <c r="K210" s="27"/>
      <c r="L210" s="27"/>
      <c r="M210" s="30"/>
      <c r="N210" s="27"/>
      <c r="O210" s="27"/>
      <c r="P210" s="33"/>
      <c r="Q210" s="27"/>
    </row>
    <row r="211" spans="1:17" x14ac:dyDescent="0.25">
      <c r="A211" s="26"/>
      <c r="B211" s="27"/>
      <c r="C211" s="28"/>
      <c r="D211" s="27"/>
      <c r="E211" s="27"/>
      <c r="F211" s="29"/>
      <c r="G211" s="27"/>
      <c r="H211" s="27"/>
      <c r="I211" s="29"/>
      <c r="J211" s="27"/>
      <c r="K211" s="27"/>
      <c r="L211" s="27"/>
      <c r="M211" s="30"/>
      <c r="N211" s="27"/>
      <c r="O211" s="27"/>
      <c r="P211" s="33"/>
      <c r="Q211" s="27"/>
    </row>
    <row r="212" spans="1:17" x14ac:dyDescent="0.25">
      <c r="A212" s="26"/>
      <c r="B212" s="27"/>
      <c r="C212" s="28"/>
      <c r="D212" s="27"/>
      <c r="E212" s="27"/>
      <c r="F212" s="29"/>
      <c r="G212" s="27"/>
      <c r="H212" s="27"/>
      <c r="I212" s="29"/>
      <c r="J212" s="27"/>
      <c r="K212" s="27"/>
      <c r="L212" s="27"/>
      <c r="M212" s="30"/>
      <c r="N212" s="27"/>
      <c r="O212" s="27"/>
      <c r="P212" s="33"/>
      <c r="Q212" s="27"/>
    </row>
    <row r="213" spans="1:17" x14ac:dyDescent="0.25">
      <c r="A213" s="26"/>
      <c r="B213" s="27"/>
      <c r="C213" s="28"/>
      <c r="D213" s="27"/>
      <c r="E213" s="27"/>
      <c r="F213" s="29"/>
      <c r="G213" s="27"/>
      <c r="H213" s="27"/>
      <c r="I213" s="29"/>
      <c r="J213" s="27"/>
      <c r="K213" s="27"/>
      <c r="L213" s="27"/>
      <c r="M213" s="30"/>
      <c r="N213" s="27"/>
      <c r="O213" s="27"/>
      <c r="P213" s="33"/>
      <c r="Q213" s="27"/>
    </row>
    <row r="214" spans="1:17" x14ac:dyDescent="0.25">
      <c r="A214" s="26"/>
      <c r="B214" s="27"/>
      <c r="C214" s="28"/>
      <c r="D214" s="27"/>
      <c r="E214" s="27"/>
      <c r="F214" s="29"/>
      <c r="G214" s="27"/>
      <c r="H214" s="27"/>
      <c r="I214" s="29"/>
      <c r="J214" s="27"/>
      <c r="K214" s="27"/>
      <c r="L214" s="27"/>
      <c r="M214" s="30"/>
      <c r="N214" s="27"/>
      <c r="O214" s="27"/>
      <c r="P214" s="33"/>
      <c r="Q214" s="27"/>
    </row>
    <row r="215" spans="1:17" x14ac:dyDescent="0.25">
      <c r="A215" s="26"/>
      <c r="B215" s="27"/>
      <c r="C215" s="28"/>
      <c r="D215" s="27"/>
      <c r="E215" s="27"/>
      <c r="F215" s="29"/>
      <c r="G215" s="27"/>
      <c r="H215" s="27"/>
      <c r="I215" s="29"/>
      <c r="J215" s="27"/>
      <c r="K215" s="27"/>
      <c r="L215" s="27"/>
      <c r="M215" s="30"/>
      <c r="N215" s="27"/>
      <c r="O215" s="27"/>
      <c r="P215" s="33"/>
      <c r="Q215" s="27"/>
    </row>
    <row r="216" spans="1:17" x14ac:dyDescent="0.25">
      <c r="A216" s="26"/>
      <c r="B216" s="27"/>
      <c r="C216" s="28"/>
      <c r="D216" s="27"/>
      <c r="E216" s="27"/>
      <c r="F216" s="29"/>
      <c r="G216" s="27"/>
      <c r="H216" s="27"/>
      <c r="I216" s="29"/>
      <c r="J216" s="27"/>
      <c r="K216" s="27"/>
      <c r="L216" s="27"/>
      <c r="M216" s="30"/>
      <c r="N216" s="27"/>
      <c r="O216" s="27"/>
      <c r="P216" s="33"/>
      <c r="Q216" s="27"/>
    </row>
    <row r="217" spans="1:17" x14ac:dyDescent="0.25">
      <c r="A217" s="26"/>
      <c r="B217" s="27"/>
      <c r="C217" s="28"/>
      <c r="D217" s="27"/>
      <c r="E217" s="27"/>
      <c r="F217" s="29"/>
      <c r="G217" s="27"/>
      <c r="H217" s="27"/>
      <c r="I217" s="29"/>
      <c r="J217" s="27"/>
      <c r="K217" s="27"/>
      <c r="L217" s="27"/>
      <c r="M217" s="30"/>
      <c r="N217" s="27"/>
      <c r="O217" s="27"/>
      <c r="P217" s="33"/>
      <c r="Q217" s="27"/>
    </row>
    <row r="218" spans="1:17" x14ac:dyDescent="0.25">
      <c r="A218" s="26"/>
      <c r="B218" s="27"/>
      <c r="C218" s="28"/>
      <c r="D218" s="27"/>
      <c r="E218" s="27"/>
      <c r="F218" s="29"/>
      <c r="G218" s="27"/>
      <c r="H218" s="27"/>
      <c r="I218" s="29"/>
      <c r="J218" s="27"/>
      <c r="K218" s="27"/>
      <c r="L218" s="27"/>
      <c r="M218" s="30"/>
      <c r="N218" s="27"/>
      <c r="O218" s="27"/>
      <c r="P218" s="33"/>
      <c r="Q218" s="27"/>
    </row>
    <row r="219" spans="1:17" x14ac:dyDescent="0.25">
      <c r="A219" s="26"/>
      <c r="B219" s="27"/>
      <c r="C219" s="28"/>
      <c r="D219" s="27"/>
      <c r="E219" s="27"/>
      <c r="F219" s="29"/>
      <c r="G219" s="27"/>
      <c r="H219" s="27"/>
      <c r="I219" s="29"/>
      <c r="J219" s="27"/>
      <c r="K219" s="27"/>
      <c r="L219" s="27"/>
      <c r="M219" s="30"/>
      <c r="N219" s="27"/>
      <c r="O219" s="27"/>
      <c r="P219" s="33"/>
      <c r="Q219" s="27"/>
    </row>
    <row r="220" spans="1:17" x14ac:dyDescent="0.25">
      <c r="A220" s="26"/>
      <c r="B220" s="27"/>
      <c r="C220" s="28"/>
      <c r="D220" s="27"/>
      <c r="E220" s="27"/>
      <c r="F220" s="29"/>
      <c r="G220" s="27"/>
      <c r="H220" s="27"/>
      <c r="I220" s="29"/>
      <c r="J220" s="27"/>
      <c r="K220" s="27"/>
      <c r="L220" s="27"/>
      <c r="M220" s="30"/>
      <c r="N220" s="27"/>
      <c r="O220" s="27"/>
      <c r="P220" s="33"/>
      <c r="Q220" s="27"/>
    </row>
    <row r="221" spans="1:17" x14ac:dyDescent="0.25">
      <c r="A221" s="26"/>
      <c r="B221" s="27"/>
      <c r="C221" s="28"/>
      <c r="D221" s="27"/>
      <c r="E221" s="27"/>
      <c r="F221" s="29"/>
      <c r="G221" s="27"/>
      <c r="H221" s="27"/>
      <c r="I221" s="29"/>
      <c r="J221" s="27"/>
      <c r="K221" s="27"/>
      <c r="L221" s="27"/>
      <c r="M221" s="30"/>
      <c r="N221" s="27"/>
      <c r="O221" s="27"/>
      <c r="P221" s="33"/>
      <c r="Q221" s="27"/>
    </row>
    <row r="222" spans="1:17" x14ac:dyDescent="0.25">
      <c r="A222" s="26"/>
      <c r="B222" s="27"/>
      <c r="C222" s="28"/>
      <c r="D222" s="27"/>
      <c r="E222" s="27"/>
      <c r="F222" s="29"/>
      <c r="G222" s="27"/>
      <c r="H222" s="27"/>
      <c r="I222" s="29"/>
      <c r="J222" s="27"/>
      <c r="K222" s="27"/>
      <c r="L222" s="27"/>
      <c r="M222" s="30"/>
      <c r="N222" s="27"/>
      <c r="O222" s="27"/>
      <c r="P222" s="33"/>
      <c r="Q222" s="27"/>
    </row>
    <row r="223" spans="1:17" x14ac:dyDescent="0.25">
      <c r="A223" s="26"/>
      <c r="B223" s="27"/>
      <c r="C223" s="28"/>
      <c r="D223" s="27"/>
      <c r="E223" s="27"/>
      <c r="F223" s="29"/>
      <c r="G223" s="27"/>
      <c r="H223" s="27"/>
      <c r="I223" s="29"/>
      <c r="J223" s="27"/>
      <c r="K223" s="27"/>
      <c r="L223" s="27"/>
      <c r="M223" s="30"/>
      <c r="N223" s="27"/>
      <c r="O223" s="27"/>
      <c r="P223" s="33"/>
      <c r="Q223" s="27"/>
    </row>
    <row r="224" spans="1:17" x14ac:dyDescent="0.25">
      <c r="A224" s="26"/>
      <c r="B224" s="27"/>
      <c r="C224" s="28"/>
      <c r="D224" s="27"/>
      <c r="E224" s="27"/>
      <c r="F224" s="29"/>
      <c r="G224" s="27"/>
      <c r="H224" s="27"/>
      <c r="I224" s="29"/>
      <c r="J224" s="27"/>
      <c r="K224" s="27"/>
      <c r="L224" s="27"/>
      <c r="M224" s="30"/>
      <c r="N224" s="27"/>
      <c r="O224" s="27"/>
      <c r="P224" s="33"/>
      <c r="Q224" s="27"/>
    </row>
    <row r="225" spans="1:17" x14ac:dyDescent="0.25">
      <c r="A225" s="26"/>
      <c r="B225" s="27"/>
      <c r="C225" s="28"/>
      <c r="D225" s="27"/>
      <c r="E225" s="27"/>
      <c r="F225" s="29"/>
      <c r="G225" s="27"/>
      <c r="H225" s="27"/>
      <c r="I225" s="29"/>
      <c r="J225" s="27"/>
      <c r="K225" s="27"/>
      <c r="L225" s="27"/>
      <c r="M225" s="30"/>
      <c r="N225" s="27"/>
      <c r="O225" s="27"/>
      <c r="P225" s="33"/>
      <c r="Q225" s="27"/>
    </row>
    <row r="226" spans="1:17" x14ac:dyDescent="0.25">
      <c r="A226" s="26"/>
      <c r="B226" s="27"/>
      <c r="C226" s="28"/>
      <c r="D226" s="27"/>
      <c r="E226" s="27"/>
      <c r="F226" s="29"/>
      <c r="G226" s="27"/>
      <c r="H226" s="27"/>
      <c r="I226" s="29"/>
      <c r="J226" s="27"/>
      <c r="K226" s="27"/>
      <c r="L226" s="27"/>
      <c r="M226" s="30"/>
      <c r="N226" s="27"/>
      <c r="O226" s="27"/>
      <c r="P226" s="33"/>
      <c r="Q226" s="27"/>
    </row>
    <row r="227" spans="1:17" x14ac:dyDescent="0.25">
      <c r="A227" s="26"/>
      <c r="B227" s="27"/>
      <c r="C227" s="28"/>
      <c r="D227" s="27"/>
      <c r="E227" s="27"/>
      <c r="F227" s="29"/>
      <c r="G227" s="27"/>
      <c r="H227" s="27"/>
      <c r="I227" s="29"/>
      <c r="J227" s="27"/>
      <c r="K227" s="27"/>
      <c r="L227" s="27"/>
      <c r="M227" s="30"/>
      <c r="N227" s="27"/>
      <c r="O227" s="27"/>
      <c r="P227" s="33"/>
      <c r="Q227" s="27"/>
    </row>
    <row r="228" spans="1:17" x14ac:dyDescent="0.25">
      <c r="A228" s="26"/>
      <c r="B228" s="27"/>
      <c r="C228" s="28"/>
      <c r="D228" s="27"/>
      <c r="E228" s="27"/>
      <c r="F228" s="29"/>
      <c r="G228" s="27"/>
      <c r="H228" s="27"/>
      <c r="I228" s="29"/>
      <c r="J228" s="27"/>
      <c r="K228" s="27"/>
      <c r="L228" s="27"/>
      <c r="M228" s="30"/>
      <c r="N228" s="27"/>
      <c r="O228" s="27"/>
      <c r="P228" s="33"/>
      <c r="Q228" s="27"/>
    </row>
    <row r="229" spans="1:17" x14ac:dyDescent="0.25">
      <c r="A229" s="26"/>
      <c r="B229" s="27"/>
      <c r="C229" s="28"/>
      <c r="D229" s="27"/>
      <c r="E229" s="27"/>
      <c r="F229" s="29"/>
      <c r="G229" s="27"/>
      <c r="H229" s="27"/>
      <c r="I229" s="29"/>
      <c r="J229" s="27"/>
      <c r="K229" s="27"/>
      <c r="L229" s="27"/>
      <c r="M229" s="30"/>
      <c r="N229" s="27"/>
      <c r="O229" s="27"/>
      <c r="P229" s="33"/>
      <c r="Q229" s="27"/>
    </row>
    <row r="230" spans="1:17" x14ac:dyDescent="0.25">
      <c r="A230" s="26"/>
      <c r="B230" s="27"/>
      <c r="C230" s="28"/>
      <c r="D230" s="27"/>
      <c r="E230" s="27"/>
      <c r="F230" s="29"/>
      <c r="G230" s="27"/>
      <c r="H230" s="27"/>
      <c r="I230" s="29"/>
      <c r="J230" s="27"/>
      <c r="K230" s="27"/>
      <c r="L230" s="27"/>
      <c r="M230" s="30"/>
      <c r="N230" s="27"/>
      <c r="O230" s="27"/>
      <c r="P230" s="33"/>
      <c r="Q230" s="27"/>
    </row>
    <row r="231" spans="1:17" x14ac:dyDescent="0.25">
      <c r="A231" s="26"/>
      <c r="B231" s="27"/>
      <c r="C231" s="28"/>
      <c r="D231" s="27"/>
      <c r="E231" s="27"/>
      <c r="F231" s="29"/>
      <c r="G231" s="27"/>
      <c r="H231" s="27"/>
      <c r="I231" s="29"/>
      <c r="J231" s="27"/>
      <c r="K231" s="27"/>
      <c r="L231" s="27"/>
      <c r="M231" s="30"/>
      <c r="N231" s="27"/>
      <c r="O231" s="27"/>
      <c r="P231" s="33"/>
      <c r="Q231" s="27"/>
    </row>
    <row r="232" spans="1:17" x14ac:dyDescent="0.25">
      <c r="A232" s="26"/>
      <c r="B232" s="27"/>
      <c r="C232" s="28"/>
      <c r="D232" s="27"/>
      <c r="E232" s="27"/>
      <c r="F232" s="29"/>
      <c r="G232" s="27"/>
      <c r="H232" s="27"/>
      <c r="I232" s="29"/>
      <c r="J232" s="27"/>
      <c r="K232" s="27"/>
      <c r="L232" s="27"/>
      <c r="M232" s="30"/>
      <c r="N232" s="27"/>
      <c r="O232" s="27"/>
      <c r="P232" s="33"/>
      <c r="Q232" s="27"/>
    </row>
    <row r="233" spans="1:17" x14ac:dyDescent="0.25">
      <c r="A233" s="26"/>
      <c r="B233" s="27"/>
      <c r="C233" s="28"/>
      <c r="D233" s="27"/>
      <c r="E233" s="27"/>
      <c r="F233" s="29"/>
      <c r="G233" s="27"/>
      <c r="H233" s="27"/>
      <c r="I233" s="29"/>
      <c r="J233" s="27"/>
      <c r="K233" s="27"/>
      <c r="L233" s="27"/>
      <c r="M233" s="30"/>
      <c r="N233" s="27"/>
      <c r="O233" s="27"/>
      <c r="P233" s="33"/>
      <c r="Q233" s="27"/>
    </row>
    <row r="234" spans="1:17" x14ac:dyDescent="0.25">
      <c r="A234" s="26"/>
      <c r="B234" s="27"/>
      <c r="C234" s="28"/>
      <c r="D234" s="27"/>
      <c r="E234" s="27"/>
      <c r="F234" s="29"/>
      <c r="G234" s="27"/>
      <c r="H234" s="27"/>
      <c r="I234" s="29"/>
      <c r="J234" s="27"/>
      <c r="K234" s="27"/>
      <c r="L234" s="27"/>
      <c r="M234" s="30"/>
      <c r="N234" s="27"/>
      <c r="O234" s="27"/>
      <c r="P234" s="33"/>
      <c r="Q234" s="27"/>
    </row>
    <row r="235" spans="1:17" x14ac:dyDescent="0.25">
      <c r="A235" s="26"/>
      <c r="B235" s="27"/>
      <c r="C235" s="28"/>
      <c r="D235" s="27"/>
      <c r="E235" s="27"/>
      <c r="F235" s="29"/>
      <c r="G235" s="27"/>
      <c r="H235" s="27"/>
      <c r="I235" s="29"/>
      <c r="J235" s="27"/>
      <c r="K235" s="27"/>
      <c r="L235" s="27"/>
      <c r="M235" s="30"/>
      <c r="N235" s="27"/>
      <c r="O235" s="27"/>
      <c r="P235" s="33"/>
      <c r="Q235" s="27"/>
    </row>
    <row r="236" spans="1:17" x14ac:dyDescent="0.25">
      <c r="A236" s="26"/>
      <c r="B236" s="27"/>
      <c r="C236" s="28"/>
      <c r="D236" s="27"/>
      <c r="E236" s="27"/>
      <c r="F236" s="29"/>
      <c r="G236" s="27"/>
      <c r="H236" s="27"/>
      <c r="I236" s="29"/>
      <c r="J236" s="27"/>
      <c r="K236" s="27"/>
      <c r="L236" s="27"/>
      <c r="M236" s="30"/>
      <c r="N236" s="27"/>
      <c r="O236" s="27"/>
      <c r="P236" s="33"/>
      <c r="Q236" s="27"/>
    </row>
    <row r="237" spans="1:17" x14ac:dyDescent="0.25">
      <c r="A237" s="26"/>
      <c r="B237" s="27"/>
      <c r="C237" s="28"/>
      <c r="D237" s="27"/>
      <c r="E237" s="27"/>
      <c r="F237" s="29"/>
      <c r="G237" s="27"/>
      <c r="H237" s="27"/>
      <c r="I237" s="29"/>
      <c r="J237" s="27"/>
      <c r="K237" s="27"/>
      <c r="L237" s="27"/>
      <c r="M237" s="30"/>
      <c r="N237" s="27"/>
      <c r="O237" s="27"/>
      <c r="P237" s="33"/>
      <c r="Q237" s="27"/>
    </row>
    <row r="238" spans="1:17" x14ac:dyDescent="0.25">
      <c r="A238" s="26"/>
      <c r="B238" s="27"/>
      <c r="C238" s="28"/>
      <c r="D238" s="27"/>
      <c r="E238" s="27"/>
      <c r="F238" s="29"/>
      <c r="G238" s="27"/>
      <c r="H238" s="27"/>
      <c r="I238" s="29"/>
      <c r="J238" s="27"/>
      <c r="K238" s="27"/>
      <c r="L238" s="27"/>
      <c r="M238" s="30"/>
      <c r="N238" s="27"/>
      <c r="O238" s="27"/>
      <c r="P238" s="33"/>
      <c r="Q238" s="27"/>
    </row>
    <row r="239" spans="1:17" x14ac:dyDescent="0.25">
      <c r="A239" s="26"/>
      <c r="B239" s="27"/>
      <c r="C239" s="28"/>
      <c r="D239" s="27"/>
      <c r="E239" s="27"/>
      <c r="F239" s="29"/>
      <c r="G239" s="27"/>
      <c r="H239" s="27"/>
      <c r="I239" s="29"/>
      <c r="J239" s="27"/>
      <c r="K239" s="27"/>
      <c r="L239" s="27"/>
      <c r="M239" s="30"/>
      <c r="N239" s="27"/>
      <c r="O239" s="27"/>
      <c r="P239" s="33"/>
      <c r="Q239" s="27"/>
    </row>
    <row r="240" spans="1:17" x14ac:dyDescent="0.25">
      <c r="A240" s="26"/>
      <c r="B240" s="27"/>
      <c r="C240" s="28"/>
      <c r="D240" s="27"/>
      <c r="E240" s="27"/>
      <c r="F240" s="29"/>
      <c r="G240" s="27"/>
      <c r="H240" s="27"/>
      <c r="I240" s="29"/>
      <c r="J240" s="27"/>
      <c r="K240" s="27"/>
      <c r="L240" s="27"/>
      <c r="M240" s="30"/>
      <c r="N240" s="27"/>
      <c r="O240" s="27"/>
      <c r="P240" s="33"/>
      <c r="Q240" s="27"/>
    </row>
    <row r="241" spans="1:17" x14ac:dyDescent="0.25">
      <c r="A241" s="26"/>
      <c r="B241" s="27"/>
      <c r="C241" s="28"/>
      <c r="D241" s="27"/>
      <c r="E241" s="27"/>
      <c r="F241" s="29"/>
      <c r="G241" s="27"/>
      <c r="H241" s="27"/>
      <c r="I241" s="29"/>
      <c r="J241" s="27"/>
      <c r="K241" s="27"/>
      <c r="L241" s="27"/>
      <c r="M241" s="30"/>
      <c r="N241" s="27"/>
      <c r="O241" s="27"/>
      <c r="P241" s="33"/>
      <c r="Q241" s="27"/>
    </row>
    <row r="242" spans="1:17" x14ac:dyDescent="0.25">
      <c r="A242" s="26"/>
      <c r="B242" s="27"/>
      <c r="C242" s="28"/>
      <c r="D242" s="27"/>
      <c r="E242" s="27"/>
      <c r="F242" s="29"/>
      <c r="G242" s="27"/>
      <c r="H242" s="27"/>
      <c r="I242" s="29"/>
      <c r="J242" s="27"/>
      <c r="K242" s="27"/>
      <c r="L242" s="27"/>
      <c r="M242" s="30"/>
      <c r="N242" s="27"/>
      <c r="O242" s="27"/>
      <c r="P242" s="33"/>
      <c r="Q242" s="27"/>
    </row>
    <row r="243" spans="1:17" x14ac:dyDescent="0.25">
      <c r="A243" s="26"/>
      <c r="B243" s="27"/>
      <c r="C243" s="28"/>
      <c r="D243" s="27"/>
      <c r="E243" s="27"/>
      <c r="F243" s="29"/>
      <c r="G243" s="27"/>
      <c r="H243" s="27"/>
      <c r="I243" s="29"/>
      <c r="J243" s="27"/>
      <c r="K243" s="27"/>
      <c r="L243" s="27"/>
      <c r="M243" s="30"/>
      <c r="N243" s="27"/>
      <c r="O243" s="27"/>
      <c r="P243" s="33"/>
      <c r="Q243" s="27"/>
    </row>
    <row r="244" spans="1:17" x14ac:dyDescent="0.25">
      <c r="A244" s="26"/>
      <c r="B244" s="27"/>
      <c r="C244" s="28"/>
      <c r="D244" s="27"/>
      <c r="E244" s="27"/>
      <c r="F244" s="29"/>
      <c r="G244" s="27"/>
      <c r="H244" s="27"/>
      <c r="I244" s="29"/>
      <c r="J244" s="27"/>
      <c r="K244" s="27"/>
      <c r="L244" s="27"/>
      <c r="M244" s="30"/>
      <c r="N244" s="27"/>
      <c r="O244" s="27"/>
      <c r="P244" s="33"/>
      <c r="Q244" s="27"/>
    </row>
    <row r="245" spans="1:17" x14ac:dyDescent="0.25">
      <c r="A245" s="26"/>
      <c r="B245" s="27"/>
      <c r="C245" s="28"/>
      <c r="D245" s="27"/>
      <c r="E245" s="27"/>
      <c r="F245" s="29"/>
      <c r="G245" s="27"/>
      <c r="H245" s="27"/>
      <c r="I245" s="29"/>
      <c r="J245" s="27"/>
      <c r="K245" s="27"/>
      <c r="L245" s="27"/>
      <c r="M245" s="30"/>
      <c r="N245" s="27"/>
      <c r="O245" s="27"/>
      <c r="P245" s="33"/>
      <c r="Q245" s="27"/>
    </row>
    <row r="246" spans="1:17" x14ac:dyDescent="0.25">
      <c r="A246" s="26"/>
      <c r="B246" s="27"/>
      <c r="C246" s="28"/>
      <c r="D246" s="27"/>
      <c r="E246" s="27"/>
      <c r="F246" s="29"/>
      <c r="G246" s="27"/>
      <c r="H246" s="27"/>
      <c r="I246" s="29"/>
      <c r="J246" s="27"/>
      <c r="K246" s="27"/>
      <c r="L246" s="27"/>
      <c r="M246" s="30"/>
      <c r="N246" s="27"/>
      <c r="O246" s="27"/>
      <c r="P246" s="33"/>
      <c r="Q246" s="27"/>
    </row>
    <row r="247" spans="1:17" x14ac:dyDescent="0.25">
      <c r="A247" s="26"/>
      <c r="B247" s="27"/>
      <c r="C247" s="28"/>
      <c r="D247" s="27"/>
      <c r="E247" s="27"/>
      <c r="F247" s="29"/>
      <c r="G247" s="27"/>
      <c r="H247" s="27"/>
      <c r="I247" s="29"/>
      <c r="J247" s="27"/>
      <c r="K247" s="27"/>
      <c r="L247" s="27"/>
      <c r="M247" s="30"/>
      <c r="N247" s="27"/>
      <c r="O247" s="27"/>
      <c r="P247" s="33"/>
      <c r="Q247" s="27"/>
    </row>
    <row r="248" spans="1:17" x14ac:dyDescent="0.25">
      <c r="A248" s="26"/>
      <c r="B248" s="27"/>
      <c r="C248" s="28"/>
      <c r="D248" s="27"/>
      <c r="E248" s="27"/>
      <c r="F248" s="29"/>
      <c r="G248" s="27"/>
      <c r="H248" s="27"/>
      <c r="I248" s="29"/>
      <c r="J248" s="27"/>
      <c r="K248" s="27"/>
      <c r="L248" s="27"/>
      <c r="M248" s="30"/>
      <c r="N248" s="27"/>
      <c r="O248" s="27"/>
      <c r="P248" s="33"/>
      <c r="Q248" s="27"/>
    </row>
    <row r="249" spans="1:17" x14ac:dyDescent="0.25">
      <c r="A249" s="26"/>
      <c r="B249" s="27"/>
      <c r="C249" s="28"/>
      <c r="D249" s="27"/>
      <c r="E249" s="27"/>
      <c r="F249" s="29"/>
      <c r="G249" s="27"/>
      <c r="H249" s="27"/>
      <c r="I249" s="29"/>
      <c r="J249" s="27"/>
      <c r="K249" s="27"/>
      <c r="L249" s="27"/>
      <c r="M249" s="30"/>
      <c r="N249" s="27"/>
      <c r="O249" s="27"/>
      <c r="P249" s="33"/>
      <c r="Q249" s="27"/>
    </row>
    <row r="250" spans="1:17" x14ac:dyDescent="0.25">
      <c r="A250" s="26"/>
      <c r="B250" s="27"/>
      <c r="C250" s="28"/>
      <c r="D250" s="27"/>
      <c r="E250" s="27"/>
      <c r="F250" s="29"/>
      <c r="G250" s="27"/>
      <c r="H250" s="27"/>
      <c r="I250" s="29"/>
      <c r="J250" s="27"/>
      <c r="K250" s="27"/>
      <c r="L250" s="27"/>
      <c r="M250" s="30"/>
      <c r="N250" s="27"/>
      <c r="O250" s="27"/>
      <c r="P250" s="33"/>
      <c r="Q250" s="27"/>
    </row>
    <row r="251" spans="1:17" x14ac:dyDescent="0.25">
      <c r="A251" s="26"/>
      <c r="B251" s="27"/>
      <c r="C251" s="28"/>
      <c r="D251" s="27"/>
      <c r="E251" s="27"/>
      <c r="F251" s="29"/>
      <c r="G251" s="27"/>
      <c r="H251" s="27"/>
      <c r="I251" s="29"/>
      <c r="J251" s="27"/>
      <c r="K251" s="27"/>
      <c r="L251" s="27"/>
      <c r="M251" s="30"/>
      <c r="N251" s="27"/>
      <c r="O251" s="27"/>
      <c r="P251" s="33"/>
      <c r="Q251" s="27"/>
    </row>
    <row r="252" spans="1:17" x14ac:dyDescent="0.25">
      <c r="A252" s="26"/>
      <c r="B252" s="27"/>
      <c r="C252" s="28"/>
      <c r="D252" s="27"/>
      <c r="E252" s="27"/>
      <c r="F252" s="29"/>
      <c r="G252" s="27"/>
      <c r="H252" s="27"/>
      <c r="I252" s="29"/>
      <c r="J252" s="27"/>
      <c r="K252" s="27"/>
      <c r="L252" s="27"/>
      <c r="M252" s="30"/>
      <c r="N252" s="27"/>
      <c r="O252" s="27"/>
      <c r="P252" s="33"/>
      <c r="Q252" s="27"/>
    </row>
    <row r="253" spans="1:17" x14ac:dyDescent="0.25">
      <c r="A253" s="26"/>
      <c r="B253" s="27"/>
      <c r="C253" s="28"/>
      <c r="D253" s="27"/>
      <c r="E253" s="27"/>
      <c r="F253" s="29"/>
      <c r="G253" s="27"/>
      <c r="H253" s="27"/>
      <c r="I253" s="29"/>
      <c r="J253" s="27"/>
      <c r="K253" s="27"/>
      <c r="L253" s="27"/>
      <c r="M253" s="30"/>
      <c r="N253" s="27"/>
      <c r="O253" s="27"/>
      <c r="P253" s="33"/>
      <c r="Q253" s="27"/>
    </row>
    <row r="254" spans="1:17" x14ac:dyDescent="0.25">
      <c r="A254" s="26"/>
      <c r="B254" s="27"/>
      <c r="C254" s="28"/>
      <c r="D254" s="27"/>
      <c r="E254" s="27"/>
      <c r="F254" s="29"/>
      <c r="G254" s="27"/>
      <c r="H254" s="27"/>
      <c r="I254" s="29"/>
      <c r="J254" s="27"/>
      <c r="K254" s="27"/>
      <c r="L254" s="27"/>
      <c r="M254" s="30"/>
      <c r="N254" s="27"/>
      <c r="O254" s="27"/>
      <c r="P254" s="33"/>
      <c r="Q254" s="27"/>
    </row>
    <row r="255" spans="1:17" x14ac:dyDescent="0.25">
      <c r="A255" s="26"/>
      <c r="B255" s="27"/>
      <c r="C255" s="28"/>
      <c r="D255" s="27"/>
      <c r="E255" s="27"/>
      <c r="F255" s="29"/>
      <c r="G255" s="27"/>
      <c r="H255" s="27"/>
      <c r="I255" s="29"/>
      <c r="J255" s="27"/>
      <c r="K255" s="27"/>
      <c r="L255" s="27"/>
      <c r="M255" s="30"/>
      <c r="N255" s="27"/>
      <c r="O255" s="27"/>
      <c r="P255" s="33"/>
      <c r="Q255" s="27"/>
    </row>
    <row r="256" spans="1:17" x14ac:dyDescent="0.25">
      <c r="A256" s="26"/>
      <c r="B256" s="27"/>
      <c r="C256" s="28"/>
      <c r="D256" s="27"/>
      <c r="E256" s="27"/>
      <c r="F256" s="29"/>
      <c r="G256" s="27"/>
      <c r="H256" s="27"/>
      <c r="I256" s="29"/>
      <c r="J256" s="27"/>
      <c r="K256" s="27"/>
      <c r="L256" s="27"/>
      <c r="M256" s="30"/>
      <c r="N256" s="27"/>
      <c r="O256" s="27"/>
      <c r="P256" s="33"/>
      <c r="Q256" s="27"/>
    </row>
    <row r="257" spans="1:17" x14ac:dyDescent="0.25">
      <c r="A257" s="26"/>
      <c r="B257" s="27"/>
      <c r="C257" s="28"/>
      <c r="D257" s="27"/>
      <c r="E257" s="27"/>
      <c r="F257" s="29"/>
      <c r="G257" s="27"/>
      <c r="H257" s="27"/>
      <c r="I257" s="29"/>
      <c r="J257" s="27"/>
      <c r="K257" s="27"/>
      <c r="L257" s="27"/>
      <c r="M257" s="30"/>
      <c r="N257" s="27"/>
      <c r="O257" s="27"/>
      <c r="P257" s="33"/>
      <c r="Q257" s="27"/>
    </row>
    <row r="258" spans="1:17" x14ac:dyDescent="0.25">
      <c r="A258" s="26"/>
      <c r="B258" s="27"/>
      <c r="C258" s="28"/>
      <c r="D258" s="27"/>
      <c r="E258" s="27"/>
      <c r="F258" s="29"/>
      <c r="G258" s="27"/>
      <c r="H258" s="27"/>
      <c r="I258" s="29"/>
      <c r="J258" s="27"/>
      <c r="K258" s="27"/>
      <c r="L258" s="27"/>
      <c r="M258" s="30"/>
      <c r="N258" s="27"/>
      <c r="O258" s="27"/>
      <c r="P258" s="33"/>
      <c r="Q258" s="27"/>
    </row>
    <row r="259" spans="1:17" x14ac:dyDescent="0.25">
      <c r="A259" s="26"/>
      <c r="B259" s="27"/>
      <c r="C259" s="28"/>
      <c r="D259" s="27"/>
      <c r="E259" s="27"/>
      <c r="F259" s="29"/>
      <c r="G259" s="27"/>
      <c r="H259" s="27"/>
      <c r="I259" s="29"/>
      <c r="J259" s="27"/>
      <c r="K259" s="27"/>
      <c r="L259" s="27"/>
      <c r="M259" s="30"/>
      <c r="N259" s="27"/>
      <c r="O259" s="27"/>
      <c r="P259" s="33"/>
      <c r="Q259" s="27"/>
    </row>
    <row r="260" spans="1:17" x14ac:dyDescent="0.25">
      <c r="A260" s="26"/>
      <c r="B260" s="27"/>
      <c r="C260" s="28"/>
      <c r="D260" s="27"/>
      <c r="E260" s="27"/>
      <c r="F260" s="29"/>
      <c r="G260" s="27"/>
      <c r="H260" s="27"/>
      <c r="I260" s="29"/>
      <c r="J260" s="27"/>
      <c r="K260" s="27"/>
      <c r="L260" s="27"/>
      <c r="M260" s="30"/>
      <c r="N260" s="27"/>
      <c r="O260" s="27"/>
      <c r="P260" s="33"/>
      <c r="Q260" s="27"/>
    </row>
    <row r="261" spans="1:17" x14ac:dyDescent="0.25">
      <c r="A261" s="26"/>
      <c r="B261" s="27"/>
      <c r="C261" s="28"/>
      <c r="D261" s="27"/>
      <c r="E261" s="27"/>
      <c r="F261" s="29"/>
      <c r="G261" s="27"/>
      <c r="H261" s="27"/>
      <c r="I261" s="29"/>
      <c r="J261" s="27"/>
      <c r="K261" s="27"/>
      <c r="L261" s="27"/>
      <c r="M261" s="30"/>
      <c r="N261" s="27"/>
      <c r="O261" s="27"/>
      <c r="P261" s="33"/>
      <c r="Q261" s="27"/>
    </row>
    <row r="262" spans="1:17" x14ac:dyDescent="0.25">
      <c r="A262" s="26"/>
      <c r="B262" s="27"/>
      <c r="C262" s="28"/>
      <c r="D262" s="27"/>
      <c r="E262" s="27"/>
      <c r="F262" s="29"/>
      <c r="G262" s="27"/>
      <c r="H262" s="27"/>
      <c r="I262" s="29"/>
      <c r="J262" s="27"/>
      <c r="K262" s="27"/>
      <c r="L262" s="27"/>
      <c r="M262" s="30"/>
      <c r="N262" s="27"/>
      <c r="O262" s="27"/>
      <c r="P262" s="33"/>
      <c r="Q262" s="27"/>
    </row>
    <row r="263" spans="1:17" x14ac:dyDescent="0.25">
      <c r="A263" s="26"/>
      <c r="B263" s="27"/>
      <c r="C263" s="28"/>
      <c r="D263" s="27"/>
      <c r="E263" s="27"/>
      <c r="F263" s="29"/>
      <c r="G263" s="27"/>
      <c r="H263" s="27"/>
      <c r="I263" s="29"/>
      <c r="J263" s="27"/>
      <c r="K263" s="27"/>
      <c r="L263" s="27"/>
      <c r="M263" s="30"/>
      <c r="N263" s="27"/>
      <c r="O263" s="27"/>
      <c r="P263" s="33"/>
      <c r="Q263" s="27"/>
    </row>
    <row r="264" spans="1:17" x14ac:dyDescent="0.25">
      <c r="A264" s="26"/>
      <c r="B264" s="27"/>
      <c r="C264" s="28"/>
      <c r="D264" s="27"/>
      <c r="E264" s="27"/>
      <c r="F264" s="29"/>
      <c r="G264" s="27"/>
      <c r="H264" s="27"/>
      <c r="I264" s="29"/>
      <c r="J264" s="27"/>
      <c r="K264" s="27"/>
      <c r="L264" s="27"/>
      <c r="M264" s="30"/>
      <c r="N264" s="27"/>
      <c r="O264" s="27"/>
      <c r="P264" s="33"/>
      <c r="Q264" s="27"/>
    </row>
    <row r="265" spans="1:17" x14ac:dyDescent="0.25">
      <c r="A265" s="26"/>
      <c r="B265" s="27"/>
      <c r="C265" s="28"/>
      <c r="D265" s="27"/>
      <c r="E265" s="27"/>
      <c r="F265" s="29"/>
      <c r="G265" s="27"/>
      <c r="H265" s="27"/>
      <c r="I265" s="29"/>
      <c r="J265" s="27"/>
      <c r="K265" s="27"/>
      <c r="L265" s="27"/>
      <c r="M265" s="30"/>
      <c r="N265" s="27"/>
      <c r="O265" s="27"/>
      <c r="P265" s="33"/>
      <c r="Q265" s="27"/>
    </row>
    <row r="266" spans="1:17" x14ac:dyDescent="0.25">
      <c r="A266" s="26"/>
      <c r="B266" s="27"/>
      <c r="C266" s="28"/>
      <c r="D266" s="27"/>
      <c r="E266" s="27"/>
      <c r="F266" s="29"/>
      <c r="G266" s="27"/>
      <c r="H266" s="27"/>
      <c r="I266" s="29"/>
      <c r="J266" s="27"/>
      <c r="K266" s="27"/>
      <c r="L266" s="27"/>
      <c r="M266" s="30"/>
      <c r="N266" s="27"/>
      <c r="O266" s="27"/>
      <c r="P266" s="33"/>
      <c r="Q266" s="27"/>
    </row>
    <row r="267" spans="1:17" x14ac:dyDescent="0.25">
      <c r="A267" s="26"/>
      <c r="B267" s="27"/>
      <c r="C267" s="28"/>
      <c r="D267" s="27"/>
      <c r="E267" s="27"/>
      <c r="F267" s="29"/>
      <c r="G267" s="27"/>
      <c r="H267" s="27"/>
      <c r="I267" s="29"/>
      <c r="J267" s="27"/>
      <c r="K267" s="27"/>
      <c r="L267" s="27"/>
      <c r="M267" s="30"/>
      <c r="N267" s="27"/>
      <c r="O267" s="27"/>
      <c r="P267" s="33"/>
      <c r="Q267" s="27"/>
    </row>
    <row r="268" spans="1:17" x14ac:dyDescent="0.25">
      <c r="A268" s="26"/>
      <c r="B268" s="27"/>
      <c r="C268" s="28"/>
      <c r="D268" s="27"/>
      <c r="E268" s="27"/>
      <c r="F268" s="29"/>
      <c r="G268" s="27"/>
      <c r="H268" s="27"/>
      <c r="I268" s="29"/>
      <c r="J268" s="27"/>
      <c r="K268" s="27"/>
      <c r="L268" s="27"/>
      <c r="M268" s="30"/>
      <c r="N268" s="27"/>
      <c r="O268" s="27"/>
      <c r="P268" s="33"/>
      <c r="Q268" s="27"/>
    </row>
    <row r="269" spans="1:17" x14ac:dyDescent="0.25">
      <c r="A269" s="26"/>
      <c r="B269" s="27"/>
      <c r="C269" s="28"/>
      <c r="D269" s="27"/>
      <c r="E269" s="27"/>
      <c r="F269" s="29"/>
      <c r="G269" s="27"/>
      <c r="H269" s="27"/>
      <c r="I269" s="29"/>
      <c r="J269" s="27"/>
      <c r="K269" s="27"/>
      <c r="L269" s="27"/>
      <c r="M269" s="30"/>
      <c r="N269" s="27"/>
      <c r="O269" s="27"/>
      <c r="P269" s="33"/>
      <c r="Q269" s="27"/>
    </row>
    <row r="270" spans="1:17" x14ac:dyDescent="0.25">
      <c r="A270" s="26"/>
      <c r="B270" s="27"/>
      <c r="C270" s="28"/>
      <c r="D270" s="27"/>
      <c r="E270" s="27"/>
      <c r="F270" s="29"/>
      <c r="G270" s="27"/>
      <c r="H270" s="27"/>
      <c r="I270" s="29"/>
      <c r="J270" s="27"/>
      <c r="K270" s="27"/>
      <c r="L270" s="27"/>
      <c r="M270" s="30"/>
      <c r="N270" s="27"/>
      <c r="O270" s="27"/>
      <c r="P270" s="33"/>
      <c r="Q270" s="27"/>
    </row>
    <row r="271" spans="1:17" x14ac:dyDescent="0.25">
      <c r="A271" s="26"/>
      <c r="B271" s="27"/>
      <c r="C271" s="28"/>
      <c r="D271" s="27"/>
      <c r="E271" s="27"/>
      <c r="F271" s="29"/>
      <c r="G271" s="27"/>
      <c r="H271" s="27"/>
      <c r="I271" s="29"/>
      <c r="J271" s="27"/>
      <c r="K271" s="27"/>
      <c r="L271" s="27"/>
      <c r="M271" s="30"/>
      <c r="N271" s="27"/>
      <c r="O271" s="27"/>
      <c r="P271" s="33"/>
      <c r="Q271" s="27"/>
    </row>
    <row r="272" spans="1:17" x14ac:dyDescent="0.25">
      <c r="A272" s="26"/>
      <c r="B272" s="27"/>
      <c r="C272" s="28"/>
      <c r="D272" s="27"/>
      <c r="E272" s="27"/>
      <c r="F272" s="29"/>
      <c r="G272" s="27"/>
      <c r="H272" s="27"/>
      <c r="I272" s="29"/>
      <c r="J272" s="27"/>
      <c r="K272" s="27"/>
      <c r="L272" s="27"/>
      <c r="M272" s="30"/>
      <c r="N272" s="27"/>
      <c r="O272" s="27"/>
      <c r="P272" s="33"/>
      <c r="Q272" s="27"/>
    </row>
    <row r="273" spans="1:17" x14ac:dyDescent="0.25">
      <c r="A273" s="26"/>
      <c r="B273" s="27"/>
      <c r="C273" s="28"/>
      <c r="D273" s="27"/>
      <c r="E273" s="27"/>
      <c r="F273" s="29"/>
      <c r="G273" s="27"/>
      <c r="H273" s="27"/>
      <c r="I273" s="29"/>
      <c r="J273" s="27"/>
      <c r="K273" s="27"/>
      <c r="L273" s="27"/>
      <c r="M273" s="30"/>
      <c r="N273" s="27"/>
      <c r="O273" s="27"/>
      <c r="P273" s="33"/>
      <c r="Q273" s="27"/>
    </row>
    <row r="274" spans="1:17" x14ac:dyDescent="0.25">
      <c r="A274" s="26"/>
      <c r="B274" s="27"/>
      <c r="C274" s="28"/>
      <c r="D274" s="27"/>
      <c r="E274" s="27"/>
      <c r="F274" s="29"/>
      <c r="G274" s="27"/>
      <c r="H274" s="27"/>
      <c r="I274" s="29"/>
      <c r="J274" s="27"/>
      <c r="K274" s="27"/>
      <c r="L274" s="27"/>
      <c r="M274" s="30"/>
      <c r="N274" s="27"/>
      <c r="O274" s="27"/>
      <c r="P274" s="33"/>
      <c r="Q274" s="27"/>
    </row>
    <row r="275" spans="1:17" x14ac:dyDescent="0.25">
      <c r="A275" s="26"/>
      <c r="B275" s="27"/>
      <c r="C275" s="28"/>
      <c r="D275" s="27"/>
      <c r="E275" s="27"/>
      <c r="F275" s="29"/>
      <c r="G275" s="27"/>
      <c r="H275" s="27"/>
      <c r="I275" s="29"/>
      <c r="J275" s="27"/>
      <c r="K275" s="27"/>
      <c r="L275" s="27"/>
      <c r="M275" s="30"/>
      <c r="N275" s="27"/>
      <c r="O275" s="27"/>
      <c r="P275" s="33"/>
      <c r="Q275" s="27"/>
    </row>
    <row r="276" spans="1:17" x14ac:dyDescent="0.25">
      <c r="A276" s="26"/>
      <c r="B276" s="27"/>
      <c r="C276" s="28"/>
      <c r="D276" s="27"/>
      <c r="E276" s="27"/>
      <c r="F276" s="29"/>
      <c r="G276" s="27"/>
      <c r="H276" s="27"/>
      <c r="I276" s="29"/>
      <c r="J276" s="27"/>
      <c r="K276" s="27"/>
      <c r="L276" s="27"/>
      <c r="M276" s="30"/>
      <c r="N276" s="27"/>
      <c r="O276" s="27"/>
      <c r="P276" s="33"/>
      <c r="Q276" s="27"/>
    </row>
    <row r="277" spans="1:17" x14ac:dyDescent="0.25">
      <c r="A277" s="26"/>
      <c r="B277" s="27"/>
      <c r="C277" s="28"/>
      <c r="D277" s="27"/>
      <c r="E277" s="27"/>
      <c r="F277" s="29"/>
      <c r="G277" s="27"/>
      <c r="H277" s="27"/>
      <c r="I277" s="29"/>
      <c r="J277" s="27"/>
      <c r="K277" s="27"/>
      <c r="L277" s="27"/>
      <c r="M277" s="30"/>
      <c r="N277" s="27"/>
      <c r="O277" s="27"/>
      <c r="P277" s="33"/>
      <c r="Q277" s="27"/>
    </row>
    <row r="278" spans="1:17" x14ac:dyDescent="0.25">
      <c r="A278" s="26"/>
      <c r="B278" s="27"/>
      <c r="C278" s="28"/>
      <c r="D278" s="27"/>
      <c r="E278" s="27"/>
      <c r="F278" s="29"/>
      <c r="G278" s="27"/>
      <c r="H278" s="27"/>
      <c r="I278" s="29"/>
      <c r="J278" s="27"/>
      <c r="K278" s="27"/>
      <c r="L278" s="27"/>
      <c r="M278" s="30"/>
      <c r="N278" s="27"/>
      <c r="O278" s="27"/>
      <c r="P278" s="33"/>
      <c r="Q278" s="27"/>
    </row>
    <row r="279" spans="1:17" x14ac:dyDescent="0.25">
      <c r="A279" s="26"/>
      <c r="B279" s="27"/>
      <c r="C279" s="28"/>
      <c r="D279" s="27"/>
      <c r="E279" s="27"/>
      <c r="F279" s="29"/>
      <c r="G279" s="27"/>
      <c r="H279" s="27"/>
      <c r="I279" s="29"/>
      <c r="J279" s="27"/>
      <c r="K279" s="27"/>
      <c r="L279" s="27"/>
      <c r="M279" s="30"/>
      <c r="N279" s="27"/>
      <c r="O279" s="27"/>
      <c r="P279" s="33"/>
      <c r="Q279" s="27"/>
    </row>
    <row r="280" spans="1:17" x14ac:dyDescent="0.25">
      <c r="A280" s="26"/>
      <c r="B280" s="27"/>
      <c r="C280" s="28"/>
      <c r="D280" s="27"/>
      <c r="E280" s="27"/>
      <c r="F280" s="29"/>
      <c r="G280" s="27"/>
      <c r="H280" s="27"/>
      <c r="I280" s="29"/>
      <c r="J280" s="27"/>
      <c r="K280" s="27"/>
      <c r="L280" s="27"/>
      <c r="M280" s="30"/>
      <c r="N280" s="27"/>
      <c r="O280" s="27"/>
      <c r="P280" s="33"/>
      <c r="Q280" s="27"/>
    </row>
    <row r="281" spans="1:17" x14ac:dyDescent="0.25">
      <c r="A281" s="26"/>
      <c r="B281" s="27"/>
      <c r="C281" s="28"/>
      <c r="D281" s="27"/>
      <c r="E281" s="27"/>
      <c r="F281" s="29"/>
      <c r="G281" s="27"/>
      <c r="H281" s="27"/>
      <c r="I281" s="29"/>
      <c r="J281" s="27"/>
      <c r="K281" s="27"/>
      <c r="L281" s="27"/>
      <c r="M281" s="30"/>
      <c r="N281" s="27"/>
      <c r="O281" s="27"/>
      <c r="P281" s="33"/>
      <c r="Q281" s="27"/>
    </row>
    <row r="282" spans="1:17" x14ac:dyDescent="0.25">
      <c r="A282" s="26"/>
      <c r="B282" s="27"/>
      <c r="C282" s="28"/>
      <c r="D282" s="27"/>
      <c r="E282" s="27"/>
      <c r="F282" s="29"/>
      <c r="G282" s="27"/>
      <c r="H282" s="27"/>
      <c r="I282" s="29"/>
      <c r="J282" s="27"/>
      <c r="K282" s="27"/>
      <c r="L282" s="27"/>
      <c r="M282" s="30"/>
      <c r="N282" s="27"/>
      <c r="O282" s="27"/>
      <c r="P282" s="33"/>
      <c r="Q282" s="27"/>
    </row>
    <row r="283" spans="1:17" x14ac:dyDescent="0.25">
      <c r="A283" s="26"/>
      <c r="B283" s="27"/>
      <c r="C283" s="28"/>
      <c r="D283" s="27"/>
      <c r="E283" s="27"/>
      <c r="F283" s="29"/>
      <c r="G283" s="27"/>
      <c r="H283" s="27"/>
      <c r="I283" s="29"/>
      <c r="J283" s="27"/>
      <c r="K283" s="27"/>
      <c r="L283" s="27"/>
      <c r="M283" s="30"/>
      <c r="N283" s="27"/>
      <c r="O283" s="27"/>
      <c r="P283" s="33"/>
      <c r="Q283" s="27"/>
    </row>
    <row r="284" spans="1:17" x14ac:dyDescent="0.25">
      <c r="A284" s="26"/>
      <c r="B284" s="27"/>
      <c r="C284" s="28"/>
      <c r="D284" s="27"/>
      <c r="E284" s="27"/>
      <c r="F284" s="29"/>
      <c r="G284" s="27"/>
      <c r="H284" s="27"/>
      <c r="I284" s="29"/>
      <c r="J284" s="27"/>
      <c r="K284" s="27"/>
      <c r="L284" s="27"/>
      <c r="M284" s="30"/>
      <c r="N284" s="27"/>
      <c r="O284" s="27"/>
      <c r="P284" s="33"/>
      <c r="Q284" s="27"/>
    </row>
    <row r="285" spans="1:17" x14ac:dyDescent="0.25">
      <c r="A285" s="26"/>
      <c r="B285" s="27"/>
      <c r="C285" s="28"/>
      <c r="D285" s="27"/>
      <c r="E285" s="27"/>
      <c r="F285" s="29"/>
      <c r="G285" s="27"/>
      <c r="H285" s="27"/>
      <c r="I285" s="29"/>
      <c r="J285" s="27"/>
      <c r="K285" s="27"/>
      <c r="L285" s="27"/>
      <c r="M285" s="30"/>
      <c r="N285" s="27"/>
      <c r="O285" s="27"/>
      <c r="P285" s="33"/>
      <c r="Q285" s="27"/>
    </row>
    <row r="286" spans="1:17" x14ac:dyDescent="0.25">
      <c r="A286" s="26"/>
      <c r="B286" s="27"/>
      <c r="C286" s="28"/>
      <c r="D286" s="27"/>
      <c r="E286" s="27"/>
      <c r="F286" s="29"/>
      <c r="G286" s="27"/>
      <c r="H286" s="27"/>
      <c r="I286" s="29"/>
      <c r="J286" s="27"/>
      <c r="K286" s="27"/>
      <c r="L286" s="27"/>
      <c r="M286" s="30"/>
      <c r="N286" s="27"/>
      <c r="O286" s="27"/>
      <c r="P286" s="33"/>
      <c r="Q286" s="27"/>
    </row>
    <row r="287" spans="1:17" x14ac:dyDescent="0.25">
      <c r="A287" s="26"/>
      <c r="B287" s="27"/>
      <c r="C287" s="28"/>
      <c r="D287" s="27"/>
      <c r="E287" s="27"/>
      <c r="F287" s="29"/>
      <c r="G287" s="27"/>
      <c r="H287" s="27"/>
      <c r="I287" s="29"/>
      <c r="J287" s="27"/>
      <c r="K287" s="27"/>
      <c r="L287" s="27"/>
      <c r="M287" s="30"/>
      <c r="N287" s="27"/>
      <c r="O287" s="27"/>
      <c r="P287" s="33"/>
      <c r="Q287" s="27"/>
    </row>
    <row r="288" spans="1:17" x14ac:dyDescent="0.25">
      <c r="A288" s="26"/>
      <c r="B288" s="27"/>
      <c r="C288" s="28"/>
      <c r="D288" s="27"/>
      <c r="E288" s="27"/>
      <c r="F288" s="29"/>
      <c r="G288" s="27"/>
      <c r="H288" s="27"/>
      <c r="I288" s="29"/>
      <c r="J288" s="27"/>
      <c r="K288" s="27"/>
      <c r="L288" s="27"/>
      <c r="M288" s="30"/>
      <c r="N288" s="27"/>
      <c r="O288" s="27"/>
      <c r="P288" s="33"/>
      <c r="Q288" s="27"/>
    </row>
    <row r="289" spans="1:17" x14ac:dyDescent="0.25">
      <c r="A289" s="26"/>
      <c r="B289" s="27"/>
      <c r="C289" s="28"/>
      <c r="D289" s="27"/>
      <c r="E289" s="27"/>
      <c r="F289" s="29"/>
      <c r="G289" s="27"/>
      <c r="H289" s="27"/>
      <c r="I289" s="29"/>
      <c r="J289" s="27"/>
      <c r="K289" s="27"/>
      <c r="L289" s="27"/>
      <c r="M289" s="30"/>
      <c r="N289" s="27"/>
      <c r="O289" s="27"/>
      <c r="P289" s="33"/>
      <c r="Q289" s="27"/>
    </row>
    <row r="290" spans="1:17" x14ac:dyDescent="0.25">
      <c r="A290" s="26"/>
      <c r="B290" s="27"/>
      <c r="C290" s="28"/>
      <c r="D290" s="27"/>
      <c r="E290" s="27"/>
      <c r="F290" s="29"/>
      <c r="G290" s="27"/>
      <c r="H290" s="27"/>
      <c r="I290" s="29"/>
      <c r="J290" s="27"/>
      <c r="K290" s="27"/>
      <c r="L290" s="27"/>
      <c r="M290" s="30"/>
      <c r="N290" s="27"/>
      <c r="O290" s="27"/>
      <c r="P290" s="33"/>
      <c r="Q290" s="27"/>
    </row>
    <row r="291" spans="1:17" x14ac:dyDescent="0.25">
      <c r="A291" s="26"/>
      <c r="B291" s="27"/>
      <c r="C291" s="28"/>
      <c r="D291" s="27"/>
      <c r="E291" s="27"/>
      <c r="F291" s="29"/>
      <c r="G291" s="27"/>
      <c r="H291" s="27"/>
      <c r="I291" s="29"/>
      <c r="J291" s="27"/>
      <c r="K291" s="27"/>
      <c r="L291" s="27"/>
      <c r="M291" s="30"/>
      <c r="N291" s="27"/>
      <c r="O291" s="27"/>
      <c r="P291" s="33"/>
      <c r="Q291" s="27"/>
    </row>
    <row r="292" spans="1:17" x14ac:dyDescent="0.25">
      <c r="A292" s="26"/>
      <c r="B292" s="27"/>
      <c r="C292" s="28"/>
      <c r="D292" s="27"/>
      <c r="E292" s="27"/>
      <c r="F292" s="29"/>
      <c r="G292" s="27"/>
      <c r="H292" s="27"/>
      <c r="I292" s="29"/>
      <c r="J292" s="27"/>
      <c r="K292" s="27"/>
      <c r="L292" s="27"/>
      <c r="M292" s="30"/>
      <c r="N292" s="27"/>
      <c r="O292" s="27"/>
      <c r="P292" s="33"/>
      <c r="Q292" s="27"/>
    </row>
    <row r="293" spans="1:17" x14ac:dyDescent="0.25">
      <c r="A293" s="26"/>
      <c r="B293" s="27"/>
      <c r="C293" s="28"/>
      <c r="D293" s="27"/>
      <c r="E293" s="27"/>
      <c r="F293" s="29"/>
      <c r="G293" s="27"/>
      <c r="H293" s="27"/>
      <c r="I293" s="29"/>
      <c r="J293" s="27"/>
      <c r="K293" s="27"/>
      <c r="L293" s="27"/>
      <c r="M293" s="30"/>
      <c r="N293" s="27"/>
      <c r="O293" s="27"/>
      <c r="P293" s="33"/>
      <c r="Q293" s="27"/>
    </row>
    <row r="294" spans="1:17" x14ac:dyDescent="0.25">
      <c r="A294" s="26"/>
      <c r="B294" s="27"/>
      <c r="C294" s="28"/>
      <c r="D294" s="27"/>
      <c r="E294" s="27"/>
      <c r="F294" s="29"/>
      <c r="G294" s="27"/>
      <c r="H294" s="27"/>
      <c r="I294" s="29"/>
      <c r="J294" s="27"/>
      <c r="K294" s="27"/>
      <c r="L294" s="27"/>
      <c r="M294" s="30"/>
      <c r="N294" s="27"/>
      <c r="O294" s="27"/>
      <c r="P294" s="33"/>
      <c r="Q294" s="27"/>
    </row>
    <row r="295" spans="1:17" x14ac:dyDescent="0.25">
      <c r="A295" s="26"/>
      <c r="B295" s="27"/>
      <c r="C295" s="28"/>
      <c r="D295" s="27"/>
      <c r="E295" s="27"/>
      <c r="F295" s="29"/>
      <c r="G295" s="27"/>
      <c r="H295" s="27"/>
      <c r="I295" s="29"/>
      <c r="J295" s="27"/>
      <c r="K295" s="27"/>
      <c r="L295" s="27"/>
      <c r="M295" s="30"/>
      <c r="N295" s="27"/>
      <c r="O295" s="27"/>
      <c r="P295" s="33"/>
      <c r="Q295" s="27"/>
    </row>
    <row r="296" spans="1:17" x14ac:dyDescent="0.25">
      <c r="A296" s="26"/>
      <c r="B296" s="27"/>
      <c r="C296" s="28"/>
      <c r="D296" s="27"/>
      <c r="E296" s="27"/>
      <c r="F296" s="29"/>
      <c r="G296" s="27"/>
      <c r="H296" s="27"/>
      <c r="I296" s="29"/>
      <c r="J296" s="27"/>
      <c r="K296" s="27"/>
      <c r="L296" s="27"/>
      <c r="M296" s="30"/>
      <c r="N296" s="27"/>
      <c r="O296" s="27"/>
      <c r="P296" s="33"/>
      <c r="Q296" s="27"/>
    </row>
    <row r="297" spans="1:17" x14ac:dyDescent="0.25">
      <c r="A297" s="26"/>
      <c r="B297" s="27"/>
      <c r="C297" s="28"/>
      <c r="D297" s="27"/>
      <c r="E297" s="27"/>
      <c r="F297" s="29"/>
      <c r="G297" s="27"/>
      <c r="H297" s="27"/>
      <c r="I297" s="29"/>
      <c r="J297" s="27"/>
      <c r="K297" s="27"/>
      <c r="L297" s="27"/>
      <c r="M297" s="30"/>
      <c r="N297" s="27"/>
      <c r="O297" s="27"/>
      <c r="P297" s="33"/>
      <c r="Q297" s="27"/>
    </row>
    <row r="298" spans="1:17" x14ac:dyDescent="0.25">
      <c r="A298" s="26"/>
      <c r="B298" s="27"/>
      <c r="C298" s="28"/>
      <c r="D298" s="27"/>
      <c r="E298" s="27"/>
      <c r="F298" s="29"/>
      <c r="G298" s="27"/>
      <c r="H298" s="27"/>
      <c r="I298" s="29"/>
      <c r="J298" s="27"/>
      <c r="K298" s="27"/>
      <c r="L298" s="27"/>
      <c r="M298" s="30"/>
      <c r="N298" s="27"/>
      <c r="O298" s="27"/>
      <c r="P298" s="33"/>
      <c r="Q298" s="27"/>
    </row>
    <row r="299" spans="1:17" x14ac:dyDescent="0.25">
      <c r="A299" s="26"/>
      <c r="B299" s="27"/>
      <c r="C299" s="28"/>
      <c r="D299" s="27"/>
      <c r="E299" s="27"/>
      <c r="F299" s="29"/>
      <c r="G299" s="27"/>
      <c r="H299" s="27"/>
      <c r="I299" s="29"/>
      <c r="J299" s="27"/>
      <c r="K299" s="27"/>
      <c r="L299" s="27"/>
      <c r="M299" s="30"/>
      <c r="N299" s="27"/>
      <c r="O299" s="27"/>
      <c r="P299" s="33"/>
      <c r="Q299" s="27"/>
    </row>
    <row r="300" spans="1:17" x14ac:dyDescent="0.25">
      <c r="A300" s="26"/>
      <c r="B300" s="27"/>
      <c r="C300" s="28"/>
      <c r="D300" s="27"/>
      <c r="E300" s="27"/>
      <c r="F300" s="29"/>
      <c r="G300" s="27"/>
      <c r="H300" s="27"/>
      <c r="I300" s="29"/>
      <c r="J300" s="27"/>
      <c r="K300" s="27"/>
      <c r="L300" s="27"/>
      <c r="M300" s="30"/>
      <c r="N300" s="27"/>
      <c r="O300" s="27"/>
      <c r="P300" s="33"/>
      <c r="Q300" s="27"/>
    </row>
    <row r="301" spans="1:17" x14ac:dyDescent="0.25">
      <c r="A301" s="26"/>
      <c r="B301" s="27"/>
      <c r="C301" s="28"/>
      <c r="D301" s="27"/>
      <c r="E301" s="27"/>
      <c r="F301" s="29"/>
      <c r="G301" s="27"/>
      <c r="H301" s="27"/>
      <c r="I301" s="29"/>
      <c r="J301" s="27"/>
      <c r="K301" s="27"/>
      <c r="L301" s="27"/>
      <c r="M301" s="30"/>
      <c r="N301" s="27"/>
      <c r="O301" s="27"/>
      <c r="P301" s="33"/>
      <c r="Q301" s="27"/>
    </row>
    <row r="302" spans="1:17" x14ac:dyDescent="0.25">
      <c r="A302" s="26"/>
      <c r="B302" s="27"/>
      <c r="C302" s="28"/>
      <c r="D302" s="27"/>
      <c r="E302" s="27"/>
      <c r="F302" s="29"/>
      <c r="G302" s="27"/>
      <c r="H302" s="27"/>
      <c r="I302" s="29"/>
      <c r="J302" s="27"/>
      <c r="K302" s="27"/>
      <c r="L302" s="27"/>
      <c r="M302" s="30"/>
      <c r="N302" s="27"/>
      <c r="O302" s="27"/>
      <c r="P302" s="33"/>
      <c r="Q302" s="27"/>
    </row>
    <row r="303" spans="1:17" x14ac:dyDescent="0.25">
      <c r="A303" s="26"/>
      <c r="B303" s="27"/>
      <c r="C303" s="28"/>
      <c r="D303" s="27"/>
      <c r="E303" s="27"/>
      <c r="F303" s="29"/>
      <c r="G303" s="27"/>
      <c r="H303" s="27"/>
      <c r="I303" s="29"/>
      <c r="J303" s="27"/>
      <c r="K303" s="27"/>
      <c r="L303" s="27"/>
      <c r="M303" s="30"/>
      <c r="N303" s="27"/>
      <c r="O303" s="27"/>
      <c r="P303" s="33"/>
      <c r="Q303" s="27"/>
    </row>
    <row r="304" spans="1:17" x14ac:dyDescent="0.25">
      <c r="A304" s="26"/>
      <c r="B304" s="27"/>
      <c r="C304" s="28"/>
      <c r="D304" s="27"/>
      <c r="E304" s="27"/>
      <c r="F304" s="29"/>
      <c r="G304" s="27"/>
      <c r="H304" s="27"/>
      <c r="I304" s="29"/>
      <c r="J304" s="27"/>
      <c r="K304" s="27"/>
      <c r="L304" s="27"/>
      <c r="M304" s="30"/>
      <c r="N304" s="27"/>
      <c r="O304" s="27"/>
      <c r="P304" s="33"/>
      <c r="Q304" s="27"/>
    </row>
    <row r="305" spans="1:17" x14ac:dyDescent="0.25">
      <c r="A305" s="26"/>
      <c r="B305" s="27"/>
      <c r="C305" s="28"/>
      <c r="D305" s="27"/>
      <c r="E305" s="27"/>
      <c r="F305" s="29"/>
      <c r="G305" s="27"/>
      <c r="H305" s="27"/>
      <c r="I305" s="29"/>
      <c r="J305" s="27"/>
      <c r="K305" s="27"/>
      <c r="L305" s="27"/>
      <c r="M305" s="30"/>
      <c r="N305" s="27"/>
      <c r="O305" s="27"/>
      <c r="P305" s="33"/>
      <c r="Q305" s="27"/>
    </row>
    <row r="306" spans="1:17" x14ac:dyDescent="0.25">
      <c r="A306" s="26"/>
      <c r="B306" s="27"/>
      <c r="C306" s="28"/>
      <c r="D306" s="27"/>
      <c r="E306" s="27"/>
      <c r="F306" s="29"/>
      <c r="G306" s="27"/>
      <c r="H306" s="27"/>
      <c r="I306" s="29"/>
      <c r="J306" s="27"/>
      <c r="K306" s="27"/>
      <c r="L306" s="27"/>
      <c r="M306" s="30"/>
      <c r="N306" s="27"/>
      <c r="O306" s="27"/>
      <c r="P306" s="33"/>
      <c r="Q306" s="27"/>
    </row>
    <row r="307" spans="1:17" x14ac:dyDescent="0.25">
      <c r="A307" s="26"/>
      <c r="B307" s="27"/>
      <c r="C307" s="28"/>
      <c r="D307" s="27"/>
      <c r="E307" s="27"/>
      <c r="F307" s="29"/>
      <c r="G307" s="27"/>
      <c r="H307" s="27"/>
      <c r="I307" s="29"/>
      <c r="J307" s="27"/>
      <c r="K307" s="27"/>
      <c r="L307" s="27"/>
      <c r="M307" s="30"/>
      <c r="N307" s="27"/>
      <c r="O307" s="27"/>
      <c r="P307" s="33"/>
      <c r="Q307" s="27"/>
    </row>
    <row r="308" spans="1:17" x14ac:dyDescent="0.25">
      <c r="A308" s="26"/>
      <c r="B308" s="27"/>
      <c r="C308" s="28"/>
      <c r="D308" s="27"/>
      <c r="E308" s="27"/>
      <c r="F308" s="29"/>
      <c r="G308" s="27"/>
      <c r="H308" s="27"/>
      <c r="I308" s="29"/>
      <c r="J308" s="27"/>
      <c r="K308" s="27"/>
      <c r="L308" s="27"/>
      <c r="M308" s="30"/>
      <c r="N308" s="27"/>
      <c r="O308" s="27"/>
      <c r="P308" s="33"/>
      <c r="Q308" s="27"/>
    </row>
    <row r="309" spans="1:17" x14ac:dyDescent="0.25">
      <c r="A309" s="26"/>
      <c r="B309" s="27"/>
      <c r="C309" s="28"/>
      <c r="D309" s="27"/>
      <c r="E309" s="27"/>
      <c r="F309" s="29"/>
      <c r="G309" s="27"/>
      <c r="H309" s="27"/>
      <c r="I309" s="29"/>
      <c r="J309" s="27"/>
      <c r="K309" s="27"/>
      <c r="L309" s="27"/>
      <c r="M309" s="30"/>
      <c r="N309" s="27"/>
      <c r="O309" s="27"/>
      <c r="P309" s="33"/>
      <c r="Q309" s="27"/>
    </row>
    <row r="310" spans="1:17" x14ac:dyDescent="0.25">
      <c r="A310" s="26"/>
      <c r="B310" s="27"/>
      <c r="C310" s="28"/>
      <c r="D310" s="27"/>
      <c r="E310" s="27"/>
      <c r="F310" s="29"/>
      <c r="G310" s="27"/>
      <c r="H310" s="27"/>
      <c r="I310" s="29"/>
      <c r="J310" s="27"/>
      <c r="K310" s="27"/>
      <c r="L310" s="27"/>
      <c r="M310" s="30"/>
      <c r="N310" s="27"/>
      <c r="O310" s="27"/>
      <c r="P310" s="33"/>
      <c r="Q310" s="27"/>
    </row>
    <row r="311" spans="1:17" x14ac:dyDescent="0.25">
      <c r="A311" s="26"/>
      <c r="B311" s="27"/>
      <c r="C311" s="28"/>
      <c r="D311" s="27"/>
      <c r="E311" s="27"/>
      <c r="F311" s="29"/>
      <c r="G311" s="27"/>
      <c r="H311" s="27"/>
      <c r="I311" s="29"/>
      <c r="J311" s="27"/>
      <c r="K311" s="27"/>
      <c r="L311" s="27"/>
      <c r="M311" s="30"/>
      <c r="N311" s="27"/>
      <c r="O311" s="27"/>
      <c r="P311" s="33"/>
      <c r="Q311" s="27"/>
    </row>
    <row r="312" spans="1:17" x14ac:dyDescent="0.25">
      <c r="A312" s="26"/>
      <c r="B312" s="27"/>
      <c r="C312" s="28"/>
      <c r="D312" s="27"/>
      <c r="E312" s="27"/>
      <c r="F312" s="29"/>
      <c r="G312" s="27"/>
      <c r="H312" s="27"/>
      <c r="I312" s="29"/>
      <c r="J312" s="27"/>
      <c r="K312" s="27"/>
      <c r="L312" s="27"/>
      <c r="M312" s="30"/>
      <c r="N312" s="27"/>
      <c r="O312" s="27"/>
      <c r="P312" s="33"/>
      <c r="Q312" s="27"/>
    </row>
    <row r="313" spans="1:17" x14ac:dyDescent="0.25">
      <c r="A313" s="26"/>
      <c r="B313" s="27"/>
      <c r="C313" s="28"/>
      <c r="D313" s="27"/>
      <c r="E313" s="27"/>
      <c r="F313" s="29"/>
      <c r="G313" s="27"/>
      <c r="H313" s="27"/>
      <c r="I313" s="29"/>
      <c r="J313" s="27"/>
      <c r="K313" s="27"/>
      <c r="L313" s="27"/>
      <c r="M313" s="30"/>
      <c r="N313" s="27"/>
      <c r="O313" s="27"/>
      <c r="P313" s="33"/>
      <c r="Q313" s="27"/>
    </row>
    <row r="314" spans="1:17" x14ac:dyDescent="0.25">
      <c r="A314" s="26"/>
      <c r="B314" s="27"/>
      <c r="C314" s="28"/>
      <c r="D314" s="27"/>
      <c r="E314" s="27"/>
      <c r="F314" s="29"/>
      <c r="G314" s="27"/>
      <c r="H314" s="27"/>
      <c r="I314" s="29"/>
      <c r="J314" s="27"/>
      <c r="K314" s="27"/>
      <c r="L314" s="27"/>
      <c r="M314" s="30"/>
      <c r="N314" s="27"/>
      <c r="O314" s="27"/>
      <c r="P314" s="33"/>
      <c r="Q314" s="27"/>
    </row>
    <row r="315" spans="1:17" x14ac:dyDescent="0.25">
      <c r="A315" s="26"/>
      <c r="B315" s="27"/>
      <c r="C315" s="28"/>
      <c r="D315" s="27"/>
      <c r="E315" s="27"/>
      <c r="F315" s="29"/>
      <c r="G315" s="27"/>
      <c r="H315" s="27"/>
      <c r="I315" s="29"/>
      <c r="J315" s="27"/>
      <c r="K315" s="27"/>
      <c r="L315" s="27"/>
      <c r="M315" s="30"/>
      <c r="N315" s="27"/>
      <c r="O315" s="27"/>
      <c r="P315" s="33"/>
      <c r="Q315" s="27"/>
    </row>
    <row r="316" spans="1:17" x14ac:dyDescent="0.25">
      <c r="A316" s="26"/>
      <c r="B316" s="27"/>
      <c r="C316" s="28"/>
      <c r="D316" s="27"/>
      <c r="E316" s="27"/>
      <c r="F316" s="29"/>
      <c r="G316" s="27"/>
      <c r="H316" s="27"/>
      <c r="I316" s="29"/>
      <c r="J316" s="27"/>
      <c r="K316" s="27"/>
      <c r="L316" s="27"/>
      <c r="M316" s="30"/>
      <c r="N316" s="27"/>
      <c r="O316" s="27"/>
      <c r="P316" s="33"/>
      <c r="Q316" s="27"/>
    </row>
    <row r="317" spans="1:17" x14ac:dyDescent="0.25">
      <c r="A317" s="26"/>
      <c r="B317" s="27"/>
      <c r="C317" s="28"/>
      <c r="D317" s="27"/>
      <c r="E317" s="27"/>
      <c r="F317" s="29"/>
      <c r="G317" s="27"/>
      <c r="H317" s="27"/>
      <c r="I317" s="29"/>
      <c r="J317" s="27"/>
      <c r="K317" s="27"/>
      <c r="L317" s="27"/>
      <c r="M317" s="30"/>
      <c r="N317" s="27"/>
      <c r="O317" s="27"/>
      <c r="P317" s="33"/>
      <c r="Q317" s="27"/>
    </row>
    <row r="318" spans="1:17" x14ac:dyDescent="0.25">
      <c r="A318" s="26"/>
      <c r="B318" s="27"/>
      <c r="C318" s="28"/>
      <c r="D318" s="27"/>
      <c r="E318" s="27"/>
      <c r="F318" s="29"/>
      <c r="G318" s="27"/>
      <c r="H318" s="27"/>
      <c r="I318" s="29"/>
      <c r="J318" s="27"/>
      <c r="K318" s="27"/>
      <c r="L318" s="27"/>
      <c r="M318" s="30"/>
      <c r="N318" s="27"/>
      <c r="O318" s="27"/>
      <c r="P318" s="33"/>
      <c r="Q318" s="27"/>
    </row>
    <row r="319" spans="1:17" x14ac:dyDescent="0.25">
      <c r="A319" s="26"/>
      <c r="B319" s="27"/>
      <c r="C319" s="28"/>
      <c r="D319" s="27"/>
      <c r="E319" s="27"/>
      <c r="F319" s="29"/>
      <c r="G319" s="27"/>
      <c r="H319" s="27"/>
      <c r="I319" s="29"/>
      <c r="J319" s="27"/>
      <c r="K319" s="27"/>
      <c r="L319" s="27"/>
      <c r="M319" s="30"/>
      <c r="N319" s="27"/>
      <c r="O319" s="27"/>
      <c r="P319" s="33"/>
      <c r="Q319" s="27"/>
    </row>
    <row r="320" spans="1:17" x14ac:dyDescent="0.25">
      <c r="A320" s="26"/>
      <c r="B320" s="27"/>
      <c r="C320" s="28"/>
      <c r="D320" s="27"/>
      <c r="E320" s="27"/>
      <c r="F320" s="29"/>
      <c r="G320" s="27"/>
      <c r="H320" s="27"/>
      <c r="I320" s="29"/>
      <c r="J320" s="27"/>
      <c r="K320" s="27"/>
      <c r="L320" s="27"/>
      <c r="M320" s="30"/>
      <c r="N320" s="27"/>
      <c r="O320" s="27"/>
      <c r="P320" s="33"/>
      <c r="Q320" s="27"/>
    </row>
    <row r="321" spans="1:17" x14ac:dyDescent="0.25">
      <c r="A321" s="26"/>
      <c r="B321" s="27"/>
      <c r="C321" s="28"/>
      <c r="D321" s="27"/>
      <c r="E321" s="27"/>
      <c r="F321" s="29"/>
      <c r="G321" s="27"/>
      <c r="H321" s="27"/>
      <c r="I321" s="29"/>
      <c r="J321" s="27"/>
      <c r="K321" s="27"/>
      <c r="L321" s="27"/>
      <c r="M321" s="30"/>
      <c r="N321" s="27"/>
      <c r="O321" s="27"/>
      <c r="P321" s="33"/>
      <c r="Q321" s="27"/>
    </row>
    <row r="322" spans="1:17" x14ac:dyDescent="0.25">
      <c r="A322" s="26"/>
      <c r="B322" s="27"/>
      <c r="C322" s="28"/>
      <c r="D322" s="27"/>
      <c r="E322" s="27"/>
      <c r="F322" s="29"/>
      <c r="G322" s="27"/>
      <c r="H322" s="27"/>
      <c r="I322" s="29"/>
      <c r="J322" s="27"/>
      <c r="K322" s="27"/>
      <c r="L322" s="27"/>
      <c r="M322" s="30"/>
      <c r="N322" s="27"/>
      <c r="O322" s="27"/>
      <c r="P322" s="33"/>
      <c r="Q322" s="27"/>
    </row>
    <row r="323" spans="1:17" x14ac:dyDescent="0.25">
      <c r="A323" s="26"/>
      <c r="B323" s="27"/>
      <c r="C323" s="28"/>
      <c r="D323" s="27"/>
      <c r="E323" s="27"/>
      <c r="F323" s="29"/>
      <c r="G323" s="27"/>
      <c r="H323" s="27"/>
      <c r="I323" s="29"/>
      <c r="J323" s="27"/>
      <c r="K323" s="27"/>
      <c r="L323" s="27"/>
      <c r="M323" s="30"/>
      <c r="N323" s="27"/>
      <c r="O323" s="27"/>
      <c r="P323" s="33"/>
      <c r="Q323" s="27"/>
    </row>
    <row r="324" spans="1:17" x14ac:dyDescent="0.25">
      <c r="A324" s="26"/>
      <c r="B324" s="27"/>
      <c r="C324" s="28"/>
      <c r="D324" s="27"/>
      <c r="E324" s="27"/>
      <c r="F324" s="29"/>
      <c r="G324" s="27"/>
      <c r="H324" s="27"/>
      <c r="I324" s="29"/>
      <c r="J324" s="27"/>
      <c r="K324" s="27"/>
      <c r="L324" s="27"/>
      <c r="M324" s="30"/>
      <c r="N324" s="27"/>
      <c r="O324" s="27"/>
      <c r="P324" s="33"/>
      <c r="Q324" s="27"/>
    </row>
    <row r="325" spans="1:17" x14ac:dyDescent="0.25">
      <c r="A325" s="26"/>
      <c r="B325" s="27"/>
      <c r="C325" s="28"/>
      <c r="D325" s="27"/>
      <c r="E325" s="27"/>
      <c r="F325" s="29"/>
      <c r="G325" s="27"/>
      <c r="H325" s="27"/>
      <c r="I325" s="29"/>
      <c r="J325" s="27"/>
      <c r="K325" s="27"/>
      <c r="L325" s="27"/>
      <c r="M325" s="30"/>
      <c r="N325" s="27"/>
      <c r="O325" s="27"/>
      <c r="P325" s="33"/>
      <c r="Q325" s="27"/>
    </row>
    <row r="326" spans="1:17" x14ac:dyDescent="0.25">
      <c r="A326" s="26"/>
      <c r="B326" s="27"/>
      <c r="C326" s="28"/>
      <c r="D326" s="27"/>
      <c r="E326" s="27"/>
      <c r="F326" s="29"/>
      <c r="G326" s="27"/>
      <c r="H326" s="27"/>
      <c r="I326" s="29"/>
      <c r="J326" s="27"/>
      <c r="K326" s="27"/>
      <c r="L326" s="27"/>
      <c r="M326" s="30"/>
      <c r="N326" s="27"/>
      <c r="O326" s="27"/>
      <c r="P326" s="33"/>
      <c r="Q326" s="27"/>
    </row>
    <row r="327" spans="1:17" x14ac:dyDescent="0.25">
      <c r="A327" s="26"/>
      <c r="B327" s="27"/>
      <c r="C327" s="28"/>
      <c r="D327" s="27"/>
      <c r="E327" s="27"/>
      <c r="F327" s="29"/>
      <c r="G327" s="27"/>
      <c r="H327" s="27"/>
      <c r="I327" s="29"/>
      <c r="J327" s="27"/>
      <c r="K327" s="27"/>
      <c r="L327" s="27"/>
      <c r="M327" s="30"/>
      <c r="N327" s="27"/>
      <c r="O327" s="27"/>
      <c r="P327" s="33"/>
      <c r="Q327" s="27"/>
    </row>
    <row r="328" spans="1:17" x14ac:dyDescent="0.25">
      <c r="A328" s="26"/>
      <c r="B328" s="27"/>
      <c r="C328" s="28"/>
      <c r="D328" s="27"/>
      <c r="E328" s="27"/>
      <c r="F328" s="29"/>
      <c r="G328" s="27"/>
      <c r="H328" s="27"/>
      <c r="I328" s="29"/>
      <c r="J328" s="27"/>
      <c r="K328" s="27"/>
      <c r="L328" s="27"/>
      <c r="M328" s="30"/>
      <c r="N328" s="27"/>
      <c r="O328" s="27"/>
      <c r="P328" s="33"/>
      <c r="Q328" s="27"/>
    </row>
    <row r="329" spans="1:17" x14ac:dyDescent="0.25">
      <c r="A329" s="26"/>
      <c r="B329" s="27"/>
      <c r="C329" s="28"/>
      <c r="D329" s="27"/>
      <c r="E329" s="27"/>
      <c r="F329" s="29"/>
      <c r="G329" s="27"/>
      <c r="H329" s="27"/>
      <c r="I329" s="29"/>
      <c r="J329" s="27"/>
      <c r="K329" s="27"/>
      <c r="L329" s="27"/>
      <c r="M329" s="30"/>
      <c r="N329" s="27"/>
      <c r="O329" s="27"/>
      <c r="P329" s="33"/>
      <c r="Q329" s="27"/>
    </row>
    <row r="330" spans="1:17" x14ac:dyDescent="0.25">
      <c r="A330" s="26"/>
      <c r="B330" s="27"/>
      <c r="C330" s="28"/>
      <c r="D330" s="27"/>
      <c r="E330" s="27"/>
      <c r="F330" s="29"/>
      <c r="G330" s="27"/>
      <c r="H330" s="27"/>
      <c r="I330" s="29"/>
      <c r="J330" s="27"/>
      <c r="K330" s="27"/>
      <c r="L330" s="27"/>
      <c r="M330" s="30"/>
      <c r="N330" s="27"/>
      <c r="O330" s="27"/>
      <c r="P330" s="33"/>
      <c r="Q330" s="27"/>
    </row>
    <row r="331" spans="1:17" x14ac:dyDescent="0.25">
      <c r="A331" s="26"/>
      <c r="B331" s="27"/>
      <c r="C331" s="28"/>
      <c r="D331" s="27"/>
      <c r="E331" s="27"/>
      <c r="F331" s="29"/>
      <c r="G331" s="27"/>
      <c r="H331" s="27"/>
      <c r="I331" s="29"/>
      <c r="J331" s="27"/>
      <c r="K331" s="27"/>
      <c r="L331" s="27"/>
      <c r="M331" s="30"/>
      <c r="N331" s="27"/>
      <c r="O331" s="27"/>
      <c r="P331" s="33"/>
      <c r="Q331" s="27"/>
    </row>
    <row r="332" spans="1:17" x14ac:dyDescent="0.25">
      <c r="A332" s="26"/>
      <c r="B332" s="27"/>
      <c r="C332" s="28"/>
      <c r="D332" s="27"/>
      <c r="E332" s="27"/>
      <c r="F332" s="29"/>
      <c r="G332" s="27"/>
      <c r="H332" s="27"/>
      <c r="I332" s="29"/>
      <c r="J332" s="27"/>
      <c r="K332" s="27"/>
      <c r="L332" s="27"/>
      <c r="M332" s="30"/>
      <c r="N332" s="27"/>
      <c r="O332" s="27"/>
      <c r="P332" s="33"/>
      <c r="Q332" s="27"/>
    </row>
    <row r="333" spans="1:17" x14ac:dyDescent="0.25">
      <c r="A333" s="26"/>
      <c r="B333" s="27"/>
      <c r="C333" s="28"/>
      <c r="D333" s="27"/>
      <c r="E333" s="27"/>
      <c r="F333" s="29"/>
      <c r="G333" s="27"/>
      <c r="H333" s="27"/>
      <c r="I333" s="29"/>
      <c r="J333" s="27"/>
      <c r="K333" s="27"/>
      <c r="L333" s="27"/>
      <c r="M333" s="30"/>
      <c r="N333" s="27"/>
      <c r="O333" s="27"/>
      <c r="P333" s="33"/>
      <c r="Q333" s="27"/>
    </row>
    <row r="334" spans="1:17" x14ac:dyDescent="0.25">
      <c r="A334" s="26"/>
      <c r="B334" s="27"/>
      <c r="C334" s="28"/>
      <c r="D334" s="27"/>
      <c r="E334" s="27"/>
      <c r="F334" s="29"/>
      <c r="G334" s="27"/>
      <c r="H334" s="27"/>
      <c r="I334" s="29"/>
      <c r="J334" s="27"/>
      <c r="K334" s="27"/>
      <c r="L334" s="27"/>
      <c r="M334" s="30"/>
      <c r="N334" s="27"/>
      <c r="O334" s="27"/>
      <c r="P334" s="33"/>
      <c r="Q334" s="27"/>
    </row>
    <row r="335" spans="1:17" x14ac:dyDescent="0.25">
      <c r="A335" s="26"/>
      <c r="B335" s="27"/>
      <c r="C335" s="28"/>
      <c r="D335" s="27"/>
      <c r="E335" s="27"/>
      <c r="F335" s="29"/>
      <c r="G335" s="27"/>
      <c r="H335" s="27"/>
      <c r="I335" s="29"/>
      <c r="J335" s="27"/>
      <c r="K335" s="27"/>
      <c r="L335" s="27"/>
      <c r="M335" s="30"/>
      <c r="N335" s="27"/>
      <c r="O335" s="27"/>
      <c r="P335" s="33"/>
      <c r="Q335" s="27"/>
    </row>
    <row r="336" spans="1:17" x14ac:dyDescent="0.25">
      <c r="A336" s="26"/>
      <c r="B336" s="27"/>
      <c r="C336" s="28"/>
      <c r="D336" s="27"/>
      <c r="E336" s="27"/>
      <c r="F336" s="29"/>
      <c r="G336" s="27"/>
      <c r="H336" s="27"/>
      <c r="I336" s="29"/>
      <c r="J336" s="27"/>
      <c r="K336" s="27"/>
      <c r="L336" s="27"/>
      <c r="M336" s="30"/>
      <c r="N336" s="27"/>
      <c r="O336" s="27"/>
      <c r="P336" s="33"/>
      <c r="Q336" s="27"/>
    </row>
    <row r="337" spans="1:17" x14ac:dyDescent="0.25">
      <c r="A337" s="26"/>
      <c r="B337" s="27"/>
      <c r="C337" s="28"/>
      <c r="D337" s="27"/>
      <c r="E337" s="27"/>
      <c r="F337" s="29"/>
      <c r="G337" s="27"/>
      <c r="H337" s="27"/>
      <c r="I337" s="29"/>
      <c r="J337" s="27"/>
      <c r="K337" s="27"/>
      <c r="L337" s="27"/>
      <c r="M337" s="30"/>
      <c r="N337" s="27"/>
      <c r="O337" s="27"/>
      <c r="P337" s="33"/>
      <c r="Q337" s="27"/>
    </row>
    <row r="338" spans="1:17" x14ac:dyDescent="0.25">
      <c r="A338" s="26"/>
      <c r="B338" s="27"/>
      <c r="C338" s="28"/>
      <c r="D338" s="27"/>
      <c r="E338" s="27"/>
      <c r="F338" s="29"/>
      <c r="G338" s="27"/>
      <c r="H338" s="27"/>
      <c r="I338" s="29"/>
      <c r="J338" s="27"/>
      <c r="K338" s="27"/>
      <c r="L338" s="27"/>
      <c r="M338" s="30"/>
      <c r="N338" s="27"/>
      <c r="O338" s="27"/>
      <c r="P338" s="33"/>
      <c r="Q338" s="27"/>
    </row>
    <row r="339" spans="1:17" x14ac:dyDescent="0.25">
      <c r="A339" s="26"/>
      <c r="B339" s="27"/>
      <c r="C339" s="28"/>
      <c r="D339" s="27"/>
      <c r="E339" s="27"/>
      <c r="F339" s="29"/>
      <c r="G339" s="27"/>
      <c r="H339" s="27"/>
      <c r="I339" s="29"/>
      <c r="J339" s="27"/>
      <c r="K339" s="27"/>
      <c r="L339" s="27"/>
      <c r="M339" s="30"/>
      <c r="N339" s="27"/>
      <c r="O339" s="27"/>
      <c r="P339" s="33"/>
      <c r="Q339" s="27"/>
    </row>
    <row r="340" spans="1:17" x14ac:dyDescent="0.25">
      <c r="A340" s="26"/>
      <c r="B340" s="27"/>
      <c r="C340" s="28"/>
      <c r="D340" s="27"/>
      <c r="E340" s="27"/>
      <c r="F340" s="29"/>
      <c r="G340" s="27"/>
      <c r="H340" s="27"/>
      <c r="I340" s="29"/>
      <c r="J340" s="27"/>
      <c r="K340" s="27"/>
      <c r="L340" s="27"/>
      <c r="M340" s="30"/>
      <c r="N340" s="27"/>
      <c r="O340" s="27"/>
      <c r="P340" s="33"/>
      <c r="Q340" s="27"/>
    </row>
    <row r="341" spans="1:17" x14ac:dyDescent="0.25">
      <c r="A341" s="26"/>
      <c r="B341" s="27"/>
      <c r="C341" s="28"/>
      <c r="D341" s="27"/>
      <c r="E341" s="27"/>
      <c r="F341" s="29"/>
      <c r="G341" s="27"/>
      <c r="H341" s="27"/>
      <c r="I341" s="29"/>
      <c r="J341" s="27"/>
      <c r="K341" s="27"/>
      <c r="L341" s="27"/>
      <c r="M341" s="30"/>
      <c r="N341" s="27"/>
      <c r="O341" s="27"/>
      <c r="P341" s="33"/>
      <c r="Q341" s="27"/>
    </row>
    <row r="342" spans="1:17" x14ac:dyDescent="0.25">
      <c r="A342" s="26"/>
      <c r="B342" s="27"/>
      <c r="C342" s="28"/>
      <c r="D342" s="27"/>
      <c r="E342" s="27"/>
      <c r="F342" s="29"/>
      <c r="G342" s="27"/>
      <c r="H342" s="27"/>
      <c r="I342" s="29"/>
      <c r="J342" s="27"/>
      <c r="K342" s="27"/>
      <c r="L342" s="27"/>
      <c r="M342" s="30"/>
      <c r="N342" s="27"/>
      <c r="O342" s="27"/>
      <c r="P342" s="33"/>
      <c r="Q342" s="27"/>
    </row>
    <row r="343" spans="1:17" x14ac:dyDescent="0.25">
      <c r="A343" s="26"/>
      <c r="B343" s="27"/>
      <c r="C343" s="28"/>
      <c r="D343" s="27"/>
      <c r="E343" s="27"/>
      <c r="F343" s="29"/>
      <c r="G343" s="27"/>
      <c r="H343" s="27"/>
      <c r="I343" s="29"/>
      <c r="J343" s="27"/>
      <c r="K343" s="27"/>
      <c r="L343" s="27"/>
      <c r="M343" s="30"/>
      <c r="N343" s="27"/>
      <c r="O343" s="27"/>
      <c r="P343" s="33"/>
      <c r="Q343" s="27"/>
    </row>
    <row r="344" spans="1:17" x14ac:dyDescent="0.25">
      <c r="A344" s="26"/>
      <c r="B344" s="27"/>
      <c r="C344" s="28"/>
      <c r="D344" s="27"/>
      <c r="E344" s="27"/>
      <c r="F344" s="29"/>
      <c r="G344" s="27"/>
      <c r="H344" s="27"/>
      <c r="I344" s="29"/>
      <c r="J344" s="27"/>
      <c r="K344" s="27"/>
      <c r="L344" s="27"/>
      <c r="M344" s="30"/>
      <c r="N344" s="27"/>
      <c r="O344" s="27"/>
      <c r="P344" s="33"/>
      <c r="Q344" s="27"/>
    </row>
    <row r="345" spans="1:17" x14ac:dyDescent="0.25">
      <c r="A345" s="26"/>
      <c r="B345" s="27"/>
      <c r="C345" s="28"/>
      <c r="D345" s="27"/>
      <c r="E345" s="27"/>
      <c r="F345" s="29"/>
      <c r="G345" s="27"/>
      <c r="H345" s="27"/>
      <c r="I345" s="29"/>
      <c r="J345" s="27"/>
      <c r="K345" s="27"/>
      <c r="L345" s="27"/>
      <c r="M345" s="30"/>
      <c r="N345" s="27"/>
      <c r="O345" s="27"/>
      <c r="P345" s="33"/>
      <c r="Q345" s="27"/>
    </row>
    <row r="346" spans="1:17" x14ac:dyDescent="0.25">
      <c r="A346" s="26"/>
      <c r="B346" s="27"/>
      <c r="C346" s="28"/>
      <c r="D346" s="27"/>
      <c r="E346" s="27"/>
      <c r="F346" s="29"/>
      <c r="G346" s="27"/>
      <c r="H346" s="27"/>
      <c r="I346" s="29"/>
      <c r="J346" s="27"/>
      <c r="K346" s="27"/>
      <c r="L346" s="27"/>
      <c r="M346" s="30"/>
      <c r="N346" s="27"/>
      <c r="O346" s="27"/>
      <c r="P346" s="33"/>
      <c r="Q346" s="27"/>
    </row>
    <row r="347" spans="1:17" x14ac:dyDescent="0.25">
      <c r="A347" s="26"/>
      <c r="B347" s="27"/>
      <c r="C347" s="28"/>
      <c r="D347" s="27"/>
      <c r="E347" s="27"/>
      <c r="F347" s="29"/>
      <c r="G347" s="27"/>
      <c r="H347" s="27"/>
      <c r="I347" s="29"/>
      <c r="J347" s="27"/>
      <c r="K347" s="27"/>
      <c r="L347" s="27"/>
      <c r="M347" s="30"/>
      <c r="N347" s="27"/>
      <c r="O347" s="27"/>
      <c r="P347" s="33"/>
      <c r="Q347" s="27"/>
    </row>
    <row r="348" spans="1:17" x14ac:dyDescent="0.25">
      <c r="A348" s="26"/>
      <c r="B348" s="27"/>
      <c r="C348" s="28"/>
      <c r="D348" s="27"/>
      <c r="E348" s="27"/>
      <c r="F348" s="29"/>
      <c r="G348" s="27"/>
      <c r="H348" s="27"/>
      <c r="I348" s="29"/>
      <c r="J348" s="27"/>
      <c r="K348" s="27"/>
      <c r="L348" s="27"/>
      <c r="M348" s="30"/>
      <c r="N348" s="27"/>
      <c r="O348" s="27"/>
      <c r="P348" s="33"/>
      <c r="Q348" s="27"/>
    </row>
    <row r="349" spans="1:17" x14ac:dyDescent="0.25">
      <c r="A349" s="26"/>
      <c r="B349" s="27"/>
      <c r="C349" s="28"/>
      <c r="D349" s="27"/>
      <c r="E349" s="27"/>
      <c r="F349" s="29"/>
      <c r="G349" s="27"/>
      <c r="H349" s="27"/>
      <c r="I349" s="29"/>
      <c r="J349" s="27"/>
      <c r="K349" s="27"/>
      <c r="L349" s="27"/>
      <c r="M349" s="30"/>
      <c r="N349" s="27"/>
      <c r="O349" s="27"/>
      <c r="P349" s="33"/>
      <c r="Q349" s="27"/>
    </row>
    <row r="350" spans="1:17" x14ac:dyDescent="0.25">
      <c r="A350" s="26"/>
      <c r="B350" s="27"/>
      <c r="C350" s="28"/>
      <c r="D350" s="27"/>
      <c r="E350" s="27"/>
      <c r="F350" s="29"/>
      <c r="G350" s="27"/>
      <c r="H350" s="27"/>
      <c r="I350" s="29"/>
      <c r="J350" s="27"/>
      <c r="K350" s="27"/>
      <c r="L350" s="27"/>
      <c r="M350" s="30"/>
      <c r="N350" s="27"/>
      <c r="O350" s="27"/>
      <c r="P350" s="33"/>
      <c r="Q350" s="27"/>
    </row>
    <row r="351" spans="1:17" x14ac:dyDescent="0.25">
      <c r="A351" s="26"/>
      <c r="B351" s="27"/>
      <c r="C351" s="28"/>
      <c r="D351" s="27"/>
      <c r="E351" s="27"/>
      <c r="F351" s="29"/>
      <c r="G351" s="27"/>
      <c r="H351" s="27"/>
      <c r="I351" s="29"/>
      <c r="J351" s="27"/>
      <c r="K351" s="27"/>
      <c r="L351" s="27"/>
      <c r="M351" s="30"/>
      <c r="N351" s="27"/>
      <c r="O351" s="27"/>
      <c r="P351" s="33"/>
      <c r="Q351" s="27"/>
    </row>
    <row r="352" spans="1:17" x14ac:dyDescent="0.25">
      <c r="A352" s="26"/>
      <c r="B352" s="27"/>
      <c r="C352" s="28"/>
      <c r="D352" s="27"/>
      <c r="E352" s="27"/>
      <c r="F352" s="29"/>
      <c r="G352" s="27"/>
      <c r="H352" s="27"/>
      <c r="I352" s="29"/>
      <c r="J352" s="27"/>
      <c r="K352" s="27"/>
      <c r="L352" s="27"/>
      <c r="M352" s="30"/>
      <c r="N352" s="27"/>
      <c r="O352" s="27"/>
      <c r="P352" s="33"/>
      <c r="Q352" s="27"/>
    </row>
    <row r="353" spans="1:17" x14ac:dyDescent="0.25">
      <c r="A353" s="26"/>
      <c r="B353" s="27"/>
      <c r="C353" s="28"/>
      <c r="D353" s="27"/>
      <c r="E353" s="27"/>
      <c r="F353" s="29"/>
      <c r="G353" s="27"/>
      <c r="H353" s="27"/>
      <c r="I353" s="29"/>
      <c r="J353" s="27"/>
      <c r="K353" s="27"/>
      <c r="L353" s="27"/>
      <c r="M353" s="30"/>
      <c r="N353" s="27"/>
      <c r="O353" s="27"/>
      <c r="P353" s="33"/>
      <c r="Q353" s="27"/>
    </row>
    <row r="354" spans="1:17" x14ac:dyDescent="0.25">
      <c r="A354" s="26"/>
      <c r="B354" s="27"/>
      <c r="C354" s="28"/>
      <c r="D354" s="27"/>
      <c r="E354" s="27"/>
      <c r="F354" s="29"/>
      <c r="G354" s="27"/>
      <c r="H354" s="27"/>
      <c r="I354" s="29"/>
      <c r="J354" s="27"/>
      <c r="K354" s="27"/>
      <c r="L354" s="27"/>
      <c r="M354" s="30"/>
      <c r="N354" s="27"/>
      <c r="O354" s="27"/>
      <c r="P354" s="33"/>
      <c r="Q354" s="27"/>
    </row>
    <row r="355" spans="1:17" x14ac:dyDescent="0.25">
      <c r="A355" s="26"/>
      <c r="B355" s="27"/>
      <c r="C355" s="28"/>
      <c r="D355" s="27"/>
      <c r="E355" s="27"/>
      <c r="F355" s="29"/>
      <c r="G355" s="27"/>
      <c r="H355" s="27"/>
      <c r="I355" s="29"/>
      <c r="J355" s="27"/>
      <c r="K355" s="27"/>
      <c r="L355" s="27"/>
      <c r="M355" s="30"/>
      <c r="N355" s="27"/>
      <c r="O355" s="27"/>
      <c r="P355" s="33"/>
      <c r="Q355" s="27"/>
    </row>
    <row r="356" spans="1:17" x14ac:dyDescent="0.25">
      <c r="A356" s="26"/>
      <c r="B356" s="27"/>
      <c r="C356" s="28"/>
      <c r="D356" s="27"/>
      <c r="E356" s="27"/>
      <c r="F356" s="29"/>
      <c r="G356" s="27"/>
      <c r="H356" s="27"/>
      <c r="I356" s="29"/>
      <c r="J356" s="27"/>
      <c r="K356" s="27"/>
      <c r="L356" s="27"/>
      <c r="M356" s="30"/>
      <c r="N356" s="27"/>
      <c r="O356" s="27"/>
      <c r="P356" s="33"/>
      <c r="Q356" s="27"/>
    </row>
    <row r="357" spans="1:17" x14ac:dyDescent="0.25">
      <c r="A357" s="26"/>
      <c r="B357" s="27"/>
      <c r="C357" s="28"/>
      <c r="D357" s="27"/>
      <c r="E357" s="27"/>
      <c r="F357" s="29"/>
      <c r="G357" s="27"/>
      <c r="H357" s="27"/>
      <c r="I357" s="29"/>
      <c r="J357" s="27"/>
      <c r="K357" s="27"/>
      <c r="L357" s="27"/>
      <c r="M357" s="30"/>
      <c r="N357" s="27"/>
      <c r="O357" s="27"/>
      <c r="P357" s="33"/>
      <c r="Q357" s="27"/>
    </row>
    <row r="358" spans="1:17" x14ac:dyDescent="0.25">
      <c r="A358" s="26"/>
      <c r="B358" s="27"/>
      <c r="C358" s="28"/>
      <c r="D358" s="27"/>
      <c r="E358" s="27"/>
      <c r="F358" s="29"/>
      <c r="G358" s="27"/>
      <c r="H358" s="27"/>
      <c r="I358" s="29"/>
      <c r="J358" s="27"/>
      <c r="K358" s="27"/>
      <c r="L358" s="27"/>
      <c r="M358" s="30"/>
      <c r="N358" s="27"/>
      <c r="O358" s="27"/>
      <c r="P358" s="33"/>
      <c r="Q358" s="27"/>
    </row>
    <row r="359" spans="1:17" x14ac:dyDescent="0.25">
      <c r="A359" s="26"/>
      <c r="B359" s="27"/>
      <c r="C359" s="28"/>
      <c r="D359" s="27"/>
      <c r="E359" s="27"/>
      <c r="F359" s="29"/>
      <c r="G359" s="27"/>
      <c r="H359" s="27"/>
      <c r="I359" s="29"/>
      <c r="J359" s="27"/>
      <c r="K359" s="27"/>
      <c r="L359" s="27"/>
      <c r="M359" s="30"/>
      <c r="N359" s="27"/>
      <c r="O359" s="27"/>
      <c r="P359" s="33"/>
      <c r="Q359" s="27"/>
    </row>
    <row r="360" spans="1:17" x14ac:dyDescent="0.25">
      <c r="A360" s="26"/>
      <c r="B360" s="27"/>
      <c r="C360" s="28"/>
      <c r="D360" s="27"/>
      <c r="E360" s="27"/>
      <c r="F360" s="29"/>
      <c r="G360" s="27"/>
      <c r="H360" s="27"/>
      <c r="I360" s="29"/>
      <c r="J360" s="27"/>
      <c r="K360" s="27"/>
      <c r="L360" s="27"/>
      <c r="M360" s="30"/>
      <c r="N360" s="27"/>
      <c r="O360" s="27"/>
      <c r="P360" s="33"/>
      <c r="Q360" s="27"/>
    </row>
    <row r="361" spans="1:17" x14ac:dyDescent="0.25">
      <c r="A361" s="26"/>
      <c r="B361" s="27"/>
      <c r="C361" s="28"/>
      <c r="D361" s="27"/>
      <c r="E361" s="27"/>
      <c r="F361" s="29"/>
      <c r="G361" s="27"/>
      <c r="H361" s="27"/>
      <c r="I361" s="29"/>
      <c r="J361" s="27"/>
      <c r="K361" s="27"/>
      <c r="L361" s="27"/>
      <c r="M361" s="30"/>
      <c r="N361" s="27"/>
      <c r="O361" s="27"/>
      <c r="P361" s="33"/>
      <c r="Q361" s="27"/>
    </row>
    <row r="362" spans="1:17" x14ac:dyDescent="0.25">
      <c r="A362" s="26"/>
      <c r="B362" s="27"/>
      <c r="C362" s="28"/>
      <c r="D362" s="27"/>
      <c r="E362" s="27"/>
      <c r="F362" s="29"/>
      <c r="G362" s="27"/>
      <c r="H362" s="27"/>
      <c r="I362" s="29"/>
      <c r="J362" s="27"/>
      <c r="K362" s="27"/>
      <c r="L362" s="27"/>
      <c r="M362" s="30"/>
      <c r="N362" s="27"/>
      <c r="O362" s="27"/>
      <c r="P362" s="33"/>
      <c r="Q362" s="27"/>
    </row>
    <row r="363" spans="1:17" x14ac:dyDescent="0.25">
      <c r="A363" s="26"/>
      <c r="B363" s="27"/>
      <c r="C363" s="28"/>
      <c r="D363" s="27"/>
      <c r="E363" s="27"/>
      <c r="F363" s="29"/>
      <c r="G363" s="27"/>
      <c r="H363" s="27"/>
      <c r="I363" s="29"/>
      <c r="J363" s="27"/>
      <c r="K363" s="27"/>
      <c r="L363" s="27"/>
      <c r="M363" s="30"/>
      <c r="N363" s="27"/>
      <c r="O363" s="27"/>
      <c r="P363" s="33"/>
      <c r="Q363" s="27"/>
    </row>
    <row r="364" spans="1:17" x14ac:dyDescent="0.25">
      <c r="A364" s="26"/>
      <c r="B364" s="27"/>
      <c r="C364" s="28"/>
      <c r="D364" s="27"/>
      <c r="E364" s="27"/>
      <c r="F364" s="29"/>
      <c r="G364" s="27"/>
      <c r="H364" s="27"/>
      <c r="I364" s="29"/>
      <c r="J364" s="27"/>
      <c r="K364" s="27"/>
      <c r="L364" s="27"/>
      <c r="M364" s="30"/>
      <c r="N364" s="27"/>
      <c r="O364" s="27"/>
      <c r="P364" s="33"/>
      <c r="Q364" s="27"/>
    </row>
    <row r="365" spans="1:17" x14ac:dyDescent="0.25">
      <c r="A365" s="26"/>
      <c r="B365" s="27"/>
      <c r="C365" s="28"/>
      <c r="D365" s="27"/>
      <c r="E365" s="27"/>
      <c r="F365" s="29"/>
      <c r="G365" s="27"/>
      <c r="H365" s="27"/>
      <c r="I365" s="29"/>
      <c r="J365" s="27"/>
      <c r="K365" s="27"/>
      <c r="L365" s="27"/>
      <c r="M365" s="30"/>
      <c r="N365" s="27"/>
      <c r="O365" s="27"/>
      <c r="P365" s="33"/>
      <c r="Q365" s="27"/>
    </row>
    <row r="366" spans="1:17" x14ac:dyDescent="0.25">
      <c r="A366" s="26"/>
      <c r="B366" s="27"/>
      <c r="C366" s="28"/>
      <c r="D366" s="27"/>
      <c r="E366" s="27"/>
      <c r="F366" s="29"/>
      <c r="G366" s="27"/>
      <c r="H366" s="27"/>
      <c r="I366" s="29"/>
      <c r="J366" s="27"/>
      <c r="K366" s="27"/>
      <c r="L366" s="27"/>
      <c r="M366" s="30"/>
      <c r="N366" s="27"/>
      <c r="O366" s="27"/>
      <c r="P366" s="33"/>
      <c r="Q366" s="27"/>
    </row>
    <row r="367" spans="1:17" x14ac:dyDescent="0.25">
      <c r="A367" s="26"/>
      <c r="B367" s="27"/>
      <c r="C367" s="28"/>
      <c r="D367" s="27"/>
      <c r="E367" s="27"/>
      <c r="F367" s="29"/>
      <c r="G367" s="27"/>
      <c r="H367" s="27"/>
      <c r="I367" s="29"/>
      <c r="J367" s="27"/>
      <c r="K367" s="27"/>
      <c r="L367" s="27"/>
      <c r="M367" s="30"/>
      <c r="N367" s="27"/>
      <c r="O367" s="27"/>
      <c r="P367" s="33"/>
      <c r="Q367" s="27"/>
    </row>
    <row r="368" spans="1:17" x14ac:dyDescent="0.25">
      <c r="A368" s="26"/>
      <c r="B368" s="27"/>
      <c r="C368" s="28"/>
      <c r="D368" s="27"/>
      <c r="E368" s="27"/>
      <c r="F368" s="29"/>
      <c r="G368" s="27"/>
      <c r="H368" s="27"/>
      <c r="I368" s="29"/>
      <c r="J368" s="27"/>
      <c r="K368" s="27"/>
      <c r="L368" s="27"/>
      <c r="M368" s="30"/>
      <c r="N368" s="27"/>
      <c r="O368" s="27"/>
      <c r="P368" s="33"/>
      <c r="Q368" s="27"/>
    </row>
    <row r="369" spans="1:17" x14ac:dyDescent="0.25">
      <c r="A369" s="26"/>
      <c r="B369" s="27"/>
      <c r="C369" s="28"/>
      <c r="D369" s="27"/>
      <c r="E369" s="27"/>
      <c r="F369" s="29"/>
      <c r="G369" s="27"/>
      <c r="H369" s="27"/>
      <c r="I369" s="29"/>
      <c r="J369" s="27"/>
      <c r="K369" s="27"/>
      <c r="L369" s="27"/>
      <c r="M369" s="30"/>
      <c r="N369" s="27"/>
      <c r="O369" s="27"/>
      <c r="P369" s="33"/>
      <c r="Q369" s="27"/>
    </row>
    <row r="370" spans="1:17" x14ac:dyDescent="0.25">
      <c r="A370" s="26"/>
      <c r="B370" s="27"/>
      <c r="C370" s="28"/>
      <c r="D370" s="27"/>
      <c r="E370" s="27"/>
      <c r="F370" s="29"/>
      <c r="G370" s="27"/>
      <c r="H370" s="27"/>
      <c r="I370" s="29"/>
      <c r="J370" s="27"/>
      <c r="K370" s="27"/>
      <c r="L370" s="27"/>
      <c r="M370" s="30"/>
      <c r="N370" s="27"/>
      <c r="O370" s="27"/>
      <c r="P370" s="33"/>
      <c r="Q370" s="27"/>
    </row>
    <row r="371" spans="1:17" x14ac:dyDescent="0.25">
      <c r="A371" s="26"/>
      <c r="B371" s="27"/>
      <c r="C371" s="28"/>
      <c r="D371" s="27"/>
      <c r="E371" s="27"/>
      <c r="F371" s="29"/>
      <c r="G371" s="27"/>
      <c r="H371" s="27"/>
      <c r="I371" s="29"/>
      <c r="J371" s="27"/>
      <c r="K371" s="27"/>
      <c r="L371" s="27"/>
      <c r="M371" s="30"/>
      <c r="N371" s="27"/>
      <c r="O371" s="27"/>
      <c r="P371" s="33"/>
      <c r="Q371" s="27"/>
    </row>
    <row r="372" spans="1:17" x14ac:dyDescent="0.25">
      <c r="A372" s="26"/>
      <c r="B372" s="27"/>
      <c r="C372" s="28"/>
      <c r="D372" s="27"/>
      <c r="E372" s="27"/>
      <c r="F372" s="29"/>
      <c r="G372" s="27"/>
      <c r="H372" s="27"/>
      <c r="I372" s="29"/>
      <c r="J372" s="27"/>
      <c r="K372" s="27"/>
      <c r="L372" s="27"/>
      <c r="M372" s="30"/>
      <c r="N372" s="27"/>
      <c r="O372" s="27"/>
      <c r="P372" s="33"/>
      <c r="Q372" s="27"/>
    </row>
    <row r="373" spans="1:17" x14ac:dyDescent="0.25">
      <c r="A373" s="26"/>
      <c r="B373" s="27"/>
      <c r="C373" s="28"/>
      <c r="D373" s="27"/>
      <c r="E373" s="27"/>
      <c r="F373" s="29"/>
      <c r="G373" s="27"/>
      <c r="H373" s="27"/>
      <c r="I373" s="29"/>
      <c r="J373" s="27"/>
      <c r="K373" s="27"/>
      <c r="L373" s="27"/>
      <c r="M373" s="30"/>
      <c r="N373" s="27"/>
      <c r="O373" s="27"/>
      <c r="P373" s="33"/>
      <c r="Q373" s="27"/>
    </row>
    <row r="374" spans="1:17" x14ac:dyDescent="0.25">
      <c r="A374" s="26"/>
      <c r="B374" s="27"/>
      <c r="C374" s="28"/>
      <c r="D374" s="27"/>
      <c r="E374" s="27"/>
      <c r="F374" s="29"/>
      <c r="G374" s="27"/>
      <c r="H374" s="27"/>
      <c r="I374" s="29"/>
      <c r="J374" s="27"/>
      <c r="K374" s="27"/>
      <c r="L374" s="27"/>
      <c r="M374" s="30"/>
      <c r="N374" s="27"/>
      <c r="O374" s="27"/>
      <c r="P374" s="33"/>
      <c r="Q374" s="27"/>
    </row>
    <row r="375" spans="1:17" x14ac:dyDescent="0.25">
      <c r="A375" s="26"/>
      <c r="B375" s="27"/>
      <c r="C375" s="28"/>
      <c r="D375" s="27"/>
      <c r="E375" s="27"/>
      <c r="F375" s="29"/>
      <c r="G375" s="27"/>
      <c r="H375" s="27"/>
      <c r="I375" s="29"/>
      <c r="J375" s="27"/>
      <c r="K375" s="27"/>
      <c r="L375" s="27"/>
      <c r="M375" s="30"/>
      <c r="N375" s="27"/>
      <c r="O375" s="27"/>
      <c r="P375" s="33"/>
      <c r="Q375" s="27"/>
    </row>
    <row r="376" spans="1:17" x14ac:dyDescent="0.25">
      <c r="A376" s="26"/>
      <c r="B376" s="27"/>
      <c r="C376" s="28"/>
      <c r="D376" s="27"/>
      <c r="E376" s="27"/>
      <c r="F376" s="29"/>
      <c r="G376" s="27"/>
      <c r="H376" s="27"/>
      <c r="I376" s="29"/>
      <c r="J376" s="27"/>
      <c r="K376" s="27"/>
      <c r="L376" s="27"/>
      <c r="M376" s="30"/>
      <c r="N376" s="27"/>
      <c r="O376" s="27"/>
      <c r="P376" s="33"/>
      <c r="Q376" s="27"/>
    </row>
    <row r="377" spans="1:17" x14ac:dyDescent="0.25">
      <c r="A377" s="26"/>
      <c r="B377" s="27"/>
      <c r="C377" s="28"/>
      <c r="D377" s="27"/>
      <c r="E377" s="27"/>
      <c r="F377" s="29"/>
      <c r="G377" s="27"/>
      <c r="H377" s="27"/>
      <c r="I377" s="29"/>
      <c r="J377" s="27"/>
      <c r="K377" s="27"/>
      <c r="L377" s="27"/>
      <c r="M377" s="30"/>
      <c r="N377" s="27"/>
      <c r="O377" s="27"/>
      <c r="P377" s="33"/>
      <c r="Q377" s="27"/>
    </row>
    <row r="378" spans="1:17" x14ac:dyDescent="0.25">
      <c r="A378" s="26"/>
      <c r="B378" s="27"/>
      <c r="C378" s="28"/>
      <c r="D378" s="27"/>
      <c r="E378" s="27"/>
      <c r="F378" s="29"/>
      <c r="G378" s="27"/>
      <c r="H378" s="27"/>
      <c r="I378" s="29"/>
      <c r="J378" s="27"/>
      <c r="K378" s="27"/>
      <c r="L378" s="27"/>
      <c r="M378" s="30"/>
      <c r="N378" s="27"/>
      <c r="O378" s="27"/>
      <c r="P378" s="33"/>
      <c r="Q378" s="27"/>
    </row>
    <row r="379" spans="1:17" x14ac:dyDescent="0.25">
      <c r="A379" s="26"/>
      <c r="B379" s="27"/>
      <c r="C379" s="28"/>
      <c r="D379" s="27"/>
      <c r="E379" s="27"/>
      <c r="F379" s="29"/>
      <c r="G379" s="27"/>
      <c r="H379" s="27"/>
      <c r="I379" s="29"/>
      <c r="J379" s="27"/>
      <c r="K379" s="27"/>
      <c r="L379" s="27"/>
      <c r="M379" s="30"/>
      <c r="N379" s="27"/>
      <c r="O379" s="27"/>
      <c r="P379" s="33"/>
      <c r="Q379" s="27"/>
    </row>
    <row r="380" spans="1:17" x14ac:dyDescent="0.25">
      <c r="A380" s="26"/>
      <c r="B380" s="27"/>
      <c r="C380" s="28"/>
      <c r="D380" s="27"/>
      <c r="E380" s="27"/>
      <c r="F380" s="29"/>
      <c r="G380" s="27"/>
      <c r="H380" s="27"/>
      <c r="I380" s="29"/>
      <c r="J380" s="27"/>
      <c r="K380" s="27"/>
      <c r="L380" s="27"/>
      <c r="M380" s="30"/>
      <c r="N380" s="27"/>
      <c r="O380" s="27"/>
      <c r="P380" s="33"/>
      <c r="Q380" s="27"/>
    </row>
    <row r="381" spans="1:17" x14ac:dyDescent="0.25">
      <c r="A381" s="26"/>
      <c r="B381" s="27"/>
      <c r="C381" s="28"/>
      <c r="D381" s="27"/>
      <c r="E381" s="27"/>
      <c r="F381" s="29"/>
      <c r="G381" s="27"/>
      <c r="H381" s="27"/>
      <c r="I381" s="29"/>
      <c r="J381" s="27"/>
      <c r="K381" s="27"/>
      <c r="L381" s="27"/>
      <c r="M381" s="30"/>
      <c r="N381" s="27"/>
      <c r="O381" s="27"/>
      <c r="P381" s="33"/>
      <c r="Q381" s="27"/>
    </row>
    <row r="382" spans="1:17" x14ac:dyDescent="0.25">
      <c r="A382" s="26"/>
      <c r="B382" s="27"/>
      <c r="C382" s="28"/>
      <c r="D382" s="27"/>
      <c r="E382" s="27"/>
      <c r="F382" s="29"/>
      <c r="G382" s="27"/>
      <c r="H382" s="27"/>
      <c r="I382" s="29"/>
      <c r="J382" s="27"/>
      <c r="K382" s="27"/>
      <c r="L382" s="27"/>
      <c r="M382" s="30"/>
      <c r="N382" s="27"/>
      <c r="O382" s="27"/>
      <c r="P382" s="33"/>
      <c r="Q382" s="27"/>
    </row>
    <row r="383" spans="1:17" x14ac:dyDescent="0.25">
      <c r="A383" s="26"/>
      <c r="B383" s="27"/>
      <c r="C383" s="28"/>
      <c r="D383" s="27"/>
      <c r="E383" s="27"/>
      <c r="F383" s="29"/>
      <c r="G383" s="27"/>
      <c r="H383" s="27"/>
      <c r="I383" s="29"/>
      <c r="J383" s="27"/>
      <c r="K383" s="27"/>
      <c r="L383" s="27"/>
      <c r="M383" s="30"/>
      <c r="N383" s="27"/>
      <c r="O383" s="27"/>
      <c r="P383" s="33"/>
      <c r="Q383" s="27"/>
    </row>
    <row r="384" spans="1:17" x14ac:dyDescent="0.25">
      <c r="A384" s="26"/>
      <c r="B384" s="27"/>
      <c r="C384" s="28"/>
      <c r="D384" s="27"/>
      <c r="E384" s="27"/>
      <c r="F384" s="29"/>
      <c r="G384" s="27"/>
      <c r="H384" s="27"/>
      <c r="I384" s="29"/>
      <c r="J384" s="27"/>
      <c r="K384" s="27"/>
      <c r="L384" s="27"/>
      <c r="M384" s="30"/>
      <c r="N384" s="27"/>
      <c r="O384" s="27"/>
      <c r="P384" s="33"/>
      <c r="Q384" s="27"/>
    </row>
    <row r="385" spans="1:17" x14ac:dyDescent="0.25">
      <c r="A385" s="26"/>
      <c r="B385" s="27"/>
      <c r="C385" s="28"/>
      <c r="D385" s="27"/>
      <c r="E385" s="27"/>
      <c r="F385" s="29"/>
      <c r="G385" s="27"/>
      <c r="H385" s="27"/>
      <c r="I385" s="29"/>
      <c r="J385" s="27"/>
      <c r="K385" s="27"/>
      <c r="L385" s="27"/>
      <c r="M385" s="30"/>
      <c r="N385" s="27"/>
      <c r="O385" s="27"/>
      <c r="P385" s="33"/>
      <c r="Q385" s="27"/>
    </row>
    <row r="386" spans="1:17" x14ac:dyDescent="0.25">
      <c r="A386" s="26"/>
      <c r="B386" s="27"/>
      <c r="C386" s="28"/>
      <c r="D386" s="27"/>
      <c r="E386" s="27"/>
      <c r="F386" s="29"/>
      <c r="G386" s="27"/>
      <c r="H386" s="27"/>
      <c r="I386" s="29"/>
      <c r="J386" s="27"/>
      <c r="K386" s="27"/>
      <c r="L386" s="27"/>
      <c r="M386" s="30"/>
      <c r="N386" s="27"/>
      <c r="O386" s="27"/>
      <c r="P386" s="33"/>
      <c r="Q386" s="27"/>
    </row>
    <row r="387" spans="1:17" x14ac:dyDescent="0.25">
      <c r="A387" s="26"/>
      <c r="B387" s="27"/>
      <c r="C387" s="28"/>
      <c r="D387" s="27"/>
      <c r="E387" s="27"/>
      <c r="F387" s="29"/>
      <c r="G387" s="27"/>
      <c r="H387" s="27"/>
      <c r="I387" s="29"/>
      <c r="J387" s="27"/>
      <c r="K387" s="27"/>
      <c r="L387" s="27"/>
      <c r="M387" s="30"/>
      <c r="N387" s="27"/>
      <c r="O387" s="27"/>
      <c r="P387" s="33"/>
      <c r="Q387" s="27"/>
    </row>
    <row r="388" spans="1:17" x14ac:dyDescent="0.25">
      <c r="A388" s="26"/>
      <c r="B388" s="27"/>
      <c r="C388" s="28"/>
      <c r="D388" s="27"/>
      <c r="E388" s="27"/>
      <c r="F388" s="29"/>
      <c r="G388" s="27"/>
      <c r="H388" s="27"/>
      <c r="I388" s="29"/>
      <c r="J388" s="27"/>
      <c r="K388" s="27"/>
      <c r="L388" s="27"/>
      <c r="M388" s="30"/>
      <c r="N388" s="27"/>
      <c r="O388" s="27"/>
      <c r="P388" s="33"/>
      <c r="Q388" s="27"/>
    </row>
    <row r="389" spans="1:17" x14ac:dyDescent="0.25">
      <c r="A389" s="26"/>
      <c r="B389" s="27"/>
      <c r="C389" s="28"/>
      <c r="D389" s="27"/>
      <c r="E389" s="27"/>
      <c r="F389" s="29"/>
      <c r="G389" s="27"/>
      <c r="H389" s="27"/>
      <c r="I389" s="29"/>
      <c r="J389" s="27"/>
      <c r="K389" s="27"/>
      <c r="L389" s="27"/>
      <c r="M389" s="30"/>
      <c r="N389" s="27"/>
      <c r="O389" s="27"/>
      <c r="P389" s="33"/>
      <c r="Q389" s="27"/>
    </row>
    <row r="390" spans="1:17" x14ac:dyDescent="0.25">
      <c r="A390" s="26"/>
      <c r="B390" s="27"/>
      <c r="C390" s="28"/>
      <c r="D390" s="27"/>
      <c r="E390" s="27"/>
      <c r="F390" s="29"/>
      <c r="G390" s="27"/>
      <c r="H390" s="27"/>
      <c r="I390" s="29"/>
      <c r="J390" s="27"/>
      <c r="K390" s="27"/>
      <c r="L390" s="27"/>
      <c r="M390" s="30"/>
      <c r="N390" s="27"/>
      <c r="O390" s="27"/>
      <c r="P390" s="33"/>
      <c r="Q390" s="27"/>
    </row>
    <row r="391" spans="1:17" x14ac:dyDescent="0.25">
      <c r="A391" s="26"/>
      <c r="B391" s="27"/>
      <c r="C391" s="28"/>
      <c r="D391" s="27"/>
      <c r="E391" s="27"/>
      <c r="F391" s="29"/>
      <c r="G391" s="27"/>
      <c r="H391" s="27"/>
      <c r="I391" s="29"/>
      <c r="J391" s="27"/>
      <c r="K391" s="27"/>
      <c r="L391" s="27"/>
      <c r="M391" s="30"/>
      <c r="N391" s="27"/>
      <c r="O391" s="27"/>
      <c r="P391" s="33"/>
      <c r="Q391" s="27"/>
    </row>
    <row r="392" spans="1:17" x14ac:dyDescent="0.25">
      <c r="A392" s="26"/>
      <c r="B392" s="27"/>
      <c r="C392" s="28"/>
      <c r="D392" s="27"/>
      <c r="E392" s="27"/>
      <c r="F392" s="29"/>
      <c r="G392" s="27"/>
      <c r="H392" s="27"/>
      <c r="I392" s="29"/>
      <c r="J392" s="27"/>
      <c r="K392" s="27"/>
      <c r="L392" s="27"/>
      <c r="M392" s="30"/>
      <c r="N392" s="27"/>
      <c r="O392" s="27"/>
      <c r="P392" s="33"/>
      <c r="Q392" s="27"/>
    </row>
    <row r="393" spans="1:17" x14ac:dyDescent="0.25">
      <c r="A393" s="26"/>
      <c r="B393" s="27"/>
      <c r="C393" s="28"/>
      <c r="D393" s="27"/>
      <c r="E393" s="27"/>
      <c r="F393" s="29"/>
      <c r="G393" s="27"/>
      <c r="H393" s="27"/>
      <c r="I393" s="29"/>
      <c r="J393" s="27"/>
      <c r="K393" s="27"/>
      <c r="L393" s="27"/>
      <c r="M393" s="30"/>
      <c r="N393" s="27"/>
      <c r="O393" s="27"/>
      <c r="P393" s="33"/>
      <c r="Q393" s="27"/>
    </row>
    <row r="394" spans="1:17" x14ac:dyDescent="0.25">
      <c r="A394" s="26"/>
      <c r="B394" s="27"/>
      <c r="C394" s="28"/>
      <c r="D394" s="27"/>
      <c r="E394" s="27"/>
      <c r="F394" s="29"/>
      <c r="G394" s="27"/>
      <c r="H394" s="27"/>
      <c r="I394" s="29"/>
      <c r="J394" s="27"/>
      <c r="K394" s="27"/>
      <c r="L394" s="27"/>
      <c r="M394" s="30"/>
      <c r="N394" s="27"/>
      <c r="O394" s="27"/>
      <c r="P394" s="33"/>
      <c r="Q394" s="27"/>
    </row>
    <row r="395" spans="1:17" x14ac:dyDescent="0.25">
      <c r="A395" s="26"/>
      <c r="B395" s="27"/>
      <c r="C395" s="28"/>
      <c r="D395" s="27"/>
      <c r="E395" s="27"/>
      <c r="F395" s="29"/>
      <c r="G395" s="27"/>
      <c r="H395" s="27"/>
      <c r="I395" s="29"/>
      <c r="J395" s="27"/>
      <c r="K395" s="27"/>
      <c r="L395" s="27"/>
      <c r="M395" s="30"/>
      <c r="N395" s="27"/>
      <c r="O395" s="27"/>
      <c r="P395" s="33"/>
      <c r="Q395" s="27"/>
    </row>
    <row r="396" spans="1:17" x14ac:dyDescent="0.25">
      <c r="A396" s="26"/>
      <c r="B396" s="27"/>
      <c r="C396" s="28"/>
      <c r="D396" s="27"/>
      <c r="E396" s="27"/>
      <c r="F396" s="29"/>
      <c r="G396" s="27"/>
      <c r="H396" s="27"/>
      <c r="I396" s="29"/>
      <c r="J396" s="27"/>
      <c r="K396" s="27"/>
      <c r="L396" s="27"/>
      <c r="M396" s="30"/>
      <c r="N396" s="27"/>
      <c r="O396" s="27"/>
      <c r="P396" s="33"/>
      <c r="Q396" s="27"/>
    </row>
    <row r="397" spans="1:17" x14ac:dyDescent="0.25">
      <c r="A397" s="26"/>
      <c r="B397" s="27"/>
      <c r="C397" s="28"/>
      <c r="D397" s="27"/>
      <c r="E397" s="27"/>
      <c r="F397" s="29"/>
      <c r="G397" s="27"/>
      <c r="H397" s="27"/>
      <c r="I397" s="29"/>
      <c r="J397" s="27"/>
      <c r="K397" s="27"/>
      <c r="L397" s="27"/>
      <c r="M397" s="30"/>
      <c r="N397" s="27"/>
      <c r="O397" s="27"/>
      <c r="P397" s="33"/>
      <c r="Q397" s="27"/>
    </row>
    <row r="398" spans="1:17" x14ac:dyDescent="0.25">
      <c r="A398" s="26"/>
      <c r="B398" s="27"/>
      <c r="C398" s="28"/>
      <c r="D398" s="27"/>
      <c r="E398" s="27"/>
      <c r="F398" s="29"/>
      <c r="G398" s="27"/>
      <c r="H398" s="27"/>
      <c r="I398" s="29"/>
      <c r="J398" s="27"/>
      <c r="K398" s="27"/>
      <c r="L398" s="27"/>
      <c r="M398" s="30"/>
      <c r="N398" s="27"/>
      <c r="O398" s="27"/>
      <c r="P398" s="33"/>
      <c r="Q398" s="27"/>
    </row>
    <row r="399" spans="1:17" x14ac:dyDescent="0.25">
      <c r="A399" s="26"/>
      <c r="B399" s="27"/>
      <c r="C399" s="28"/>
      <c r="D399" s="27"/>
      <c r="E399" s="27"/>
      <c r="F399" s="29"/>
      <c r="G399" s="27"/>
      <c r="H399" s="27"/>
      <c r="I399" s="29"/>
      <c r="J399" s="27"/>
      <c r="K399" s="27"/>
      <c r="L399" s="27"/>
      <c r="M399" s="30"/>
      <c r="N399" s="27"/>
      <c r="O399" s="27"/>
      <c r="P399" s="33"/>
      <c r="Q399" s="27"/>
    </row>
    <row r="400" spans="1:17" x14ac:dyDescent="0.25">
      <c r="A400" s="26"/>
      <c r="B400" s="27"/>
      <c r="C400" s="28"/>
      <c r="D400" s="27"/>
      <c r="E400" s="27"/>
      <c r="F400" s="29"/>
      <c r="G400" s="27"/>
      <c r="H400" s="27"/>
      <c r="I400" s="29"/>
      <c r="J400" s="27"/>
      <c r="K400" s="27"/>
      <c r="L400" s="27"/>
      <c r="M400" s="30"/>
      <c r="N400" s="27"/>
      <c r="O400" s="27"/>
      <c r="P400" s="33"/>
      <c r="Q400" s="27"/>
    </row>
    <row r="401" spans="1:17" x14ac:dyDescent="0.25">
      <c r="A401" s="26"/>
      <c r="B401" s="27"/>
      <c r="C401" s="28"/>
      <c r="D401" s="27"/>
      <c r="E401" s="27"/>
      <c r="F401" s="29"/>
      <c r="G401" s="27"/>
      <c r="H401" s="27"/>
      <c r="I401" s="29"/>
      <c r="J401" s="27"/>
      <c r="K401" s="27"/>
      <c r="L401" s="27"/>
      <c r="M401" s="30"/>
      <c r="N401" s="27"/>
      <c r="O401" s="27"/>
      <c r="P401" s="33"/>
      <c r="Q401" s="27"/>
    </row>
    <row r="402" spans="1:17" x14ac:dyDescent="0.25">
      <c r="A402" s="26"/>
      <c r="B402" s="27"/>
      <c r="C402" s="28"/>
      <c r="D402" s="27"/>
      <c r="E402" s="27"/>
      <c r="F402" s="29"/>
      <c r="G402" s="27"/>
      <c r="H402" s="27"/>
      <c r="I402" s="29"/>
      <c r="J402" s="27"/>
      <c r="K402" s="27"/>
      <c r="L402" s="27"/>
      <c r="M402" s="30"/>
      <c r="N402" s="27"/>
      <c r="O402" s="27"/>
      <c r="P402" s="33"/>
      <c r="Q402" s="27"/>
    </row>
    <row r="403" spans="1:17" x14ac:dyDescent="0.25">
      <c r="A403" s="26"/>
      <c r="B403" s="27"/>
      <c r="C403" s="28"/>
      <c r="D403" s="27"/>
      <c r="E403" s="27"/>
      <c r="F403" s="29"/>
      <c r="G403" s="27"/>
      <c r="H403" s="27"/>
      <c r="I403" s="29"/>
      <c r="J403" s="27"/>
      <c r="K403" s="27"/>
      <c r="L403" s="27"/>
      <c r="M403" s="30"/>
      <c r="N403" s="27"/>
      <c r="O403" s="27"/>
      <c r="P403" s="33"/>
      <c r="Q403" s="27"/>
    </row>
    <row r="404" spans="1:17" x14ac:dyDescent="0.25">
      <c r="A404" s="26"/>
      <c r="B404" s="27"/>
      <c r="C404" s="28"/>
      <c r="D404" s="27"/>
      <c r="E404" s="27"/>
      <c r="F404" s="29"/>
      <c r="G404" s="27"/>
      <c r="H404" s="27"/>
      <c r="I404" s="29"/>
      <c r="J404" s="27"/>
      <c r="K404" s="27"/>
      <c r="L404" s="27"/>
      <c r="M404" s="30"/>
      <c r="N404" s="27"/>
      <c r="O404" s="27"/>
      <c r="P404" s="33"/>
      <c r="Q404" s="27"/>
    </row>
    <row r="405" spans="1:17" x14ac:dyDescent="0.25">
      <c r="A405" s="26"/>
      <c r="B405" s="27"/>
      <c r="C405" s="28"/>
      <c r="D405" s="27"/>
      <c r="E405" s="27"/>
      <c r="F405" s="29"/>
      <c r="G405" s="27"/>
      <c r="H405" s="27"/>
      <c r="I405" s="29"/>
      <c r="J405" s="27"/>
      <c r="K405" s="27"/>
      <c r="L405" s="27"/>
      <c r="M405" s="30"/>
      <c r="N405" s="27"/>
      <c r="O405" s="27"/>
      <c r="P405" s="33"/>
      <c r="Q405" s="27"/>
    </row>
    <row r="406" spans="1:17" x14ac:dyDescent="0.25">
      <c r="A406" s="26"/>
      <c r="B406" s="27"/>
      <c r="C406" s="28"/>
      <c r="D406" s="27"/>
      <c r="E406" s="27"/>
      <c r="F406" s="29"/>
      <c r="G406" s="27"/>
      <c r="H406" s="27"/>
      <c r="I406" s="29"/>
      <c r="J406" s="27"/>
      <c r="K406" s="27"/>
      <c r="L406" s="27"/>
      <c r="M406" s="30"/>
      <c r="N406" s="27"/>
      <c r="O406" s="27"/>
      <c r="P406" s="33"/>
      <c r="Q406" s="27"/>
    </row>
    <row r="407" spans="1:17" x14ac:dyDescent="0.25">
      <c r="A407" s="26"/>
      <c r="B407" s="27"/>
      <c r="C407" s="28"/>
      <c r="D407" s="27"/>
      <c r="E407" s="27"/>
      <c r="F407" s="29"/>
      <c r="G407" s="27"/>
      <c r="H407" s="27"/>
      <c r="I407" s="29"/>
      <c r="J407" s="27"/>
      <c r="K407" s="27"/>
      <c r="L407" s="27"/>
      <c r="M407" s="30"/>
      <c r="N407" s="27"/>
      <c r="O407" s="27"/>
      <c r="P407" s="33"/>
      <c r="Q407" s="27"/>
    </row>
    <row r="408" spans="1:17" x14ac:dyDescent="0.25">
      <c r="A408" s="26"/>
      <c r="B408" s="27"/>
      <c r="C408" s="28"/>
      <c r="D408" s="27"/>
      <c r="E408" s="27"/>
      <c r="F408" s="29"/>
      <c r="G408" s="27"/>
      <c r="H408" s="27"/>
      <c r="I408" s="29"/>
      <c r="J408" s="27"/>
      <c r="K408" s="27"/>
      <c r="L408" s="27"/>
      <c r="M408" s="30"/>
      <c r="N408" s="27"/>
      <c r="O408" s="27"/>
      <c r="P408" s="33"/>
      <c r="Q408" s="27"/>
    </row>
    <row r="409" spans="1:17" x14ac:dyDescent="0.25">
      <c r="A409" s="26"/>
      <c r="B409" s="27"/>
      <c r="C409" s="28"/>
      <c r="D409" s="27"/>
      <c r="E409" s="27"/>
      <c r="F409" s="29"/>
      <c r="G409" s="27"/>
      <c r="H409" s="27"/>
      <c r="I409" s="29"/>
      <c r="J409" s="27"/>
      <c r="K409" s="27"/>
      <c r="L409" s="27"/>
      <c r="M409" s="30"/>
      <c r="N409" s="27"/>
      <c r="O409" s="27"/>
      <c r="P409" s="33"/>
      <c r="Q409" s="27"/>
    </row>
    <row r="410" spans="1:17" x14ac:dyDescent="0.25">
      <c r="A410" s="26"/>
      <c r="B410" s="27"/>
      <c r="C410" s="28"/>
      <c r="D410" s="27"/>
      <c r="E410" s="27"/>
      <c r="F410" s="29"/>
      <c r="G410" s="27"/>
      <c r="H410" s="27"/>
      <c r="I410" s="29"/>
      <c r="J410" s="27"/>
      <c r="K410" s="27"/>
      <c r="L410" s="27"/>
      <c r="M410" s="30"/>
      <c r="N410" s="27"/>
      <c r="O410" s="27"/>
      <c r="P410" s="33"/>
      <c r="Q410" s="27"/>
    </row>
    <row r="411" spans="1:17" x14ac:dyDescent="0.25">
      <c r="A411" s="26"/>
      <c r="B411" s="27"/>
      <c r="C411" s="28"/>
      <c r="D411" s="27"/>
      <c r="E411" s="27"/>
      <c r="F411" s="29"/>
      <c r="G411" s="27"/>
      <c r="H411" s="27"/>
      <c r="I411" s="29"/>
      <c r="J411" s="27"/>
      <c r="K411" s="27"/>
      <c r="L411" s="27"/>
      <c r="M411" s="30"/>
      <c r="N411" s="27"/>
      <c r="O411" s="27"/>
      <c r="P411" s="33"/>
      <c r="Q411" s="27"/>
    </row>
    <row r="412" spans="1:17" x14ac:dyDescent="0.25">
      <c r="A412" s="26"/>
      <c r="B412" s="27"/>
      <c r="C412" s="28"/>
      <c r="D412" s="27"/>
      <c r="E412" s="27"/>
      <c r="F412" s="29"/>
      <c r="G412" s="27"/>
      <c r="H412" s="27"/>
      <c r="I412" s="29"/>
      <c r="J412" s="27"/>
      <c r="K412" s="27"/>
      <c r="L412" s="27"/>
      <c r="M412" s="30"/>
      <c r="N412" s="27"/>
      <c r="O412" s="27"/>
      <c r="P412" s="33"/>
      <c r="Q412" s="27"/>
    </row>
    <row r="413" spans="1:17" x14ac:dyDescent="0.25">
      <c r="A413" s="26"/>
      <c r="B413" s="27"/>
      <c r="C413" s="28"/>
      <c r="D413" s="27"/>
      <c r="E413" s="27"/>
      <c r="F413" s="29"/>
      <c r="G413" s="27"/>
      <c r="H413" s="27"/>
      <c r="I413" s="29"/>
      <c r="J413" s="27"/>
      <c r="K413" s="27"/>
      <c r="L413" s="27"/>
      <c r="M413" s="30"/>
      <c r="N413" s="27"/>
      <c r="O413" s="27"/>
      <c r="P413" s="33"/>
      <c r="Q413" s="27"/>
    </row>
    <row r="414" spans="1:17" x14ac:dyDescent="0.25">
      <c r="A414" s="26"/>
      <c r="B414" s="27"/>
      <c r="C414" s="28"/>
      <c r="D414" s="27"/>
      <c r="E414" s="27"/>
      <c r="F414" s="29"/>
      <c r="G414" s="27"/>
      <c r="H414" s="27"/>
      <c r="I414" s="29"/>
      <c r="J414" s="27"/>
      <c r="K414" s="27"/>
      <c r="L414" s="27"/>
      <c r="M414" s="30"/>
      <c r="N414" s="27"/>
      <c r="O414" s="27"/>
      <c r="P414" s="33"/>
      <c r="Q414" s="27"/>
    </row>
    <row r="415" spans="1:17" x14ac:dyDescent="0.25">
      <c r="A415" s="26"/>
      <c r="B415" s="27"/>
      <c r="C415" s="28"/>
      <c r="D415" s="27"/>
      <c r="E415" s="27"/>
      <c r="F415" s="29"/>
      <c r="G415" s="27"/>
      <c r="H415" s="27"/>
      <c r="I415" s="29"/>
      <c r="J415" s="27"/>
      <c r="K415" s="27"/>
      <c r="L415" s="27"/>
      <c r="M415" s="30"/>
      <c r="N415" s="27"/>
      <c r="O415" s="27"/>
      <c r="P415" s="33"/>
      <c r="Q415" s="27"/>
    </row>
    <row r="416" spans="1:17" x14ac:dyDescent="0.25">
      <c r="A416" s="26"/>
      <c r="B416" s="27"/>
      <c r="C416" s="28"/>
      <c r="D416" s="27"/>
      <c r="E416" s="27"/>
      <c r="F416" s="29"/>
      <c r="G416" s="27"/>
      <c r="H416" s="27"/>
      <c r="I416" s="29"/>
      <c r="J416" s="27"/>
      <c r="K416" s="27"/>
      <c r="L416" s="27"/>
      <c r="M416" s="30"/>
      <c r="N416" s="27"/>
      <c r="O416" s="27"/>
      <c r="P416" s="33"/>
      <c r="Q416" s="27"/>
    </row>
    <row r="417" spans="1:17" x14ac:dyDescent="0.25">
      <c r="A417" s="26"/>
      <c r="B417" s="27"/>
      <c r="C417" s="28"/>
      <c r="D417" s="27"/>
      <c r="E417" s="27"/>
      <c r="F417" s="29"/>
      <c r="G417" s="27"/>
      <c r="H417" s="27"/>
      <c r="I417" s="29"/>
      <c r="J417" s="27"/>
      <c r="K417" s="27"/>
      <c r="L417" s="27"/>
      <c r="M417" s="30"/>
      <c r="N417" s="27"/>
      <c r="O417" s="27"/>
      <c r="P417" s="33"/>
      <c r="Q417" s="27"/>
    </row>
    <row r="418" spans="1:17" x14ac:dyDescent="0.25">
      <c r="A418" s="26"/>
      <c r="B418" s="27"/>
      <c r="C418" s="28"/>
      <c r="D418" s="27"/>
      <c r="E418" s="27"/>
      <c r="F418" s="29"/>
      <c r="G418" s="27"/>
      <c r="H418" s="27"/>
      <c r="I418" s="29"/>
      <c r="J418" s="27"/>
      <c r="K418" s="27"/>
      <c r="L418" s="27"/>
      <c r="M418" s="30"/>
      <c r="N418" s="27"/>
      <c r="O418" s="27"/>
      <c r="P418" s="33"/>
      <c r="Q418" s="27"/>
    </row>
    <row r="419" spans="1:17" x14ac:dyDescent="0.25">
      <c r="A419" s="26"/>
      <c r="B419" s="27"/>
      <c r="C419" s="28"/>
      <c r="D419" s="27"/>
      <c r="E419" s="27"/>
      <c r="F419" s="29"/>
      <c r="G419" s="27"/>
      <c r="H419" s="27"/>
      <c r="I419" s="29"/>
      <c r="J419" s="27"/>
      <c r="K419" s="27"/>
      <c r="L419" s="27"/>
      <c r="M419" s="30"/>
      <c r="N419" s="27"/>
      <c r="O419" s="27"/>
      <c r="P419" s="33"/>
      <c r="Q419" s="27"/>
    </row>
    <row r="420" spans="1:17" x14ac:dyDescent="0.25">
      <c r="A420" s="26"/>
      <c r="B420" s="27"/>
      <c r="C420" s="28"/>
      <c r="D420" s="27"/>
      <c r="E420" s="27"/>
      <c r="F420" s="29"/>
      <c r="G420" s="27"/>
      <c r="H420" s="27"/>
      <c r="I420" s="29"/>
      <c r="J420" s="27"/>
      <c r="K420" s="27"/>
      <c r="L420" s="27"/>
      <c r="M420" s="30"/>
      <c r="N420" s="27"/>
      <c r="O420" s="27"/>
      <c r="P420" s="33"/>
      <c r="Q420" s="27"/>
    </row>
    <row r="421" spans="1:17" x14ac:dyDescent="0.25">
      <c r="A421" s="26"/>
      <c r="B421" s="27"/>
      <c r="C421" s="28"/>
      <c r="D421" s="27"/>
      <c r="E421" s="27"/>
      <c r="F421" s="29"/>
      <c r="G421" s="27"/>
      <c r="H421" s="27"/>
      <c r="I421" s="29"/>
      <c r="J421" s="27"/>
      <c r="K421" s="27"/>
      <c r="L421" s="27"/>
      <c r="M421" s="30"/>
      <c r="N421" s="27"/>
      <c r="O421" s="27"/>
      <c r="P421" s="33"/>
      <c r="Q421" s="27"/>
    </row>
    <row r="422" spans="1:17" x14ac:dyDescent="0.25">
      <c r="A422" s="26"/>
      <c r="B422" s="27"/>
      <c r="C422" s="28"/>
      <c r="D422" s="27"/>
      <c r="E422" s="27"/>
      <c r="F422" s="29"/>
      <c r="G422" s="27"/>
      <c r="H422" s="27"/>
      <c r="I422" s="29"/>
      <c r="J422" s="27"/>
      <c r="K422" s="27"/>
      <c r="L422" s="27"/>
      <c r="M422" s="30"/>
      <c r="N422" s="27"/>
      <c r="O422" s="27"/>
      <c r="P422" s="33"/>
      <c r="Q422" s="27"/>
    </row>
    <row r="423" spans="1:17" x14ac:dyDescent="0.25">
      <c r="A423" s="26"/>
      <c r="B423" s="27"/>
      <c r="C423" s="28"/>
      <c r="D423" s="27"/>
      <c r="E423" s="27"/>
      <c r="F423" s="29"/>
      <c r="G423" s="27"/>
      <c r="H423" s="27"/>
      <c r="I423" s="29"/>
      <c r="J423" s="27"/>
      <c r="K423" s="27"/>
      <c r="L423" s="27"/>
      <c r="M423" s="30"/>
      <c r="N423" s="27"/>
      <c r="O423" s="27"/>
      <c r="P423" s="33"/>
      <c r="Q423" s="27"/>
    </row>
    <row r="424" spans="1:17" x14ac:dyDescent="0.25">
      <c r="A424" s="26"/>
      <c r="B424" s="27"/>
      <c r="C424" s="28"/>
      <c r="D424" s="27"/>
      <c r="E424" s="27"/>
      <c r="F424" s="29"/>
      <c r="G424" s="27"/>
      <c r="H424" s="27"/>
      <c r="I424" s="29"/>
      <c r="J424" s="27"/>
      <c r="K424" s="27"/>
      <c r="L424" s="27"/>
      <c r="M424" s="30"/>
      <c r="N424" s="27"/>
      <c r="O424" s="27"/>
      <c r="P424" s="33"/>
      <c r="Q424" s="27"/>
    </row>
    <row r="425" spans="1:17" x14ac:dyDescent="0.25">
      <c r="A425" s="26"/>
      <c r="B425" s="27"/>
      <c r="C425" s="28"/>
      <c r="D425" s="27"/>
      <c r="E425" s="27"/>
      <c r="F425" s="29"/>
      <c r="G425" s="27"/>
      <c r="H425" s="27"/>
      <c r="I425" s="29"/>
      <c r="J425" s="27"/>
      <c r="K425" s="27"/>
      <c r="L425" s="27"/>
      <c r="M425" s="30"/>
      <c r="N425" s="27"/>
      <c r="O425" s="27"/>
      <c r="P425" s="33"/>
      <c r="Q425" s="27"/>
    </row>
    <row r="426" spans="1:17" x14ac:dyDescent="0.25">
      <c r="A426" s="26"/>
      <c r="B426" s="27"/>
      <c r="C426" s="28"/>
      <c r="D426" s="27"/>
      <c r="E426" s="27"/>
      <c r="F426" s="29"/>
      <c r="G426" s="27"/>
      <c r="H426" s="27"/>
      <c r="I426" s="29"/>
      <c r="J426" s="27"/>
      <c r="K426" s="27"/>
      <c r="L426" s="27"/>
      <c r="M426" s="30"/>
      <c r="N426" s="27"/>
      <c r="O426" s="27"/>
      <c r="P426" s="33"/>
      <c r="Q426" s="27"/>
    </row>
    <row r="427" spans="1:17" x14ac:dyDescent="0.25">
      <c r="A427" s="26"/>
      <c r="B427" s="27"/>
      <c r="C427" s="28"/>
      <c r="D427" s="27"/>
      <c r="E427" s="27"/>
      <c r="F427" s="29"/>
      <c r="G427" s="27"/>
      <c r="H427" s="27"/>
      <c r="I427" s="29"/>
      <c r="J427" s="27"/>
      <c r="K427" s="27"/>
      <c r="L427" s="27"/>
      <c r="M427" s="30"/>
      <c r="N427" s="27"/>
      <c r="O427" s="27"/>
      <c r="P427" s="33"/>
      <c r="Q427" s="27"/>
    </row>
    <row r="428" spans="1:17" x14ac:dyDescent="0.25">
      <c r="A428" s="26"/>
      <c r="B428" s="27"/>
      <c r="C428" s="28"/>
      <c r="D428" s="27"/>
      <c r="E428" s="27"/>
      <c r="F428" s="29"/>
      <c r="G428" s="27"/>
      <c r="H428" s="27"/>
      <c r="I428" s="29"/>
      <c r="J428" s="27"/>
      <c r="K428" s="27"/>
      <c r="L428" s="27"/>
      <c r="M428" s="30"/>
      <c r="N428" s="27"/>
      <c r="O428" s="27"/>
      <c r="P428" s="33"/>
      <c r="Q428" s="27"/>
    </row>
    <row r="429" spans="1:17" x14ac:dyDescent="0.25">
      <c r="A429" s="26"/>
      <c r="B429" s="27"/>
      <c r="C429" s="28"/>
      <c r="D429" s="27"/>
      <c r="E429" s="27"/>
      <c r="F429" s="29"/>
      <c r="G429" s="27"/>
      <c r="H429" s="27"/>
      <c r="I429" s="29"/>
      <c r="J429" s="27"/>
      <c r="K429" s="27"/>
      <c r="L429" s="27"/>
      <c r="M429" s="30"/>
      <c r="N429" s="27"/>
      <c r="O429" s="27"/>
      <c r="P429" s="33"/>
      <c r="Q429" s="27"/>
    </row>
    <row r="430" spans="1:17" x14ac:dyDescent="0.25">
      <c r="A430" s="26"/>
      <c r="B430" s="27"/>
      <c r="C430" s="28"/>
      <c r="D430" s="27"/>
      <c r="E430" s="27"/>
      <c r="F430" s="29"/>
      <c r="G430" s="27"/>
      <c r="H430" s="27"/>
      <c r="I430" s="29"/>
      <c r="J430" s="27"/>
      <c r="K430" s="27"/>
      <c r="L430" s="27"/>
      <c r="M430" s="30"/>
      <c r="N430" s="27"/>
      <c r="O430" s="27"/>
      <c r="P430" s="33"/>
      <c r="Q430" s="27"/>
    </row>
    <row r="431" spans="1:17" x14ac:dyDescent="0.25">
      <c r="A431" s="26"/>
      <c r="B431" s="27"/>
      <c r="C431" s="28"/>
      <c r="D431" s="27"/>
      <c r="E431" s="27"/>
      <c r="F431" s="29"/>
      <c r="G431" s="27"/>
      <c r="H431" s="27"/>
      <c r="I431" s="29"/>
      <c r="J431" s="27"/>
      <c r="K431" s="27"/>
      <c r="L431" s="27"/>
      <c r="M431" s="30"/>
      <c r="N431" s="27"/>
      <c r="O431" s="27"/>
      <c r="P431" s="33"/>
      <c r="Q431" s="27"/>
    </row>
    <row r="432" spans="1:17" x14ac:dyDescent="0.25">
      <c r="A432" s="26"/>
      <c r="B432" s="27"/>
      <c r="C432" s="28"/>
      <c r="D432" s="27"/>
      <c r="E432" s="27"/>
      <c r="F432" s="29"/>
      <c r="G432" s="27"/>
      <c r="H432" s="27"/>
      <c r="I432" s="29"/>
      <c r="J432" s="27"/>
      <c r="K432" s="27"/>
      <c r="L432" s="27"/>
      <c r="M432" s="30"/>
      <c r="N432" s="27"/>
      <c r="O432" s="27"/>
      <c r="P432" s="33"/>
      <c r="Q432" s="27"/>
    </row>
    <row r="433" spans="1:17" x14ac:dyDescent="0.25">
      <c r="A433" s="26"/>
      <c r="B433" s="27"/>
      <c r="C433" s="28"/>
      <c r="D433" s="27"/>
      <c r="E433" s="27"/>
      <c r="F433" s="29"/>
      <c r="G433" s="27"/>
      <c r="H433" s="27"/>
      <c r="I433" s="29"/>
      <c r="J433" s="27"/>
      <c r="K433" s="27"/>
      <c r="L433" s="27"/>
      <c r="M433" s="30"/>
      <c r="N433" s="27"/>
      <c r="O433" s="27"/>
      <c r="P433" s="33"/>
      <c r="Q433" s="27"/>
    </row>
    <row r="434" spans="1:17" x14ac:dyDescent="0.25">
      <c r="A434" s="26"/>
      <c r="B434" s="27"/>
      <c r="C434" s="28"/>
      <c r="D434" s="27"/>
      <c r="E434" s="27"/>
      <c r="F434" s="29"/>
      <c r="G434" s="27"/>
      <c r="H434" s="27"/>
      <c r="I434" s="29"/>
      <c r="J434" s="27"/>
      <c r="K434" s="27"/>
      <c r="L434" s="27"/>
      <c r="M434" s="30"/>
      <c r="N434" s="27"/>
      <c r="O434" s="27"/>
      <c r="P434" s="33"/>
      <c r="Q434" s="27"/>
    </row>
    <row r="435" spans="1:17" x14ac:dyDescent="0.25">
      <c r="A435" s="26"/>
      <c r="B435" s="27"/>
      <c r="C435" s="28"/>
      <c r="D435" s="27"/>
      <c r="E435" s="27"/>
      <c r="F435" s="29"/>
      <c r="G435" s="27"/>
      <c r="H435" s="27"/>
      <c r="I435" s="29"/>
      <c r="J435" s="27"/>
      <c r="K435" s="27"/>
      <c r="L435" s="27"/>
      <c r="M435" s="30"/>
      <c r="N435" s="27"/>
      <c r="O435" s="27"/>
      <c r="P435" s="33"/>
      <c r="Q435" s="27"/>
    </row>
    <row r="436" spans="1:17" x14ac:dyDescent="0.25">
      <c r="A436" s="26"/>
      <c r="B436" s="27"/>
      <c r="C436" s="28"/>
      <c r="D436" s="27"/>
      <c r="E436" s="27"/>
      <c r="F436" s="29"/>
      <c r="G436" s="27"/>
      <c r="H436" s="27"/>
      <c r="I436" s="29"/>
      <c r="J436" s="27"/>
      <c r="K436" s="27"/>
      <c r="L436" s="27"/>
      <c r="M436" s="30"/>
      <c r="N436" s="27"/>
      <c r="O436" s="27"/>
      <c r="P436" s="33"/>
      <c r="Q436" s="27"/>
    </row>
    <row r="437" spans="1:17" x14ac:dyDescent="0.25">
      <c r="A437" s="26"/>
      <c r="B437" s="27"/>
      <c r="C437" s="28"/>
      <c r="D437" s="27"/>
      <c r="E437" s="27"/>
      <c r="F437" s="29"/>
      <c r="G437" s="27"/>
      <c r="H437" s="27"/>
      <c r="I437" s="29"/>
      <c r="J437" s="27"/>
      <c r="K437" s="27"/>
      <c r="L437" s="27"/>
      <c r="M437" s="30"/>
      <c r="N437" s="27"/>
      <c r="O437" s="27"/>
      <c r="P437" s="33"/>
      <c r="Q437" s="27"/>
    </row>
    <row r="438" spans="1:17" x14ac:dyDescent="0.25">
      <c r="A438" s="26"/>
      <c r="B438" s="27"/>
      <c r="C438" s="28"/>
      <c r="D438" s="27"/>
      <c r="E438" s="27"/>
      <c r="F438" s="29"/>
      <c r="G438" s="27"/>
      <c r="H438" s="27"/>
      <c r="I438" s="29"/>
      <c r="J438" s="27"/>
      <c r="K438" s="27"/>
      <c r="L438" s="27"/>
      <c r="M438" s="30"/>
      <c r="N438" s="27"/>
      <c r="O438" s="27"/>
      <c r="P438" s="33"/>
      <c r="Q438" s="27"/>
    </row>
    <row r="439" spans="1:17" x14ac:dyDescent="0.25">
      <c r="A439" s="26"/>
      <c r="B439" s="27"/>
      <c r="C439" s="28"/>
      <c r="D439" s="27"/>
      <c r="E439" s="27"/>
      <c r="F439" s="29"/>
      <c r="G439" s="27"/>
      <c r="H439" s="27"/>
      <c r="I439" s="29"/>
      <c r="J439" s="27"/>
      <c r="K439" s="27"/>
      <c r="L439" s="27"/>
      <c r="M439" s="30"/>
      <c r="N439" s="27"/>
      <c r="O439" s="27"/>
      <c r="P439" s="33"/>
      <c r="Q439" s="27"/>
    </row>
    <row r="440" spans="1:17" x14ac:dyDescent="0.25">
      <c r="A440" s="26"/>
      <c r="B440" s="27"/>
      <c r="C440" s="28"/>
      <c r="D440" s="27"/>
      <c r="E440" s="27"/>
      <c r="F440" s="29"/>
      <c r="G440" s="27"/>
      <c r="H440" s="27"/>
      <c r="I440" s="29"/>
      <c r="J440" s="27"/>
      <c r="K440" s="27"/>
      <c r="L440" s="27"/>
      <c r="M440" s="30"/>
      <c r="N440" s="27"/>
      <c r="O440" s="27"/>
      <c r="P440" s="33"/>
      <c r="Q440" s="27"/>
    </row>
    <row r="441" spans="1:17" x14ac:dyDescent="0.25">
      <c r="A441" s="26"/>
      <c r="B441" s="27"/>
      <c r="C441" s="28"/>
      <c r="D441" s="27"/>
      <c r="E441" s="27"/>
      <c r="F441" s="29"/>
      <c r="G441" s="27"/>
      <c r="H441" s="27"/>
      <c r="I441" s="29"/>
      <c r="J441" s="27"/>
      <c r="K441" s="27"/>
      <c r="L441" s="27"/>
      <c r="M441" s="30"/>
      <c r="N441" s="27"/>
      <c r="O441" s="27"/>
      <c r="P441" s="33"/>
      <c r="Q441" s="27"/>
    </row>
    <row r="442" spans="1:17" x14ac:dyDescent="0.25">
      <c r="A442" s="26"/>
      <c r="B442" s="27"/>
      <c r="C442" s="28"/>
      <c r="D442" s="27"/>
      <c r="E442" s="27"/>
      <c r="F442" s="29"/>
      <c r="G442" s="27"/>
      <c r="H442" s="27"/>
      <c r="I442" s="29"/>
      <c r="J442" s="27"/>
      <c r="K442" s="27"/>
      <c r="L442" s="27"/>
      <c r="M442" s="30"/>
      <c r="N442" s="27"/>
      <c r="O442" s="27"/>
      <c r="P442" s="33"/>
      <c r="Q442" s="27"/>
    </row>
    <row r="443" spans="1:17" x14ac:dyDescent="0.25">
      <c r="A443" s="26"/>
      <c r="B443" s="27"/>
      <c r="C443" s="28"/>
      <c r="D443" s="27"/>
      <c r="E443" s="27"/>
      <c r="F443" s="29"/>
      <c r="G443" s="27"/>
      <c r="H443" s="27"/>
      <c r="I443" s="29"/>
      <c r="J443" s="27"/>
      <c r="K443" s="27"/>
      <c r="L443" s="27"/>
      <c r="M443" s="30"/>
      <c r="N443" s="27"/>
      <c r="O443" s="27"/>
      <c r="P443" s="33"/>
      <c r="Q443" s="27"/>
    </row>
    <row r="444" spans="1:17" x14ac:dyDescent="0.25">
      <c r="A444" s="26"/>
      <c r="B444" s="27"/>
      <c r="C444" s="28"/>
      <c r="D444" s="27"/>
      <c r="E444" s="27"/>
      <c r="F444" s="29"/>
      <c r="G444" s="27"/>
      <c r="H444" s="27"/>
      <c r="I444" s="29"/>
      <c r="J444" s="27"/>
      <c r="K444" s="27"/>
      <c r="L444" s="27"/>
      <c r="M444" s="30"/>
      <c r="N444" s="27"/>
      <c r="O444" s="27"/>
      <c r="P444" s="33"/>
      <c r="Q444" s="27"/>
    </row>
    <row r="445" spans="1:17" x14ac:dyDescent="0.25">
      <c r="A445" s="26"/>
      <c r="B445" s="27"/>
      <c r="C445" s="28"/>
      <c r="D445" s="27"/>
      <c r="E445" s="27"/>
      <c r="F445" s="29"/>
      <c r="G445" s="27"/>
      <c r="H445" s="27"/>
      <c r="I445" s="29"/>
      <c r="J445" s="27"/>
      <c r="K445" s="27"/>
      <c r="L445" s="27"/>
      <c r="M445" s="30"/>
      <c r="N445" s="27"/>
      <c r="O445" s="27"/>
      <c r="P445" s="33"/>
      <c r="Q445" s="27"/>
    </row>
    <row r="446" spans="1:17" x14ac:dyDescent="0.25">
      <c r="A446" s="26"/>
      <c r="B446" s="27"/>
      <c r="C446" s="28"/>
      <c r="D446" s="27"/>
      <c r="E446" s="27"/>
      <c r="F446" s="29"/>
      <c r="G446" s="27"/>
      <c r="H446" s="27"/>
      <c r="I446" s="29"/>
      <c r="J446" s="27"/>
      <c r="K446" s="27"/>
      <c r="L446" s="27"/>
      <c r="M446" s="30"/>
      <c r="N446" s="27"/>
      <c r="O446" s="27"/>
      <c r="P446" s="33"/>
      <c r="Q446" s="27"/>
    </row>
    <row r="447" spans="1:17" x14ac:dyDescent="0.25">
      <c r="A447" s="26"/>
      <c r="B447" s="27"/>
      <c r="C447" s="28"/>
      <c r="D447" s="27"/>
      <c r="E447" s="27"/>
      <c r="F447" s="29"/>
      <c r="G447" s="27"/>
      <c r="H447" s="27"/>
      <c r="I447" s="29"/>
      <c r="J447" s="27"/>
      <c r="K447" s="27"/>
      <c r="L447" s="27"/>
      <c r="M447" s="30"/>
      <c r="N447" s="27"/>
      <c r="O447" s="27"/>
      <c r="P447" s="33"/>
      <c r="Q447" s="27"/>
    </row>
    <row r="448" spans="1:17" x14ac:dyDescent="0.25">
      <c r="A448" s="26"/>
      <c r="B448" s="27"/>
      <c r="C448" s="28"/>
      <c r="D448" s="27"/>
      <c r="E448" s="27"/>
      <c r="F448" s="29"/>
      <c r="G448" s="27"/>
      <c r="H448" s="27"/>
      <c r="I448" s="29"/>
      <c r="J448" s="27"/>
      <c r="K448" s="27"/>
      <c r="L448" s="27"/>
      <c r="M448" s="30"/>
      <c r="N448" s="27"/>
      <c r="O448" s="27"/>
      <c r="P448" s="33"/>
      <c r="Q448" s="27"/>
    </row>
    <row r="449" spans="1:17" x14ac:dyDescent="0.25">
      <c r="A449" s="26"/>
      <c r="B449" s="27"/>
      <c r="C449" s="28"/>
      <c r="D449" s="27"/>
      <c r="E449" s="27"/>
      <c r="F449" s="29"/>
      <c r="G449" s="27"/>
      <c r="H449" s="27"/>
      <c r="I449" s="29"/>
      <c r="J449" s="27"/>
      <c r="K449" s="27"/>
      <c r="L449" s="27"/>
      <c r="M449" s="30"/>
      <c r="N449" s="27"/>
      <c r="O449" s="27"/>
      <c r="P449" s="33"/>
      <c r="Q449" s="27"/>
    </row>
    <row r="450" spans="1:17" x14ac:dyDescent="0.25">
      <c r="A450" s="26"/>
      <c r="B450" s="27"/>
      <c r="C450" s="28"/>
      <c r="D450" s="27"/>
      <c r="E450" s="27"/>
      <c r="F450" s="29"/>
      <c r="G450" s="27"/>
      <c r="H450" s="27"/>
      <c r="I450" s="29"/>
      <c r="J450" s="27"/>
      <c r="K450" s="27"/>
      <c r="L450" s="27"/>
      <c r="M450" s="30"/>
      <c r="N450" s="27"/>
      <c r="O450" s="27"/>
      <c r="P450" s="33"/>
      <c r="Q450" s="27"/>
    </row>
    <row r="451" spans="1:17" x14ac:dyDescent="0.25">
      <c r="A451" s="26"/>
      <c r="B451" s="27"/>
      <c r="C451" s="28"/>
      <c r="D451" s="27"/>
      <c r="E451" s="27"/>
      <c r="F451" s="29"/>
      <c r="G451" s="27"/>
      <c r="H451" s="27"/>
      <c r="I451" s="29"/>
      <c r="J451" s="27"/>
      <c r="K451" s="27"/>
      <c r="L451" s="27"/>
      <c r="M451" s="30"/>
      <c r="N451" s="27"/>
      <c r="O451" s="27"/>
      <c r="P451" s="33"/>
      <c r="Q451" s="27"/>
    </row>
    <row r="452" spans="1:17" x14ac:dyDescent="0.25">
      <c r="A452" s="26"/>
      <c r="B452" s="27"/>
      <c r="C452" s="28"/>
      <c r="D452" s="27"/>
      <c r="E452" s="27"/>
      <c r="F452" s="29"/>
      <c r="G452" s="27"/>
      <c r="H452" s="27"/>
      <c r="I452" s="29"/>
      <c r="J452" s="27"/>
      <c r="K452" s="27"/>
      <c r="L452" s="27"/>
      <c r="M452" s="30"/>
      <c r="N452" s="27"/>
      <c r="O452" s="27"/>
      <c r="P452" s="33"/>
      <c r="Q452" s="27"/>
    </row>
    <row r="453" spans="1:17" x14ac:dyDescent="0.25">
      <c r="A453" s="26"/>
      <c r="B453" s="27"/>
      <c r="C453" s="28"/>
      <c r="D453" s="27"/>
      <c r="E453" s="27"/>
      <c r="F453" s="29"/>
      <c r="G453" s="27"/>
      <c r="H453" s="27"/>
      <c r="I453" s="29"/>
      <c r="J453" s="27"/>
      <c r="K453" s="27"/>
      <c r="L453" s="27"/>
      <c r="M453" s="30"/>
      <c r="N453" s="27"/>
      <c r="O453" s="27"/>
      <c r="P453" s="33"/>
      <c r="Q453" s="27"/>
    </row>
    <row r="454" spans="1:17" x14ac:dyDescent="0.25">
      <c r="A454" s="26"/>
      <c r="B454" s="27"/>
      <c r="C454" s="28"/>
      <c r="D454" s="27"/>
      <c r="E454" s="27"/>
      <c r="F454" s="29"/>
      <c r="G454" s="27"/>
      <c r="H454" s="27"/>
      <c r="I454" s="29"/>
      <c r="J454" s="27"/>
      <c r="K454" s="27"/>
      <c r="L454" s="27"/>
      <c r="M454" s="30"/>
      <c r="N454" s="27"/>
      <c r="O454" s="27"/>
      <c r="P454" s="33"/>
      <c r="Q454" s="27"/>
    </row>
    <row r="455" spans="1:17" x14ac:dyDescent="0.25">
      <c r="A455" s="26"/>
      <c r="B455" s="27"/>
      <c r="C455" s="28"/>
      <c r="D455" s="27"/>
      <c r="E455" s="27"/>
      <c r="F455" s="29"/>
      <c r="G455" s="27"/>
      <c r="H455" s="27"/>
      <c r="I455" s="29"/>
      <c r="J455" s="27"/>
      <c r="K455" s="27"/>
      <c r="L455" s="27"/>
      <c r="M455" s="30"/>
      <c r="N455" s="27"/>
      <c r="O455" s="27"/>
      <c r="P455" s="33"/>
      <c r="Q455" s="27"/>
    </row>
    <row r="456" spans="1:17" x14ac:dyDescent="0.25">
      <c r="A456" s="26"/>
      <c r="B456" s="27"/>
      <c r="C456" s="28"/>
      <c r="D456" s="27"/>
      <c r="E456" s="27"/>
      <c r="F456" s="29"/>
      <c r="G456" s="27"/>
      <c r="H456" s="27"/>
      <c r="I456" s="29"/>
      <c r="J456" s="27"/>
      <c r="K456" s="27"/>
      <c r="L456" s="27"/>
      <c r="M456" s="30"/>
      <c r="N456" s="27"/>
      <c r="O456" s="27"/>
      <c r="P456" s="33"/>
      <c r="Q456" s="27"/>
    </row>
    <row r="457" spans="1:17" x14ac:dyDescent="0.25">
      <c r="A457" s="26"/>
      <c r="B457" s="27"/>
      <c r="C457" s="28"/>
      <c r="D457" s="27"/>
      <c r="E457" s="27"/>
      <c r="F457" s="29"/>
      <c r="G457" s="27"/>
      <c r="H457" s="27"/>
      <c r="I457" s="29"/>
      <c r="J457" s="27"/>
      <c r="K457" s="27"/>
      <c r="L457" s="27"/>
      <c r="M457" s="30"/>
      <c r="N457" s="27"/>
      <c r="O457" s="27"/>
      <c r="P457" s="33"/>
      <c r="Q457" s="27"/>
    </row>
    <row r="458" spans="1:17" x14ac:dyDescent="0.25">
      <c r="A458" s="26"/>
      <c r="B458" s="27"/>
      <c r="C458" s="28"/>
      <c r="D458" s="27"/>
      <c r="E458" s="27"/>
      <c r="F458" s="29"/>
      <c r="G458" s="27"/>
      <c r="H458" s="27"/>
      <c r="I458" s="29"/>
      <c r="J458" s="27"/>
      <c r="K458" s="27"/>
      <c r="L458" s="27"/>
      <c r="M458" s="30"/>
      <c r="N458" s="27"/>
      <c r="O458" s="27"/>
      <c r="P458" s="33"/>
      <c r="Q458" s="27"/>
    </row>
    <row r="459" spans="1:17" x14ac:dyDescent="0.25">
      <c r="A459" s="26"/>
      <c r="B459" s="27"/>
      <c r="C459" s="28"/>
      <c r="D459" s="27"/>
      <c r="E459" s="27"/>
      <c r="F459" s="29"/>
      <c r="G459" s="27"/>
      <c r="H459" s="27"/>
      <c r="I459" s="29"/>
      <c r="J459" s="27"/>
      <c r="K459" s="27"/>
      <c r="L459" s="27"/>
      <c r="M459" s="30"/>
      <c r="N459" s="27"/>
      <c r="O459" s="27"/>
      <c r="P459" s="33"/>
      <c r="Q459" s="27"/>
    </row>
    <row r="460" spans="1:17" x14ac:dyDescent="0.25">
      <c r="A460" s="26"/>
      <c r="B460" s="27"/>
      <c r="C460" s="28"/>
      <c r="D460" s="27"/>
      <c r="E460" s="27"/>
      <c r="F460" s="29"/>
      <c r="G460" s="27"/>
      <c r="H460" s="27"/>
      <c r="I460" s="29"/>
      <c r="J460" s="27"/>
      <c r="K460" s="27"/>
      <c r="L460" s="27"/>
      <c r="M460" s="30"/>
      <c r="N460" s="27"/>
      <c r="O460" s="27"/>
      <c r="P460" s="33"/>
      <c r="Q460" s="27"/>
    </row>
    <row r="461" spans="1:17" x14ac:dyDescent="0.25">
      <c r="A461" s="26"/>
      <c r="B461" s="27"/>
      <c r="C461" s="28"/>
      <c r="D461" s="27"/>
      <c r="E461" s="27"/>
      <c r="F461" s="29"/>
      <c r="G461" s="27"/>
      <c r="H461" s="27"/>
      <c r="I461" s="29"/>
      <c r="J461" s="27"/>
      <c r="K461" s="27"/>
      <c r="L461" s="27"/>
      <c r="M461" s="30"/>
      <c r="N461" s="27"/>
      <c r="O461" s="27"/>
      <c r="P461" s="33"/>
      <c r="Q461" s="27"/>
    </row>
    <row r="462" spans="1:17" x14ac:dyDescent="0.25">
      <c r="A462" s="26"/>
      <c r="B462" s="27"/>
      <c r="C462" s="28"/>
      <c r="D462" s="27"/>
      <c r="E462" s="27"/>
      <c r="F462" s="29"/>
      <c r="G462" s="27"/>
      <c r="H462" s="27"/>
      <c r="I462" s="29"/>
      <c r="J462" s="27"/>
      <c r="K462" s="27"/>
      <c r="L462" s="27"/>
      <c r="M462" s="30"/>
      <c r="N462" s="27"/>
      <c r="O462" s="27"/>
      <c r="P462" s="33"/>
      <c r="Q462" s="27"/>
    </row>
    <row r="463" spans="1:17" x14ac:dyDescent="0.25">
      <c r="A463" s="26"/>
      <c r="B463" s="27"/>
      <c r="C463" s="28"/>
      <c r="D463" s="27"/>
      <c r="E463" s="27"/>
      <c r="F463" s="29"/>
      <c r="G463" s="27"/>
      <c r="H463" s="27"/>
      <c r="I463" s="29"/>
      <c r="J463" s="27"/>
      <c r="K463" s="27"/>
      <c r="L463" s="27"/>
      <c r="M463" s="30"/>
      <c r="N463" s="27"/>
      <c r="O463" s="27"/>
      <c r="P463" s="33"/>
      <c r="Q463" s="27"/>
    </row>
    <row r="464" spans="1:17" x14ac:dyDescent="0.25">
      <c r="A464" s="26"/>
      <c r="B464" s="27"/>
      <c r="C464" s="28"/>
      <c r="D464" s="27"/>
      <c r="E464" s="27"/>
      <c r="F464" s="29"/>
      <c r="G464" s="27"/>
      <c r="H464" s="27"/>
      <c r="I464" s="29"/>
      <c r="J464" s="27"/>
      <c r="K464" s="27"/>
      <c r="L464" s="27"/>
      <c r="M464" s="30"/>
      <c r="N464" s="27"/>
      <c r="O464" s="27"/>
      <c r="P464" s="33"/>
      <c r="Q464" s="27"/>
    </row>
    <row r="465" spans="1:17" x14ac:dyDescent="0.25">
      <c r="A465" s="26"/>
      <c r="B465" s="27"/>
      <c r="C465" s="28"/>
      <c r="D465" s="27"/>
      <c r="E465" s="27"/>
      <c r="F465" s="29"/>
      <c r="G465" s="27"/>
      <c r="H465" s="27"/>
      <c r="I465" s="29"/>
      <c r="J465" s="27"/>
      <c r="K465" s="27"/>
      <c r="L465" s="27"/>
      <c r="M465" s="30"/>
      <c r="N465" s="27"/>
      <c r="O465" s="27"/>
      <c r="P465" s="33"/>
      <c r="Q465" s="27"/>
    </row>
    <row r="466" spans="1:17" x14ac:dyDescent="0.25">
      <c r="A466" s="26"/>
      <c r="B466" s="27"/>
      <c r="C466" s="28"/>
      <c r="D466" s="27"/>
      <c r="E466" s="27"/>
      <c r="F466" s="29"/>
      <c r="G466" s="27"/>
      <c r="H466" s="27"/>
      <c r="I466" s="29"/>
      <c r="J466" s="27"/>
      <c r="K466" s="27"/>
      <c r="L466" s="27"/>
      <c r="M466" s="30"/>
      <c r="N466" s="27"/>
      <c r="O466" s="27"/>
      <c r="P466" s="33"/>
      <c r="Q466" s="27"/>
    </row>
    <row r="467" spans="1:17" x14ac:dyDescent="0.25">
      <c r="A467" s="26"/>
      <c r="B467" s="27"/>
      <c r="C467" s="28"/>
      <c r="D467" s="27"/>
      <c r="E467" s="27"/>
      <c r="F467" s="29"/>
      <c r="G467" s="27"/>
      <c r="H467" s="27"/>
      <c r="I467" s="29"/>
      <c r="J467" s="27"/>
      <c r="K467" s="27"/>
      <c r="L467" s="27"/>
      <c r="M467" s="30"/>
      <c r="N467" s="27"/>
      <c r="O467" s="27"/>
      <c r="P467" s="33"/>
      <c r="Q467" s="27"/>
    </row>
    <row r="468" spans="1:17" x14ac:dyDescent="0.25">
      <c r="A468" s="26"/>
      <c r="B468" s="27"/>
      <c r="C468" s="28"/>
      <c r="D468" s="27"/>
      <c r="E468" s="27"/>
      <c r="F468" s="29"/>
      <c r="G468" s="27"/>
      <c r="H468" s="27"/>
      <c r="I468" s="29"/>
      <c r="J468" s="27"/>
      <c r="K468" s="27"/>
      <c r="L468" s="27"/>
      <c r="M468" s="30"/>
      <c r="N468" s="27"/>
      <c r="O468" s="27"/>
      <c r="P468" s="33"/>
      <c r="Q468" s="27"/>
    </row>
    <row r="469" spans="1:17" x14ac:dyDescent="0.25">
      <c r="A469" s="26"/>
      <c r="B469" s="27"/>
      <c r="C469" s="28"/>
      <c r="D469" s="27"/>
      <c r="E469" s="27"/>
      <c r="F469" s="29"/>
      <c r="G469" s="27"/>
      <c r="H469" s="27"/>
      <c r="I469" s="29"/>
      <c r="J469" s="27"/>
      <c r="K469" s="27"/>
      <c r="L469" s="27"/>
      <c r="M469" s="30"/>
      <c r="N469" s="27"/>
      <c r="O469" s="27"/>
      <c r="P469" s="33"/>
      <c r="Q469" s="27"/>
    </row>
    <row r="470" spans="1:17" x14ac:dyDescent="0.25">
      <c r="A470" s="26"/>
      <c r="B470" s="27"/>
      <c r="C470" s="28"/>
      <c r="D470" s="27"/>
      <c r="E470" s="27"/>
      <c r="F470" s="29"/>
      <c r="G470" s="27"/>
      <c r="H470" s="27"/>
      <c r="I470" s="29"/>
      <c r="J470" s="27"/>
      <c r="K470" s="27"/>
      <c r="L470" s="27"/>
      <c r="M470" s="30"/>
      <c r="N470" s="27"/>
      <c r="O470" s="27"/>
      <c r="P470" s="33"/>
      <c r="Q470" s="27"/>
    </row>
    <row r="471" spans="1:17" x14ac:dyDescent="0.25">
      <c r="A471" s="26"/>
      <c r="B471" s="27"/>
      <c r="C471" s="28"/>
      <c r="D471" s="27"/>
      <c r="E471" s="27"/>
      <c r="F471" s="29"/>
      <c r="G471" s="27"/>
      <c r="H471" s="27"/>
      <c r="I471" s="29"/>
      <c r="J471" s="27"/>
      <c r="K471" s="27"/>
      <c r="L471" s="27"/>
      <c r="M471" s="30"/>
      <c r="N471" s="27"/>
      <c r="O471" s="27"/>
      <c r="P471" s="33"/>
      <c r="Q471" s="27"/>
    </row>
    <row r="472" spans="1:17" x14ac:dyDescent="0.25">
      <c r="A472" s="26"/>
      <c r="B472" s="27"/>
      <c r="C472" s="28"/>
      <c r="D472" s="27"/>
      <c r="E472" s="27"/>
      <c r="F472" s="29"/>
      <c r="G472" s="27"/>
      <c r="H472" s="27"/>
      <c r="I472" s="29"/>
      <c r="J472" s="27"/>
      <c r="K472" s="27"/>
      <c r="L472" s="27"/>
      <c r="M472" s="30"/>
      <c r="N472" s="27"/>
      <c r="O472" s="27"/>
      <c r="P472" s="33"/>
      <c r="Q472" s="27"/>
    </row>
    <row r="473" spans="1:17" x14ac:dyDescent="0.25">
      <c r="A473" s="26"/>
      <c r="B473" s="27"/>
      <c r="C473" s="28"/>
      <c r="D473" s="27"/>
      <c r="E473" s="27"/>
      <c r="F473" s="29"/>
      <c r="G473" s="27"/>
      <c r="H473" s="27"/>
      <c r="I473" s="29"/>
      <c r="J473" s="27"/>
      <c r="K473" s="27"/>
      <c r="L473" s="27"/>
      <c r="M473" s="30"/>
      <c r="N473" s="27"/>
      <c r="O473" s="27"/>
      <c r="P473" s="33"/>
      <c r="Q473" s="27"/>
    </row>
    <row r="474" spans="1:17" x14ac:dyDescent="0.25">
      <c r="A474" s="26"/>
      <c r="B474" s="27"/>
      <c r="C474" s="28"/>
      <c r="D474" s="27"/>
      <c r="E474" s="27"/>
      <c r="F474" s="29"/>
      <c r="G474" s="27"/>
      <c r="H474" s="27"/>
      <c r="I474" s="29"/>
      <c r="J474" s="27"/>
      <c r="K474" s="27"/>
      <c r="L474" s="27"/>
      <c r="M474" s="30"/>
      <c r="N474" s="27"/>
      <c r="O474" s="27"/>
      <c r="P474" s="33"/>
      <c r="Q474" s="27"/>
    </row>
    <row r="475" spans="1:17" x14ac:dyDescent="0.25">
      <c r="A475" s="26"/>
      <c r="B475" s="27"/>
      <c r="C475" s="28"/>
      <c r="D475" s="27"/>
      <c r="E475" s="27"/>
      <c r="F475" s="29"/>
      <c r="G475" s="27"/>
      <c r="H475" s="27"/>
      <c r="I475" s="29"/>
      <c r="J475" s="27"/>
      <c r="K475" s="27"/>
      <c r="L475" s="27"/>
      <c r="M475" s="30"/>
      <c r="N475" s="27"/>
      <c r="O475" s="27"/>
      <c r="P475" s="33"/>
      <c r="Q475" s="27"/>
    </row>
    <row r="476" spans="1:17" x14ac:dyDescent="0.25">
      <c r="A476" s="26"/>
      <c r="B476" s="27"/>
      <c r="C476" s="28"/>
      <c r="D476" s="27"/>
      <c r="E476" s="27"/>
      <c r="F476" s="29"/>
      <c r="G476" s="27"/>
      <c r="H476" s="27"/>
      <c r="I476" s="29"/>
      <c r="J476" s="27"/>
      <c r="K476" s="27"/>
      <c r="L476" s="27"/>
      <c r="M476" s="30"/>
      <c r="N476" s="27"/>
      <c r="O476" s="27"/>
      <c r="P476" s="33"/>
      <c r="Q476" s="27"/>
    </row>
    <row r="477" spans="1:17" x14ac:dyDescent="0.25">
      <c r="A477" s="26"/>
      <c r="B477" s="27"/>
      <c r="C477" s="28"/>
      <c r="D477" s="27"/>
      <c r="E477" s="27"/>
      <c r="F477" s="29"/>
      <c r="G477" s="27"/>
      <c r="H477" s="27"/>
      <c r="I477" s="29"/>
      <c r="J477" s="27"/>
      <c r="K477" s="27"/>
      <c r="L477" s="27"/>
      <c r="M477" s="30"/>
      <c r="N477" s="27"/>
      <c r="O477" s="27"/>
      <c r="P477" s="33"/>
      <c r="Q477" s="27"/>
    </row>
    <row r="478" spans="1:17" x14ac:dyDescent="0.25">
      <c r="A478" s="26"/>
      <c r="B478" s="27"/>
      <c r="C478" s="28"/>
      <c r="D478" s="27"/>
      <c r="E478" s="27"/>
      <c r="F478" s="29"/>
      <c r="G478" s="27"/>
      <c r="H478" s="27"/>
      <c r="I478" s="29"/>
      <c r="J478" s="27"/>
      <c r="K478" s="27"/>
      <c r="L478" s="27"/>
      <c r="M478" s="30"/>
      <c r="N478" s="27"/>
      <c r="O478" s="27"/>
      <c r="P478" s="33"/>
      <c r="Q478" s="27"/>
    </row>
    <row r="479" spans="1:17" x14ac:dyDescent="0.25">
      <c r="A479" s="26"/>
      <c r="B479" s="27"/>
      <c r="C479" s="28"/>
      <c r="D479" s="27"/>
      <c r="E479" s="27"/>
      <c r="F479" s="29"/>
      <c r="G479" s="27"/>
      <c r="H479" s="27"/>
      <c r="I479" s="29"/>
      <c r="J479" s="27"/>
      <c r="K479" s="27"/>
      <c r="L479" s="27"/>
      <c r="M479" s="30"/>
      <c r="N479" s="27"/>
      <c r="O479" s="27"/>
      <c r="P479" s="33"/>
      <c r="Q479" s="27"/>
    </row>
    <row r="480" spans="1:17" x14ac:dyDescent="0.25">
      <c r="A480" s="26"/>
      <c r="B480" s="27"/>
      <c r="C480" s="28"/>
      <c r="D480" s="27"/>
      <c r="E480" s="27"/>
      <c r="F480" s="29"/>
      <c r="G480" s="27"/>
      <c r="H480" s="27"/>
      <c r="I480" s="29"/>
      <c r="J480" s="27"/>
      <c r="K480" s="27"/>
      <c r="L480" s="27"/>
      <c r="M480" s="30"/>
      <c r="N480" s="27"/>
      <c r="O480" s="27"/>
      <c r="P480" s="33"/>
      <c r="Q480" s="27"/>
    </row>
    <row r="481" spans="1:17" x14ac:dyDescent="0.25">
      <c r="A481" s="26"/>
      <c r="B481" s="27"/>
      <c r="C481" s="28"/>
      <c r="D481" s="27"/>
      <c r="E481" s="27"/>
      <c r="F481" s="29"/>
      <c r="G481" s="27"/>
      <c r="H481" s="27"/>
      <c r="I481" s="29"/>
      <c r="J481" s="27"/>
      <c r="K481" s="27"/>
      <c r="L481" s="27"/>
      <c r="M481" s="30"/>
      <c r="N481" s="27"/>
      <c r="O481" s="27"/>
      <c r="P481" s="33"/>
      <c r="Q481" s="27"/>
    </row>
    <row r="482" spans="1:17" x14ac:dyDescent="0.25">
      <c r="A482" s="26"/>
      <c r="B482" s="27"/>
      <c r="C482" s="28"/>
      <c r="D482" s="27"/>
      <c r="E482" s="27"/>
      <c r="F482" s="29"/>
      <c r="G482" s="27"/>
      <c r="H482" s="27"/>
      <c r="I482" s="29"/>
      <c r="J482" s="27"/>
      <c r="K482" s="27"/>
      <c r="L482" s="27"/>
      <c r="M482" s="30"/>
      <c r="N482" s="27"/>
      <c r="O482" s="27"/>
      <c r="P482" s="33"/>
      <c r="Q482" s="27"/>
    </row>
    <row r="483" spans="1:17" x14ac:dyDescent="0.25">
      <c r="A483" s="26"/>
      <c r="B483" s="27"/>
      <c r="C483" s="28"/>
      <c r="D483" s="27"/>
      <c r="E483" s="27"/>
      <c r="F483" s="29"/>
      <c r="G483" s="27"/>
      <c r="H483" s="27"/>
      <c r="I483" s="29"/>
      <c r="J483" s="27"/>
      <c r="K483" s="27"/>
      <c r="L483" s="27"/>
      <c r="M483" s="30"/>
      <c r="N483" s="27"/>
      <c r="O483" s="27"/>
      <c r="P483" s="33"/>
      <c r="Q483" s="27"/>
    </row>
    <row r="484" spans="1:17" x14ac:dyDescent="0.25">
      <c r="A484" s="26"/>
      <c r="B484" s="27"/>
      <c r="C484" s="28"/>
      <c r="D484" s="27"/>
      <c r="E484" s="27"/>
      <c r="F484" s="29"/>
      <c r="G484" s="27"/>
      <c r="H484" s="27"/>
      <c r="I484" s="29"/>
      <c r="J484" s="27"/>
      <c r="K484" s="27"/>
      <c r="L484" s="27"/>
      <c r="M484" s="30"/>
      <c r="N484" s="27"/>
      <c r="O484" s="27"/>
      <c r="P484" s="33"/>
      <c r="Q484" s="27"/>
    </row>
    <row r="485" spans="1:17" x14ac:dyDescent="0.25">
      <c r="A485" s="26"/>
      <c r="B485" s="27"/>
      <c r="C485" s="28"/>
      <c r="D485" s="27"/>
      <c r="E485" s="27"/>
      <c r="F485" s="29"/>
      <c r="G485" s="27"/>
      <c r="H485" s="27"/>
      <c r="I485" s="29"/>
      <c r="J485" s="27"/>
      <c r="K485" s="27"/>
      <c r="L485" s="27"/>
      <c r="M485" s="30"/>
      <c r="N485" s="27"/>
      <c r="O485" s="27"/>
      <c r="P485" s="33"/>
      <c r="Q485" s="27"/>
    </row>
    <row r="486" spans="1:17" x14ac:dyDescent="0.25">
      <c r="A486" s="26"/>
      <c r="B486" s="27"/>
      <c r="C486" s="28"/>
      <c r="D486" s="27"/>
      <c r="E486" s="27"/>
      <c r="F486" s="29"/>
      <c r="G486" s="27"/>
      <c r="H486" s="27"/>
      <c r="I486" s="29"/>
      <c r="J486" s="27"/>
      <c r="K486" s="27"/>
      <c r="L486" s="27"/>
      <c r="M486" s="30"/>
      <c r="N486" s="27"/>
      <c r="O486" s="27"/>
      <c r="P486" s="33"/>
      <c r="Q486" s="27"/>
    </row>
    <row r="487" spans="1:17" x14ac:dyDescent="0.25">
      <c r="A487" s="26"/>
      <c r="B487" s="27"/>
      <c r="C487" s="28"/>
      <c r="D487" s="27"/>
      <c r="E487" s="27"/>
      <c r="F487" s="29"/>
      <c r="G487" s="27"/>
      <c r="H487" s="27"/>
      <c r="I487" s="29"/>
      <c r="J487" s="27"/>
      <c r="K487" s="27"/>
      <c r="L487" s="27"/>
      <c r="M487" s="30"/>
      <c r="N487" s="27"/>
      <c r="O487" s="27"/>
      <c r="P487" s="33"/>
      <c r="Q487" s="27"/>
    </row>
    <row r="488" spans="1:17" x14ac:dyDescent="0.25">
      <c r="A488" s="26"/>
      <c r="B488" s="27"/>
      <c r="C488" s="28"/>
      <c r="D488" s="27"/>
      <c r="E488" s="27"/>
      <c r="F488" s="29"/>
      <c r="G488" s="27"/>
      <c r="H488" s="27"/>
      <c r="I488" s="29"/>
      <c r="J488" s="27"/>
      <c r="K488" s="27"/>
      <c r="L488" s="27"/>
      <c r="M488" s="30"/>
      <c r="N488" s="27"/>
      <c r="O488" s="27"/>
      <c r="P488" s="33"/>
      <c r="Q488" s="27"/>
    </row>
    <row r="489" spans="1:17" x14ac:dyDescent="0.25">
      <c r="A489" s="26"/>
      <c r="B489" s="27"/>
      <c r="C489" s="28"/>
      <c r="D489" s="27"/>
      <c r="E489" s="27"/>
      <c r="F489" s="29"/>
      <c r="G489" s="27"/>
      <c r="H489" s="27"/>
      <c r="I489" s="29"/>
      <c r="J489" s="27"/>
      <c r="K489" s="27"/>
      <c r="L489" s="27"/>
      <c r="M489" s="30"/>
      <c r="N489" s="27"/>
      <c r="O489" s="27"/>
      <c r="P489" s="33"/>
      <c r="Q489" s="27"/>
    </row>
    <row r="490" spans="1:17" x14ac:dyDescent="0.25">
      <c r="A490" s="26"/>
      <c r="B490" s="27"/>
      <c r="C490" s="28"/>
      <c r="D490" s="27"/>
      <c r="E490" s="27"/>
      <c r="F490" s="29"/>
      <c r="G490" s="27"/>
      <c r="H490" s="27"/>
      <c r="I490" s="29"/>
      <c r="J490" s="27"/>
      <c r="K490" s="27"/>
      <c r="L490" s="27"/>
      <c r="M490" s="30"/>
      <c r="N490" s="27"/>
      <c r="O490" s="27"/>
      <c r="P490" s="33"/>
      <c r="Q490" s="27"/>
    </row>
    <row r="491" spans="1:17" x14ac:dyDescent="0.25">
      <c r="A491" s="26"/>
      <c r="B491" s="27"/>
      <c r="C491" s="28"/>
      <c r="D491" s="27"/>
      <c r="E491" s="27"/>
      <c r="F491" s="29"/>
      <c r="G491" s="27"/>
      <c r="H491" s="27"/>
      <c r="I491" s="29"/>
      <c r="J491" s="27"/>
      <c r="K491" s="27"/>
      <c r="L491" s="27"/>
      <c r="M491" s="30"/>
      <c r="N491" s="27"/>
      <c r="O491" s="27"/>
      <c r="P491" s="33"/>
      <c r="Q491" s="27"/>
    </row>
    <row r="492" spans="1:17" x14ac:dyDescent="0.25">
      <c r="A492" s="26"/>
      <c r="B492" s="27"/>
      <c r="C492" s="28"/>
      <c r="D492" s="27"/>
      <c r="E492" s="27"/>
      <c r="F492" s="29"/>
      <c r="G492" s="27"/>
      <c r="H492" s="27"/>
      <c r="I492" s="29"/>
      <c r="J492" s="27"/>
      <c r="K492" s="27"/>
      <c r="L492" s="27"/>
      <c r="M492" s="30"/>
      <c r="N492" s="27"/>
      <c r="O492" s="27"/>
      <c r="P492" s="33"/>
      <c r="Q492" s="27"/>
    </row>
    <row r="493" spans="1:17" x14ac:dyDescent="0.25">
      <c r="A493" s="26"/>
      <c r="B493" s="27"/>
      <c r="C493" s="28"/>
      <c r="D493" s="27"/>
      <c r="E493" s="27"/>
      <c r="F493" s="29"/>
      <c r="G493" s="27"/>
      <c r="H493" s="27"/>
      <c r="I493" s="29"/>
      <c r="J493" s="27"/>
      <c r="K493" s="27"/>
      <c r="L493" s="27"/>
      <c r="M493" s="30"/>
      <c r="N493" s="27"/>
      <c r="O493" s="27"/>
      <c r="P493" s="33"/>
      <c r="Q493" s="27"/>
    </row>
    <row r="494" spans="1:17" x14ac:dyDescent="0.25">
      <c r="A494" s="26"/>
      <c r="B494" s="27"/>
      <c r="C494" s="28"/>
      <c r="D494" s="27"/>
      <c r="E494" s="27"/>
      <c r="F494" s="29"/>
      <c r="G494" s="27"/>
      <c r="H494" s="27"/>
      <c r="I494" s="29"/>
      <c r="J494" s="27"/>
      <c r="K494" s="27"/>
      <c r="L494" s="27"/>
      <c r="M494" s="30"/>
      <c r="N494" s="27"/>
      <c r="O494" s="27"/>
      <c r="P494" s="33"/>
      <c r="Q494" s="27"/>
    </row>
    <row r="495" spans="1:17" x14ac:dyDescent="0.25">
      <c r="A495" s="26"/>
      <c r="B495" s="27"/>
      <c r="C495" s="28"/>
      <c r="D495" s="27"/>
      <c r="E495" s="27"/>
      <c r="F495" s="29"/>
      <c r="G495" s="27"/>
      <c r="H495" s="27"/>
      <c r="I495" s="29"/>
      <c r="J495" s="27"/>
      <c r="K495" s="27"/>
      <c r="L495" s="27"/>
      <c r="M495" s="30"/>
      <c r="N495" s="27"/>
      <c r="O495" s="27"/>
      <c r="P495" s="33"/>
      <c r="Q495" s="27"/>
    </row>
    <row r="496" spans="1:17" x14ac:dyDescent="0.25">
      <c r="A496" s="26"/>
      <c r="B496" s="27"/>
      <c r="C496" s="28"/>
      <c r="D496" s="27"/>
      <c r="E496" s="27"/>
      <c r="F496" s="29"/>
      <c r="G496" s="27"/>
      <c r="H496" s="27"/>
      <c r="I496" s="29"/>
      <c r="J496" s="27"/>
      <c r="K496" s="27"/>
      <c r="L496" s="27"/>
      <c r="M496" s="30"/>
      <c r="N496" s="27"/>
      <c r="O496" s="27"/>
      <c r="P496" s="33"/>
      <c r="Q496" s="27"/>
    </row>
    <row r="497" spans="1:17" x14ac:dyDescent="0.25">
      <c r="A497" s="26"/>
      <c r="B497" s="27"/>
      <c r="C497" s="28"/>
      <c r="D497" s="27"/>
      <c r="E497" s="27"/>
      <c r="F497" s="29"/>
      <c r="G497" s="27"/>
      <c r="H497" s="27"/>
      <c r="I497" s="29"/>
      <c r="J497" s="27"/>
      <c r="K497" s="27"/>
      <c r="L497" s="27"/>
      <c r="M497" s="30"/>
      <c r="N497" s="27"/>
      <c r="O497" s="27"/>
      <c r="P497" s="33"/>
      <c r="Q497" s="27"/>
    </row>
    <row r="498" spans="1:17" x14ac:dyDescent="0.25">
      <c r="A498" s="26"/>
      <c r="B498" s="27"/>
      <c r="C498" s="28"/>
      <c r="D498" s="27"/>
      <c r="E498" s="27"/>
      <c r="F498" s="29"/>
      <c r="G498" s="27"/>
      <c r="H498" s="27"/>
      <c r="I498" s="29"/>
      <c r="J498" s="27"/>
      <c r="K498" s="27"/>
      <c r="L498" s="27"/>
      <c r="M498" s="30"/>
      <c r="N498" s="27"/>
      <c r="O498" s="27"/>
      <c r="P498" s="33"/>
      <c r="Q498" s="27"/>
    </row>
    <row r="499" spans="1:17" x14ac:dyDescent="0.25">
      <c r="A499" s="26"/>
      <c r="B499" s="27"/>
      <c r="C499" s="28"/>
      <c r="D499" s="27"/>
      <c r="E499" s="27"/>
      <c r="F499" s="29"/>
      <c r="G499" s="27"/>
      <c r="H499" s="27"/>
      <c r="I499" s="29"/>
      <c r="J499" s="27"/>
      <c r="K499" s="27"/>
      <c r="L499" s="27"/>
      <c r="M499" s="30"/>
      <c r="N499" s="27"/>
      <c r="O499" s="27"/>
      <c r="P499" s="33"/>
      <c r="Q499" s="27"/>
    </row>
    <row r="500" spans="1:17" x14ac:dyDescent="0.25">
      <c r="A500" s="26"/>
      <c r="B500" s="27"/>
      <c r="C500" s="28"/>
      <c r="D500" s="27"/>
      <c r="E500" s="27"/>
      <c r="F500" s="29"/>
      <c r="G500" s="27"/>
      <c r="H500" s="27"/>
      <c r="I500" s="29"/>
      <c r="J500" s="27"/>
      <c r="K500" s="27"/>
      <c r="L500" s="27"/>
      <c r="M500" s="30"/>
      <c r="N500" s="27"/>
      <c r="O500" s="27"/>
      <c r="P500" s="33"/>
      <c r="Q500" s="27"/>
    </row>
    <row r="501" spans="1:17" x14ac:dyDescent="0.25">
      <c r="A501" s="26"/>
      <c r="B501" s="27"/>
      <c r="C501" s="28"/>
      <c r="D501" s="27"/>
      <c r="E501" s="27"/>
      <c r="F501" s="29"/>
      <c r="G501" s="27"/>
      <c r="H501" s="27"/>
      <c r="I501" s="29"/>
      <c r="J501" s="27"/>
      <c r="K501" s="27"/>
      <c r="L501" s="27"/>
      <c r="M501" s="30"/>
      <c r="N501" s="27"/>
      <c r="O501" s="27"/>
      <c r="P501" s="33"/>
      <c r="Q501" s="27"/>
    </row>
    <row r="502" spans="1:17" x14ac:dyDescent="0.25">
      <c r="A502" s="26"/>
      <c r="B502" s="27"/>
      <c r="C502" s="28"/>
      <c r="D502" s="27"/>
      <c r="E502" s="27"/>
      <c r="F502" s="29"/>
      <c r="G502" s="27"/>
      <c r="H502" s="27"/>
      <c r="I502" s="29"/>
      <c r="J502" s="27"/>
      <c r="K502" s="27"/>
      <c r="L502" s="27"/>
      <c r="M502" s="30"/>
      <c r="N502" s="27"/>
      <c r="O502" s="27"/>
      <c r="P502" s="33"/>
      <c r="Q502" s="27"/>
    </row>
    <row r="503" spans="1:17" x14ac:dyDescent="0.25">
      <c r="A503" s="26"/>
      <c r="B503" s="27"/>
      <c r="C503" s="28"/>
      <c r="D503" s="27"/>
      <c r="E503" s="27"/>
      <c r="F503" s="29"/>
      <c r="G503" s="27"/>
      <c r="H503" s="27"/>
      <c r="I503" s="29"/>
      <c r="J503" s="27"/>
      <c r="K503" s="27"/>
      <c r="L503" s="27"/>
      <c r="M503" s="30"/>
      <c r="N503" s="27"/>
      <c r="O503" s="27"/>
      <c r="P503" s="33"/>
      <c r="Q503" s="27"/>
    </row>
    <row r="504" spans="1:17" x14ac:dyDescent="0.25">
      <c r="A504" s="26"/>
      <c r="B504" s="27"/>
      <c r="C504" s="28"/>
      <c r="D504" s="27"/>
      <c r="E504" s="27"/>
      <c r="F504" s="29"/>
      <c r="G504" s="27"/>
      <c r="H504" s="27"/>
      <c r="I504" s="29"/>
      <c r="J504" s="27"/>
      <c r="K504" s="27"/>
      <c r="L504" s="27"/>
      <c r="M504" s="30"/>
      <c r="N504" s="27"/>
      <c r="O504" s="27"/>
      <c r="P504" s="33"/>
      <c r="Q504" s="27"/>
    </row>
    <row r="505" spans="1:17" x14ac:dyDescent="0.25">
      <c r="A505" s="26"/>
      <c r="B505" s="27"/>
      <c r="C505" s="28"/>
      <c r="D505" s="27"/>
      <c r="E505" s="27"/>
      <c r="F505" s="29"/>
      <c r="G505" s="27"/>
      <c r="H505" s="27"/>
      <c r="I505" s="29"/>
      <c r="J505" s="27"/>
      <c r="K505" s="27"/>
      <c r="L505" s="27"/>
      <c r="M505" s="30"/>
      <c r="N505" s="27"/>
      <c r="O505" s="27"/>
      <c r="P505" s="33"/>
      <c r="Q505" s="27"/>
    </row>
    <row r="506" spans="1:17" x14ac:dyDescent="0.25">
      <c r="A506" s="26"/>
      <c r="B506" s="27"/>
      <c r="C506" s="28"/>
      <c r="D506" s="27"/>
      <c r="E506" s="27"/>
      <c r="F506" s="29"/>
      <c r="G506" s="27"/>
      <c r="H506" s="27"/>
      <c r="I506" s="29"/>
      <c r="J506" s="27"/>
      <c r="K506" s="27"/>
      <c r="L506" s="27"/>
      <c r="M506" s="30"/>
      <c r="N506" s="27"/>
      <c r="O506" s="27"/>
      <c r="P506" s="33"/>
      <c r="Q506" s="27"/>
    </row>
    <row r="507" spans="1:17" x14ac:dyDescent="0.25">
      <c r="A507" s="26"/>
      <c r="B507" s="27"/>
      <c r="C507" s="28"/>
      <c r="D507" s="27"/>
      <c r="E507" s="27"/>
      <c r="F507" s="29"/>
      <c r="G507" s="27"/>
      <c r="H507" s="27"/>
      <c r="I507" s="29"/>
      <c r="J507" s="27"/>
      <c r="K507" s="27"/>
      <c r="L507" s="27"/>
      <c r="M507" s="30"/>
      <c r="N507" s="27"/>
      <c r="O507" s="27"/>
      <c r="P507" s="33"/>
      <c r="Q507" s="27"/>
    </row>
    <row r="508" spans="1:17" x14ac:dyDescent="0.25">
      <c r="A508" s="26"/>
      <c r="B508" s="27"/>
      <c r="C508" s="28"/>
      <c r="D508" s="27"/>
      <c r="E508" s="27"/>
      <c r="F508" s="29"/>
      <c r="G508" s="27"/>
      <c r="H508" s="27"/>
      <c r="I508" s="29"/>
      <c r="J508" s="27"/>
      <c r="K508" s="27"/>
      <c r="L508" s="27"/>
      <c r="M508" s="30"/>
      <c r="N508" s="27"/>
      <c r="O508" s="27"/>
      <c r="P508" s="33"/>
      <c r="Q508" s="27"/>
    </row>
    <row r="509" spans="1:17" x14ac:dyDescent="0.25">
      <c r="A509" s="26"/>
      <c r="B509" s="27"/>
      <c r="C509" s="28"/>
      <c r="D509" s="27"/>
      <c r="E509" s="27"/>
      <c r="F509" s="29"/>
      <c r="G509" s="27"/>
      <c r="H509" s="27"/>
      <c r="I509" s="29"/>
      <c r="J509" s="27"/>
      <c r="K509" s="27"/>
      <c r="L509" s="27"/>
      <c r="M509" s="30"/>
      <c r="N509" s="27"/>
      <c r="O509" s="27"/>
      <c r="P509" s="33"/>
      <c r="Q509" s="27"/>
    </row>
    <row r="510" spans="1:17" x14ac:dyDescent="0.25">
      <c r="A510" s="26"/>
      <c r="B510" s="27"/>
      <c r="C510" s="28"/>
      <c r="D510" s="27"/>
      <c r="E510" s="27"/>
      <c r="F510" s="29"/>
      <c r="G510" s="27"/>
      <c r="H510" s="27"/>
      <c r="I510" s="29"/>
      <c r="J510" s="27"/>
      <c r="K510" s="27"/>
      <c r="L510" s="27"/>
      <c r="M510" s="30"/>
      <c r="N510" s="27"/>
      <c r="O510" s="27"/>
      <c r="P510" s="33"/>
      <c r="Q510" s="27"/>
    </row>
    <row r="511" spans="1:17" x14ac:dyDescent="0.25">
      <c r="A511" s="26"/>
      <c r="B511" s="27"/>
      <c r="C511" s="28"/>
      <c r="D511" s="27"/>
      <c r="E511" s="27"/>
      <c r="F511" s="29"/>
      <c r="G511" s="27"/>
      <c r="H511" s="27"/>
      <c r="I511" s="29"/>
      <c r="J511" s="27"/>
      <c r="K511" s="27"/>
      <c r="L511" s="27"/>
      <c r="M511" s="30"/>
      <c r="N511" s="27"/>
      <c r="O511" s="27"/>
      <c r="P511" s="33"/>
      <c r="Q511" s="27"/>
    </row>
    <row r="512" spans="1:17" x14ac:dyDescent="0.25">
      <c r="A512" s="26"/>
      <c r="B512" s="27"/>
      <c r="C512" s="28"/>
      <c r="D512" s="27"/>
      <c r="E512" s="27"/>
      <c r="F512" s="29"/>
      <c r="G512" s="27"/>
      <c r="H512" s="27"/>
      <c r="I512" s="29"/>
      <c r="J512" s="27"/>
      <c r="K512" s="27"/>
      <c r="L512" s="27"/>
      <c r="M512" s="30"/>
      <c r="N512" s="27"/>
      <c r="O512" s="27"/>
      <c r="P512" s="33"/>
      <c r="Q512" s="27"/>
    </row>
    <row r="513" spans="1:17" x14ac:dyDescent="0.25">
      <c r="A513" s="26"/>
      <c r="B513" s="27"/>
      <c r="C513" s="28"/>
      <c r="D513" s="27"/>
      <c r="E513" s="27"/>
      <c r="F513" s="29"/>
      <c r="G513" s="27"/>
      <c r="H513" s="27"/>
      <c r="I513" s="29"/>
      <c r="J513" s="27"/>
      <c r="K513" s="27"/>
      <c r="L513" s="27"/>
      <c r="M513" s="30"/>
      <c r="N513" s="27"/>
      <c r="O513" s="27"/>
      <c r="P513" s="33"/>
      <c r="Q513" s="27"/>
    </row>
    <row r="514" spans="1:17" x14ac:dyDescent="0.25">
      <c r="A514" s="26"/>
      <c r="B514" s="27"/>
      <c r="C514" s="28"/>
      <c r="D514" s="27"/>
      <c r="E514" s="27"/>
      <c r="F514" s="29"/>
      <c r="G514" s="27"/>
      <c r="H514" s="27"/>
      <c r="I514" s="29"/>
      <c r="J514" s="27"/>
      <c r="K514" s="27"/>
      <c r="L514" s="27"/>
      <c r="M514" s="30"/>
      <c r="N514" s="27"/>
      <c r="O514" s="27"/>
      <c r="P514" s="33"/>
      <c r="Q514" s="27"/>
    </row>
    <row r="515" spans="1:17" x14ac:dyDescent="0.25">
      <c r="A515" s="26"/>
      <c r="B515" s="27"/>
      <c r="C515" s="28"/>
      <c r="D515" s="27"/>
      <c r="E515" s="27"/>
      <c r="F515" s="29"/>
      <c r="G515" s="27"/>
      <c r="H515" s="27"/>
      <c r="I515" s="29"/>
      <c r="J515" s="27"/>
      <c r="K515" s="27"/>
      <c r="L515" s="27"/>
      <c r="M515" s="30"/>
      <c r="N515" s="27"/>
      <c r="O515" s="27"/>
      <c r="P515" s="33"/>
      <c r="Q515" s="27"/>
    </row>
    <row r="516" spans="1:17" x14ac:dyDescent="0.25">
      <c r="A516" s="26"/>
      <c r="B516" s="27"/>
      <c r="C516" s="28"/>
      <c r="D516" s="27"/>
      <c r="E516" s="27"/>
      <c r="F516" s="29"/>
      <c r="G516" s="27"/>
      <c r="H516" s="27"/>
      <c r="I516" s="29"/>
      <c r="J516" s="27"/>
      <c r="K516" s="27"/>
      <c r="L516" s="27"/>
      <c r="M516" s="30"/>
      <c r="N516" s="27"/>
      <c r="O516" s="27"/>
      <c r="P516" s="33"/>
      <c r="Q516" s="27"/>
    </row>
    <row r="517" spans="1:17" x14ac:dyDescent="0.25">
      <c r="A517" s="26"/>
      <c r="B517" s="27"/>
      <c r="C517" s="28"/>
      <c r="D517" s="27"/>
      <c r="E517" s="27"/>
      <c r="F517" s="29"/>
      <c r="G517" s="27"/>
      <c r="H517" s="27"/>
      <c r="I517" s="29"/>
      <c r="J517" s="27"/>
      <c r="K517" s="27"/>
      <c r="L517" s="27"/>
      <c r="M517" s="30"/>
      <c r="N517" s="27"/>
      <c r="O517" s="27"/>
      <c r="P517" s="33"/>
      <c r="Q517" s="27"/>
    </row>
    <row r="518" spans="1:17" x14ac:dyDescent="0.25">
      <c r="A518" s="26"/>
      <c r="B518" s="27"/>
      <c r="C518" s="28"/>
      <c r="D518" s="27"/>
      <c r="E518" s="27"/>
      <c r="F518" s="29"/>
      <c r="G518" s="27"/>
      <c r="H518" s="27"/>
      <c r="I518" s="29"/>
      <c r="J518" s="27"/>
      <c r="K518" s="27"/>
      <c r="L518" s="27"/>
      <c r="M518" s="30"/>
      <c r="N518" s="27"/>
      <c r="O518" s="27"/>
      <c r="P518" s="33"/>
      <c r="Q518" s="27"/>
    </row>
    <row r="519" spans="1:17" x14ac:dyDescent="0.25">
      <c r="A519" s="26"/>
      <c r="B519" s="27"/>
      <c r="C519" s="28"/>
      <c r="D519" s="27"/>
      <c r="E519" s="27"/>
      <c r="F519" s="29"/>
      <c r="G519" s="27"/>
      <c r="H519" s="27"/>
      <c r="I519" s="29"/>
      <c r="J519" s="27"/>
      <c r="K519" s="27"/>
      <c r="L519" s="27"/>
      <c r="M519" s="30"/>
      <c r="N519" s="27"/>
      <c r="O519" s="27"/>
      <c r="P519" s="33"/>
      <c r="Q519" s="27"/>
    </row>
    <row r="520" spans="1:17" x14ac:dyDescent="0.25">
      <c r="A520" s="26"/>
      <c r="B520" s="27"/>
      <c r="C520" s="28"/>
      <c r="D520" s="27"/>
      <c r="E520" s="27"/>
      <c r="F520" s="29"/>
      <c r="G520" s="27"/>
      <c r="H520" s="27"/>
      <c r="I520" s="29"/>
      <c r="J520" s="27"/>
      <c r="K520" s="27"/>
      <c r="L520" s="27"/>
      <c r="M520" s="30"/>
      <c r="N520" s="27"/>
      <c r="O520" s="27"/>
      <c r="P520" s="33"/>
      <c r="Q520" s="27"/>
    </row>
    <row r="521" spans="1:17" x14ac:dyDescent="0.25">
      <c r="A521" s="26"/>
      <c r="B521" s="27"/>
      <c r="C521" s="28"/>
      <c r="D521" s="27"/>
      <c r="E521" s="27"/>
      <c r="F521" s="29"/>
      <c r="G521" s="27"/>
      <c r="H521" s="27"/>
      <c r="I521" s="29"/>
      <c r="J521" s="27"/>
      <c r="K521" s="27"/>
      <c r="L521" s="27"/>
      <c r="M521" s="30"/>
      <c r="N521" s="27"/>
      <c r="O521" s="27"/>
      <c r="P521" s="33"/>
      <c r="Q521" s="27"/>
    </row>
    <row r="522" spans="1:17" x14ac:dyDescent="0.25">
      <c r="A522" s="26"/>
      <c r="B522" s="27"/>
      <c r="C522" s="28"/>
      <c r="D522" s="27"/>
      <c r="E522" s="27"/>
      <c r="F522" s="29"/>
      <c r="G522" s="27"/>
      <c r="H522" s="27"/>
      <c r="I522" s="29"/>
      <c r="J522" s="27"/>
      <c r="K522" s="27"/>
      <c r="L522" s="27"/>
      <c r="M522" s="30"/>
      <c r="N522" s="27"/>
      <c r="O522" s="27"/>
      <c r="P522" s="33"/>
      <c r="Q522" s="27"/>
    </row>
    <row r="523" spans="1:17" x14ac:dyDescent="0.25">
      <c r="A523" s="26"/>
      <c r="B523" s="27"/>
      <c r="C523" s="28"/>
      <c r="D523" s="27"/>
      <c r="E523" s="27"/>
      <c r="F523" s="29"/>
      <c r="G523" s="27"/>
      <c r="H523" s="27"/>
      <c r="I523" s="29"/>
      <c r="J523" s="27"/>
      <c r="K523" s="27"/>
      <c r="L523" s="27"/>
      <c r="M523" s="30"/>
      <c r="N523" s="27"/>
      <c r="O523" s="27"/>
      <c r="P523" s="33"/>
      <c r="Q523" s="27"/>
    </row>
    <row r="524" spans="1:17" x14ac:dyDescent="0.25">
      <c r="A524" s="26"/>
      <c r="B524" s="27"/>
      <c r="C524" s="28"/>
      <c r="D524" s="27"/>
      <c r="E524" s="27"/>
      <c r="F524" s="29"/>
      <c r="G524" s="27"/>
      <c r="H524" s="27"/>
      <c r="I524" s="29"/>
      <c r="J524" s="27"/>
      <c r="K524" s="27"/>
      <c r="L524" s="27"/>
      <c r="M524" s="30"/>
      <c r="N524" s="27"/>
      <c r="O524" s="27"/>
      <c r="P524" s="33"/>
      <c r="Q524" s="27"/>
    </row>
    <row r="525" spans="1:17" x14ac:dyDescent="0.25">
      <c r="A525" s="26"/>
      <c r="B525" s="27"/>
      <c r="C525" s="28"/>
      <c r="D525" s="27"/>
      <c r="E525" s="27"/>
      <c r="F525" s="29"/>
      <c r="G525" s="27"/>
      <c r="H525" s="27"/>
      <c r="I525" s="29"/>
      <c r="J525" s="27"/>
      <c r="K525" s="27"/>
      <c r="L525" s="27"/>
      <c r="M525" s="30"/>
      <c r="N525" s="27"/>
      <c r="O525" s="27"/>
      <c r="P525" s="33"/>
      <c r="Q525" s="27"/>
    </row>
    <row r="526" spans="1:17" x14ac:dyDescent="0.25">
      <c r="A526" s="26"/>
      <c r="B526" s="27"/>
      <c r="C526" s="28"/>
      <c r="D526" s="27"/>
      <c r="E526" s="27"/>
      <c r="F526" s="29"/>
      <c r="G526" s="27"/>
      <c r="H526" s="27"/>
      <c r="I526" s="29"/>
      <c r="J526" s="27"/>
      <c r="K526" s="27"/>
      <c r="L526" s="27"/>
      <c r="M526" s="30"/>
      <c r="N526" s="27"/>
      <c r="O526" s="27"/>
      <c r="P526" s="33"/>
      <c r="Q526" s="27"/>
    </row>
    <row r="527" spans="1:17" x14ac:dyDescent="0.25">
      <c r="A527" s="26"/>
      <c r="B527" s="27"/>
      <c r="C527" s="28"/>
      <c r="D527" s="27"/>
      <c r="E527" s="27"/>
      <c r="F527" s="29"/>
      <c r="G527" s="27"/>
      <c r="H527" s="27"/>
      <c r="I527" s="29"/>
      <c r="J527" s="27"/>
      <c r="K527" s="27"/>
      <c r="L527" s="27"/>
      <c r="M527" s="30"/>
      <c r="N527" s="27"/>
      <c r="O527" s="27"/>
      <c r="P527" s="33"/>
      <c r="Q527" s="27"/>
    </row>
    <row r="528" spans="1:17" x14ac:dyDescent="0.25">
      <c r="A528" s="26"/>
      <c r="B528" s="27"/>
      <c r="C528" s="28"/>
      <c r="D528" s="27"/>
      <c r="E528" s="27"/>
      <c r="F528" s="29"/>
      <c r="G528" s="27"/>
      <c r="H528" s="27"/>
      <c r="I528" s="29"/>
      <c r="J528" s="27"/>
      <c r="K528" s="27"/>
      <c r="L528" s="27"/>
      <c r="M528" s="30"/>
      <c r="N528" s="27"/>
      <c r="O528" s="27"/>
      <c r="P528" s="33"/>
      <c r="Q528" s="27"/>
    </row>
    <row r="529" spans="1:17" x14ac:dyDescent="0.25">
      <c r="A529" s="26"/>
      <c r="B529" s="27"/>
      <c r="C529" s="28"/>
      <c r="D529" s="27"/>
      <c r="E529" s="27"/>
      <c r="F529" s="29"/>
      <c r="G529" s="27"/>
      <c r="H529" s="27"/>
      <c r="I529" s="29"/>
      <c r="J529" s="27"/>
      <c r="K529" s="27"/>
      <c r="L529" s="27"/>
      <c r="M529" s="30"/>
      <c r="N529" s="27"/>
      <c r="O529" s="27"/>
      <c r="P529" s="33"/>
      <c r="Q529" s="27"/>
    </row>
    <row r="530" spans="1:17" x14ac:dyDescent="0.25">
      <c r="A530" s="26"/>
      <c r="B530" s="27"/>
      <c r="C530" s="28"/>
      <c r="D530" s="27"/>
      <c r="E530" s="27"/>
      <c r="F530" s="29"/>
      <c r="G530" s="27"/>
      <c r="H530" s="27"/>
      <c r="I530" s="29"/>
      <c r="J530" s="27"/>
      <c r="K530" s="27"/>
      <c r="L530" s="27"/>
      <c r="M530" s="30"/>
      <c r="N530" s="27"/>
      <c r="O530" s="27"/>
      <c r="P530" s="33"/>
      <c r="Q530" s="27"/>
    </row>
    <row r="531" spans="1:17" x14ac:dyDescent="0.25">
      <c r="A531" s="26"/>
      <c r="B531" s="27"/>
      <c r="C531" s="28"/>
      <c r="D531" s="27"/>
      <c r="E531" s="27"/>
      <c r="F531" s="29"/>
      <c r="G531" s="27"/>
      <c r="H531" s="27"/>
      <c r="I531" s="29"/>
      <c r="J531" s="27"/>
      <c r="K531" s="27"/>
      <c r="L531" s="27"/>
      <c r="M531" s="30"/>
      <c r="N531" s="27"/>
      <c r="O531" s="27"/>
      <c r="P531" s="33"/>
      <c r="Q531" s="27"/>
    </row>
    <row r="532" spans="1:17" x14ac:dyDescent="0.25">
      <c r="A532" s="26"/>
      <c r="B532" s="27"/>
      <c r="C532" s="28"/>
      <c r="D532" s="27"/>
      <c r="E532" s="27"/>
      <c r="F532" s="29"/>
      <c r="G532" s="27"/>
      <c r="H532" s="27"/>
      <c r="I532" s="29"/>
      <c r="J532" s="27"/>
      <c r="K532" s="27"/>
      <c r="L532" s="27"/>
      <c r="M532" s="30"/>
      <c r="N532" s="27"/>
      <c r="O532" s="27"/>
      <c r="P532" s="33"/>
      <c r="Q532" s="27"/>
    </row>
    <row r="533" spans="1:17" x14ac:dyDescent="0.25">
      <c r="A533" s="26"/>
      <c r="B533" s="27"/>
      <c r="C533" s="28"/>
      <c r="D533" s="27"/>
      <c r="E533" s="27"/>
      <c r="F533" s="29"/>
      <c r="G533" s="27"/>
      <c r="H533" s="27"/>
      <c r="I533" s="29"/>
      <c r="J533" s="27"/>
      <c r="K533" s="27"/>
      <c r="L533" s="27"/>
      <c r="M533" s="30"/>
      <c r="N533" s="27"/>
      <c r="O533" s="27"/>
      <c r="P533" s="33"/>
      <c r="Q533" s="27"/>
    </row>
    <row r="534" spans="1:17" x14ac:dyDescent="0.25">
      <c r="A534" s="26"/>
      <c r="B534" s="27"/>
      <c r="C534" s="28"/>
      <c r="D534" s="27"/>
      <c r="E534" s="27"/>
      <c r="F534" s="29"/>
      <c r="G534" s="27"/>
      <c r="H534" s="27"/>
      <c r="I534" s="29"/>
      <c r="J534" s="27"/>
      <c r="K534" s="27"/>
      <c r="L534" s="27"/>
      <c r="M534" s="30"/>
      <c r="N534" s="27"/>
      <c r="O534" s="27"/>
      <c r="P534" s="33"/>
      <c r="Q534" s="27"/>
    </row>
    <row r="535" spans="1:17" x14ac:dyDescent="0.25">
      <c r="A535" s="26"/>
      <c r="B535" s="27"/>
      <c r="C535" s="28"/>
      <c r="D535" s="27"/>
      <c r="E535" s="27"/>
      <c r="F535" s="29"/>
      <c r="G535" s="27"/>
      <c r="H535" s="27"/>
      <c r="I535" s="29"/>
      <c r="J535" s="27"/>
      <c r="K535" s="27"/>
      <c r="L535" s="27"/>
      <c r="M535" s="30"/>
      <c r="N535" s="27"/>
      <c r="O535" s="27"/>
      <c r="P535" s="33"/>
      <c r="Q535" s="27"/>
    </row>
    <row r="536" spans="1:17" x14ac:dyDescent="0.25">
      <c r="A536" s="26"/>
      <c r="B536" s="27"/>
      <c r="C536" s="28"/>
      <c r="D536" s="27"/>
      <c r="E536" s="27"/>
      <c r="F536" s="29"/>
      <c r="G536" s="27"/>
      <c r="H536" s="27"/>
      <c r="I536" s="29"/>
      <c r="J536" s="27"/>
      <c r="K536" s="27"/>
      <c r="L536" s="27"/>
      <c r="M536" s="30"/>
      <c r="N536" s="27"/>
      <c r="O536" s="27"/>
      <c r="P536" s="33"/>
      <c r="Q536" s="27"/>
    </row>
    <row r="537" spans="1:17" x14ac:dyDescent="0.25">
      <c r="A537" s="26"/>
      <c r="B537" s="27"/>
      <c r="C537" s="28"/>
      <c r="D537" s="27"/>
      <c r="E537" s="27"/>
      <c r="F537" s="29"/>
      <c r="G537" s="27"/>
      <c r="H537" s="27"/>
      <c r="I537" s="29"/>
      <c r="J537" s="27"/>
      <c r="K537" s="27"/>
      <c r="L537" s="27"/>
      <c r="M537" s="30"/>
      <c r="N537" s="27"/>
      <c r="O537" s="27"/>
      <c r="P537" s="33"/>
      <c r="Q537" s="27"/>
    </row>
    <row r="538" spans="1:17" x14ac:dyDescent="0.25">
      <c r="A538" s="26"/>
      <c r="B538" s="27"/>
      <c r="C538" s="28"/>
      <c r="D538" s="27"/>
      <c r="E538" s="27"/>
      <c r="F538" s="29"/>
      <c r="G538" s="27"/>
      <c r="H538" s="27"/>
      <c r="I538" s="29"/>
      <c r="J538" s="27"/>
      <c r="K538" s="27"/>
      <c r="L538" s="27"/>
      <c r="M538" s="30"/>
      <c r="N538" s="27"/>
      <c r="O538" s="27"/>
      <c r="P538" s="33"/>
      <c r="Q538" s="27"/>
    </row>
    <row r="539" spans="1:17" x14ac:dyDescent="0.25">
      <c r="A539" s="26"/>
      <c r="B539" s="27"/>
      <c r="C539" s="28"/>
      <c r="D539" s="27"/>
      <c r="E539" s="27"/>
      <c r="F539" s="29"/>
      <c r="G539" s="27"/>
      <c r="H539" s="27"/>
      <c r="I539" s="29"/>
      <c r="J539" s="27"/>
      <c r="K539" s="27"/>
      <c r="L539" s="27"/>
      <c r="M539" s="30"/>
      <c r="N539" s="27"/>
      <c r="O539" s="27"/>
      <c r="P539" s="33"/>
      <c r="Q539" s="27"/>
    </row>
    <row r="540" spans="1:17" x14ac:dyDescent="0.25">
      <c r="A540" s="26"/>
      <c r="B540" s="27"/>
      <c r="C540" s="28"/>
      <c r="D540" s="27"/>
      <c r="E540" s="27"/>
      <c r="F540" s="29"/>
      <c r="G540" s="27"/>
      <c r="H540" s="27"/>
      <c r="I540" s="29"/>
      <c r="J540" s="27"/>
      <c r="K540" s="27"/>
      <c r="L540" s="27"/>
      <c r="M540" s="30"/>
      <c r="N540" s="27"/>
      <c r="O540" s="27"/>
      <c r="P540" s="33"/>
      <c r="Q540" s="27"/>
    </row>
    <row r="541" spans="1:17" x14ac:dyDescent="0.25">
      <c r="A541" s="26"/>
      <c r="B541" s="27"/>
      <c r="C541" s="28"/>
      <c r="D541" s="27"/>
      <c r="E541" s="27"/>
      <c r="F541" s="29"/>
      <c r="G541" s="27"/>
      <c r="H541" s="27"/>
      <c r="I541" s="29"/>
      <c r="J541" s="27"/>
      <c r="K541" s="27"/>
      <c r="L541" s="27"/>
      <c r="M541" s="30"/>
      <c r="N541" s="27"/>
      <c r="O541" s="27"/>
      <c r="P541" s="33"/>
      <c r="Q541" s="27"/>
    </row>
    <row r="542" spans="1:17" x14ac:dyDescent="0.25">
      <c r="A542" s="26"/>
      <c r="B542" s="27"/>
      <c r="C542" s="28"/>
      <c r="D542" s="27"/>
      <c r="E542" s="27"/>
      <c r="F542" s="29"/>
      <c r="G542" s="27"/>
      <c r="H542" s="27"/>
      <c r="I542" s="29"/>
      <c r="J542" s="27"/>
      <c r="K542" s="27"/>
      <c r="L542" s="27"/>
      <c r="M542" s="30"/>
      <c r="N542" s="27"/>
      <c r="O542" s="27"/>
      <c r="P542" s="33"/>
      <c r="Q542" s="27"/>
    </row>
    <row r="543" spans="1:17" x14ac:dyDescent="0.25">
      <c r="A543" s="26"/>
      <c r="B543" s="27"/>
      <c r="C543" s="28"/>
      <c r="D543" s="27"/>
      <c r="E543" s="27"/>
      <c r="F543" s="29"/>
      <c r="G543" s="27"/>
      <c r="H543" s="27"/>
      <c r="I543" s="29"/>
      <c r="J543" s="27"/>
      <c r="K543" s="27"/>
      <c r="L543" s="27"/>
      <c r="M543" s="30"/>
      <c r="N543" s="27"/>
      <c r="O543" s="27"/>
      <c r="P543" s="33"/>
      <c r="Q543" s="27"/>
    </row>
    <row r="544" spans="1:17" x14ac:dyDescent="0.25">
      <c r="A544" s="26"/>
      <c r="B544" s="27"/>
      <c r="C544" s="28"/>
      <c r="D544" s="27"/>
      <c r="E544" s="27"/>
      <c r="F544" s="29"/>
      <c r="G544" s="27"/>
      <c r="H544" s="27"/>
      <c r="I544" s="29"/>
      <c r="J544" s="27"/>
      <c r="K544" s="27"/>
      <c r="L544" s="27"/>
      <c r="M544" s="30"/>
      <c r="N544" s="27"/>
      <c r="O544" s="27"/>
      <c r="P544" s="33"/>
      <c r="Q544" s="27"/>
    </row>
    <row r="545" spans="1:17" x14ac:dyDescent="0.25">
      <c r="A545" s="26"/>
      <c r="B545" s="27"/>
      <c r="C545" s="28"/>
      <c r="D545" s="27"/>
      <c r="E545" s="27"/>
      <c r="F545" s="29"/>
      <c r="G545" s="27"/>
      <c r="H545" s="27"/>
      <c r="I545" s="29"/>
      <c r="J545" s="27"/>
      <c r="K545" s="27"/>
      <c r="L545" s="27"/>
      <c r="M545" s="30"/>
      <c r="N545" s="27"/>
      <c r="O545" s="27"/>
      <c r="P545" s="33"/>
      <c r="Q545" s="27"/>
    </row>
    <row r="546" spans="1:17" x14ac:dyDescent="0.25">
      <c r="A546" s="26"/>
      <c r="B546" s="27"/>
      <c r="C546" s="28"/>
      <c r="D546" s="27"/>
      <c r="E546" s="27"/>
      <c r="F546" s="29"/>
      <c r="G546" s="27"/>
      <c r="H546" s="27"/>
      <c r="I546" s="29"/>
      <c r="J546" s="27"/>
      <c r="K546" s="27"/>
      <c r="L546" s="27"/>
      <c r="M546" s="30"/>
      <c r="N546" s="27"/>
      <c r="O546" s="27"/>
      <c r="P546" s="33"/>
      <c r="Q546" s="27"/>
    </row>
    <row r="547" spans="1:17" x14ac:dyDescent="0.25">
      <c r="A547" s="26"/>
      <c r="B547" s="27"/>
      <c r="C547" s="28"/>
      <c r="D547" s="27"/>
      <c r="E547" s="27"/>
      <c r="F547" s="29"/>
      <c r="G547" s="27"/>
      <c r="H547" s="27"/>
      <c r="I547" s="29"/>
      <c r="J547" s="27"/>
      <c r="K547" s="27"/>
      <c r="L547" s="27"/>
      <c r="M547" s="30"/>
      <c r="N547" s="27"/>
      <c r="O547" s="27"/>
      <c r="P547" s="33"/>
      <c r="Q547" s="27"/>
    </row>
    <row r="548" spans="1:17" x14ac:dyDescent="0.25">
      <c r="A548" s="26"/>
      <c r="B548" s="27"/>
      <c r="C548" s="28"/>
      <c r="D548" s="27"/>
      <c r="E548" s="27"/>
      <c r="F548" s="29"/>
      <c r="G548" s="27"/>
      <c r="H548" s="27"/>
      <c r="I548" s="29"/>
      <c r="J548" s="27"/>
      <c r="K548" s="27"/>
      <c r="L548" s="27"/>
      <c r="M548" s="30"/>
      <c r="N548" s="27"/>
      <c r="O548" s="27"/>
      <c r="P548" s="33"/>
      <c r="Q548" s="27"/>
    </row>
    <row r="549" spans="1:17" x14ac:dyDescent="0.25">
      <c r="A549" s="26"/>
      <c r="B549" s="27"/>
      <c r="C549" s="28"/>
      <c r="D549" s="27"/>
      <c r="E549" s="27"/>
      <c r="F549" s="29"/>
      <c r="G549" s="27"/>
      <c r="H549" s="27"/>
      <c r="I549" s="29"/>
      <c r="J549" s="27"/>
      <c r="K549" s="27"/>
      <c r="L549" s="27"/>
      <c r="M549" s="30"/>
      <c r="N549" s="27"/>
      <c r="O549" s="27"/>
      <c r="P549" s="33"/>
      <c r="Q549" s="27"/>
    </row>
    <row r="550" spans="1:17" x14ac:dyDescent="0.25">
      <c r="A550" s="26"/>
      <c r="B550" s="27"/>
      <c r="C550" s="28"/>
      <c r="D550" s="27"/>
      <c r="E550" s="27"/>
      <c r="F550" s="29"/>
      <c r="G550" s="27"/>
      <c r="H550" s="27"/>
      <c r="I550" s="29"/>
      <c r="J550" s="27"/>
      <c r="K550" s="27"/>
      <c r="L550" s="27"/>
      <c r="M550" s="30"/>
      <c r="N550" s="27"/>
      <c r="O550" s="27"/>
      <c r="P550" s="33"/>
      <c r="Q550" s="27"/>
    </row>
    <row r="551" spans="1:17" x14ac:dyDescent="0.25">
      <c r="A551" s="26"/>
      <c r="B551" s="27"/>
      <c r="C551" s="28"/>
      <c r="D551" s="27"/>
      <c r="E551" s="27"/>
      <c r="F551" s="29"/>
      <c r="G551" s="27"/>
      <c r="H551" s="27"/>
      <c r="I551" s="29"/>
      <c r="J551" s="27"/>
      <c r="K551" s="27"/>
      <c r="L551" s="27"/>
      <c r="M551" s="30"/>
      <c r="N551" s="27"/>
      <c r="O551" s="27"/>
      <c r="P551" s="33"/>
      <c r="Q551" s="27"/>
    </row>
    <row r="552" spans="1:17" x14ac:dyDescent="0.25">
      <c r="A552" s="26"/>
      <c r="B552" s="27"/>
      <c r="C552" s="28"/>
      <c r="D552" s="27"/>
      <c r="E552" s="27"/>
      <c r="F552" s="29"/>
      <c r="G552" s="27"/>
      <c r="H552" s="27"/>
      <c r="I552" s="29"/>
      <c r="J552" s="27"/>
      <c r="K552" s="27"/>
      <c r="L552" s="27"/>
      <c r="M552" s="30"/>
      <c r="N552" s="27"/>
      <c r="O552" s="27"/>
      <c r="P552" s="33"/>
      <c r="Q552" s="27"/>
    </row>
    <row r="553" spans="1:17" x14ac:dyDescent="0.25">
      <c r="A553" s="26"/>
      <c r="B553" s="27"/>
      <c r="C553" s="28"/>
      <c r="D553" s="27"/>
      <c r="E553" s="27"/>
      <c r="F553" s="29"/>
      <c r="G553" s="27"/>
      <c r="H553" s="27"/>
      <c r="I553" s="29"/>
      <c r="J553" s="27"/>
      <c r="K553" s="27"/>
      <c r="L553" s="27"/>
      <c r="M553" s="30"/>
      <c r="N553" s="27"/>
      <c r="O553" s="27"/>
      <c r="P553" s="33"/>
      <c r="Q553" s="27"/>
    </row>
    <row r="554" spans="1:17" x14ac:dyDescent="0.25">
      <c r="A554" s="26"/>
      <c r="B554" s="27"/>
      <c r="C554" s="28"/>
      <c r="D554" s="27"/>
      <c r="E554" s="27"/>
      <c r="F554" s="29"/>
      <c r="G554" s="27"/>
      <c r="H554" s="27"/>
      <c r="I554" s="29"/>
      <c r="J554" s="27"/>
      <c r="K554" s="27"/>
      <c r="L554" s="27"/>
      <c r="M554" s="30"/>
      <c r="N554" s="27"/>
      <c r="O554" s="27"/>
      <c r="P554" s="33"/>
      <c r="Q554" s="27"/>
    </row>
    <row r="555" spans="1:17" x14ac:dyDescent="0.25">
      <c r="A555" s="26"/>
      <c r="B555" s="27"/>
      <c r="C555" s="28"/>
      <c r="D555" s="27"/>
      <c r="E555" s="27"/>
      <c r="F555" s="29"/>
      <c r="G555" s="27"/>
      <c r="H555" s="27"/>
      <c r="I555" s="29"/>
      <c r="J555" s="27"/>
      <c r="K555" s="27"/>
      <c r="L555" s="27"/>
      <c r="M555" s="30"/>
      <c r="N555" s="27"/>
      <c r="O555" s="27"/>
      <c r="P555" s="33"/>
      <c r="Q555" s="27"/>
    </row>
    <row r="556" spans="1:17" x14ac:dyDescent="0.25">
      <c r="A556" s="26"/>
      <c r="B556" s="27"/>
      <c r="C556" s="28"/>
      <c r="D556" s="27"/>
      <c r="E556" s="27"/>
      <c r="F556" s="29"/>
      <c r="G556" s="27"/>
      <c r="H556" s="27"/>
      <c r="I556" s="29"/>
      <c r="J556" s="27"/>
      <c r="K556" s="27"/>
      <c r="L556" s="27"/>
      <c r="M556" s="30"/>
      <c r="N556" s="27"/>
      <c r="O556" s="27"/>
      <c r="P556" s="33"/>
      <c r="Q556" s="27"/>
    </row>
    <row r="557" spans="1:17" x14ac:dyDescent="0.25">
      <c r="A557" s="26"/>
      <c r="B557" s="27"/>
      <c r="C557" s="28"/>
      <c r="D557" s="27"/>
      <c r="E557" s="27"/>
      <c r="F557" s="29"/>
      <c r="G557" s="27"/>
      <c r="H557" s="27"/>
      <c r="I557" s="29"/>
      <c r="J557" s="27"/>
      <c r="K557" s="27"/>
      <c r="L557" s="27"/>
      <c r="M557" s="30"/>
      <c r="N557" s="27"/>
      <c r="O557" s="27"/>
      <c r="P557" s="33"/>
      <c r="Q557" s="27"/>
    </row>
    <row r="558" spans="1:17" x14ac:dyDescent="0.25">
      <c r="A558" s="26"/>
      <c r="B558" s="27"/>
      <c r="C558" s="28"/>
      <c r="D558" s="27"/>
      <c r="E558" s="27"/>
      <c r="F558" s="29"/>
      <c r="G558" s="27"/>
      <c r="H558" s="27"/>
      <c r="I558" s="29"/>
      <c r="J558" s="27"/>
      <c r="K558" s="27"/>
      <c r="L558" s="27"/>
      <c r="M558" s="30"/>
      <c r="N558" s="27"/>
      <c r="O558" s="27"/>
      <c r="P558" s="33"/>
      <c r="Q558" s="27"/>
    </row>
    <row r="559" spans="1:17" x14ac:dyDescent="0.25">
      <c r="A559" s="26"/>
      <c r="B559" s="27"/>
      <c r="C559" s="28"/>
      <c r="D559" s="27"/>
      <c r="E559" s="27"/>
      <c r="F559" s="29"/>
      <c r="G559" s="27"/>
      <c r="H559" s="27"/>
      <c r="I559" s="29"/>
      <c r="J559" s="27"/>
      <c r="K559" s="27"/>
      <c r="L559" s="27"/>
      <c r="M559" s="30"/>
      <c r="N559" s="27"/>
      <c r="O559" s="27"/>
      <c r="P559" s="33"/>
      <c r="Q559" s="27"/>
    </row>
    <row r="560" spans="1:17" x14ac:dyDescent="0.25">
      <c r="A560" s="26"/>
      <c r="B560" s="27"/>
      <c r="C560" s="28"/>
      <c r="D560" s="27"/>
      <c r="E560" s="27"/>
      <c r="F560" s="29"/>
      <c r="G560" s="27"/>
      <c r="H560" s="27"/>
      <c r="I560" s="29"/>
      <c r="J560" s="27"/>
      <c r="K560" s="27"/>
      <c r="L560" s="27"/>
      <c r="M560" s="30"/>
      <c r="N560" s="27"/>
      <c r="O560" s="27"/>
      <c r="P560" s="33"/>
      <c r="Q560" s="27"/>
    </row>
    <row r="561" spans="1:17" x14ac:dyDescent="0.25">
      <c r="A561" s="26"/>
      <c r="B561" s="27"/>
      <c r="C561" s="28"/>
      <c r="D561" s="27"/>
      <c r="E561" s="27"/>
      <c r="F561" s="29"/>
      <c r="G561" s="27"/>
      <c r="H561" s="27"/>
      <c r="I561" s="29"/>
      <c r="J561" s="27"/>
      <c r="K561" s="27"/>
      <c r="L561" s="27"/>
      <c r="M561" s="30"/>
      <c r="N561" s="27"/>
      <c r="O561" s="27"/>
      <c r="P561" s="33"/>
      <c r="Q561" s="27"/>
    </row>
    <row r="562" spans="1:17" x14ac:dyDescent="0.25">
      <c r="A562" s="26"/>
      <c r="B562" s="27"/>
      <c r="C562" s="28"/>
      <c r="D562" s="27"/>
      <c r="E562" s="27"/>
      <c r="F562" s="29"/>
      <c r="G562" s="27"/>
      <c r="H562" s="27"/>
      <c r="I562" s="29"/>
      <c r="J562" s="27"/>
      <c r="K562" s="27"/>
      <c r="L562" s="27"/>
      <c r="M562" s="30"/>
      <c r="N562" s="27"/>
      <c r="O562" s="27"/>
      <c r="P562" s="33"/>
      <c r="Q562" s="27"/>
    </row>
    <row r="563" spans="1:17" x14ac:dyDescent="0.25">
      <c r="A563" s="26"/>
      <c r="B563" s="27"/>
      <c r="C563" s="28"/>
      <c r="D563" s="27"/>
      <c r="E563" s="27"/>
      <c r="F563" s="29"/>
      <c r="G563" s="27"/>
      <c r="H563" s="27"/>
      <c r="I563" s="29"/>
      <c r="J563" s="27"/>
      <c r="K563" s="27"/>
      <c r="L563" s="27"/>
      <c r="M563" s="30"/>
      <c r="N563" s="27"/>
      <c r="O563" s="27"/>
      <c r="P563" s="33"/>
      <c r="Q563" s="27"/>
    </row>
    <row r="564" spans="1:17" x14ac:dyDescent="0.25">
      <c r="A564" s="26"/>
      <c r="B564" s="27"/>
      <c r="C564" s="28"/>
      <c r="D564" s="27"/>
      <c r="E564" s="27"/>
      <c r="F564" s="29"/>
      <c r="G564" s="27"/>
      <c r="H564" s="27"/>
      <c r="I564" s="29"/>
      <c r="J564" s="27"/>
      <c r="K564" s="27"/>
      <c r="L564" s="27"/>
      <c r="M564" s="30"/>
      <c r="N564" s="27"/>
      <c r="O564" s="27"/>
      <c r="P564" s="33"/>
      <c r="Q564" s="27"/>
    </row>
    <row r="565" spans="1:17" x14ac:dyDescent="0.25">
      <c r="A565" s="26"/>
      <c r="B565" s="27"/>
      <c r="C565" s="28"/>
      <c r="D565" s="27"/>
      <c r="E565" s="27"/>
      <c r="F565" s="29"/>
      <c r="G565" s="27"/>
      <c r="H565" s="27"/>
      <c r="I565" s="29"/>
      <c r="J565" s="27"/>
      <c r="K565" s="27"/>
      <c r="L565" s="27"/>
      <c r="M565" s="30"/>
      <c r="N565" s="27"/>
      <c r="O565" s="27"/>
      <c r="P565" s="33"/>
      <c r="Q565" s="27"/>
    </row>
    <row r="566" spans="1:17" x14ac:dyDescent="0.25">
      <c r="A566" s="26"/>
      <c r="B566" s="27"/>
      <c r="C566" s="28"/>
      <c r="D566" s="27"/>
      <c r="E566" s="27"/>
      <c r="F566" s="29"/>
      <c r="G566" s="27"/>
      <c r="H566" s="27"/>
      <c r="I566" s="29"/>
      <c r="J566" s="27"/>
      <c r="K566" s="27"/>
      <c r="L566" s="27"/>
      <c r="M566" s="30"/>
      <c r="N566" s="27"/>
      <c r="O566" s="27"/>
      <c r="P566" s="33"/>
      <c r="Q566" s="27"/>
    </row>
    <row r="567" spans="1:17" x14ac:dyDescent="0.25">
      <c r="A567" s="26"/>
      <c r="B567" s="27"/>
      <c r="C567" s="28"/>
      <c r="D567" s="27"/>
      <c r="E567" s="27"/>
      <c r="F567" s="29"/>
      <c r="G567" s="27"/>
      <c r="H567" s="27"/>
      <c r="I567" s="29"/>
      <c r="J567" s="27"/>
      <c r="K567" s="27"/>
      <c r="L567" s="27"/>
      <c r="M567" s="30"/>
      <c r="N567" s="27"/>
      <c r="O567" s="27"/>
      <c r="P567" s="33"/>
      <c r="Q567" s="27"/>
    </row>
    <row r="568" spans="1:17" x14ac:dyDescent="0.25">
      <c r="A568" s="26"/>
      <c r="B568" s="27"/>
      <c r="C568" s="28"/>
      <c r="D568" s="27"/>
      <c r="E568" s="27"/>
      <c r="F568" s="29"/>
      <c r="G568" s="27"/>
      <c r="H568" s="27"/>
      <c r="I568" s="29"/>
      <c r="J568" s="27"/>
      <c r="K568" s="27"/>
      <c r="L568" s="27"/>
      <c r="M568" s="30"/>
      <c r="N568" s="27"/>
      <c r="O568" s="27"/>
      <c r="P568" s="33"/>
      <c r="Q568" s="27"/>
    </row>
    <row r="569" spans="1:17" x14ac:dyDescent="0.25">
      <c r="A569" s="26"/>
      <c r="B569" s="27"/>
      <c r="C569" s="28"/>
      <c r="D569" s="27"/>
      <c r="E569" s="27"/>
      <c r="F569" s="29"/>
      <c r="G569" s="27"/>
      <c r="H569" s="27"/>
      <c r="I569" s="29"/>
      <c r="J569" s="27"/>
      <c r="K569" s="27"/>
      <c r="L569" s="27"/>
      <c r="M569" s="30"/>
      <c r="N569" s="27"/>
      <c r="O569" s="27"/>
      <c r="P569" s="33"/>
      <c r="Q569" s="27"/>
    </row>
    <row r="570" spans="1:17" x14ac:dyDescent="0.25">
      <c r="A570" s="26"/>
      <c r="B570" s="27"/>
      <c r="C570" s="28"/>
      <c r="D570" s="27"/>
      <c r="E570" s="27"/>
      <c r="F570" s="29"/>
      <c r="G570" s="27"/>
      <c r="H570" s="27"/>
      <c r="I570" s="29"/>
      <c r="J570" s="27"/>
      <c r="K570" s="27"/>
      <c r="L570" s="27"/>
      <c r="M570" s="30"/>
      <c r="N570" s="27"/>
      <c r="O570" s="27"/>
      <c r="P570" s="33"/>
      <c r="Q570" s="27"/>
    </row>
    <row r="571" spans="1:17" x14ac:dyDescent="0.25">
      <c r="A571" s="26"/>
      <c r="B571" s="27"/>
      <c r="C571" s="28"/>
      <c r="D571" s="27"/>
      <c r="E571" s="27"/>
      <c r="F571" s="29"/>
      <c r="G571" s="27"/>
      <c r="H571" s="27"/>
      <c r="I571" s="29"/>
      <c r="J571" s="27"/>
      <c r="K571" s="27"/>
      <c r="L571" s="27"/>
      <c r="M571" s="30"/>
      <c r="N571" s="27"/>
      <c r="O571" s="27"/>
      <c r="P571" s="33"/>
      <c r="Q571" s="27"/>
    </row>
    <row r="572" spans="1:17" x14ac:dyDescent="0.25">
      <c r="A572" s="26"/>
      <c r="B572" s="27"/>
      <c r="C572" s="28"/>
      <c r="D572" s="27"/>
      <c r="E572" s="27"/>
      <c r="F572" s="29"/>
      <c r="G572" s="27"/>
      <c r="H572" s="27"/>
      <c r="I572" s="29"/>
      <c r="J572" s="27"/>
      <c r="K572" s="27"/>
      <c r="L572" s="27"/>
      <c r="M572" s="30"/>
      <c r="N572" s="27"/>
      <c r="O572" s="27"/>
      <c r="P572" s="33"/>
      <c r="Q572" s="27"/>
    </row>
    <row r="573" spans="1:17" x14ac:dyDescent="0.25">
      <c r="A573" s="26"/>
      <c r="B573" s="27"/>
      <c r="C573" s="28"/>
      <c r="D573" s="27"/>
      <c r="E573" s="27"/>
      <c r="F573" s="29"/>
      <c r="G573" s="27"/>
      <c r="H573" s="27"/>
      <c r="I573" s="29"/>
      <c r="J573" s="27"/>
      <c r="K573" s="27"/>
      <c r="L573" s="27"/>
      <c r="M573" s="30"/>
      <c r="N573" s="27"/>
      <c r="O573" s="27"/>
      <c r="P573" s="33"/>
      <c r="Q573" s="27"/>
    </row>
    <row r="574" spans="1:17" x14ac:dyDescent="0.25">
      <c r="A574" s="26"/>
      <c r="B574" s="27"/>
      <c r="C574" s="28"/>
      <c r="D574" s="27"/>
      <c r="E574" s="27"/>
      <c r="F574" s="29"/>
      <c r="G574" s="27"/>
      <c r="H574" s="27"/>
      <c r="I574" s="29"/>
      <c r="J574" s="27"/>
      <c r="K574" s="27"/>
      <c r="L574" s="27"/>
      <c r="M574" s="30"/>
      <c r="N574" s="27"/>
      <c r="O574" s="27"/>
      <c r="P574" s="33"/>
      <c r="Q574" s="27"/>
    </row>
    <row r="575" spans="1:17" x14ac:dyDescent="0.25">
      <c r="A575" s="26"/>
      <c r="B575" s="27"/>
      <c r="C575" s="28"/>
      <c r="D575" s="27"/>
      <c r="E575" s="27"/>
      <c r="F575" s="29"/>
      <c r="G575" s="27"/>
      <c r="H575" s="27"/>
      <c r="I575" s="29"/>
      <c r="J575" s="27"/>
      <c r="K575" s="27"/>
      <c r="L575" s="27"/>
      <c r="M575" s="30"/>
      <c r="N575" s="27"/>
      <c r="O575" s="27"/>
      <c r="P575" s="33"/>
      <c r="Q575" s="27"/>
    </row>
    <row r="576" spans="1:17" x14ac:dyDescent="0.25">
      <c r="A576" s="26"/>
      <c r="B576" s="27"/>
      <c r="C576" s="28"/>
      <c r="D576" s="27"/>
      <c r="E576" s="27"/>
      <c r="F576" s="29"/>
      <c r="G576" s="27"/>
      <c r="H576" s="27"/>
      <c r="I576" s="29"/>
      <c r="J576" s="27"/>
      <c r="K576" s="27"/>
      <c r="L576" s="27"/>
      <c r="M576" s="30"/>
      <c r="N576" s="27"/>
      <c r="O576" s="27"/>
      <c r="P576" s="33"/>
      <c r="Q576" s="27"/>
    </row>
    <row r="577" spans="1:17" x14ac:dyDescent="0.25">
      <c r="A577" s="26"/>
      <c r="B577" s="27"/>
      <c r="C577" s="28"/>
      <c r="D577" s="27"/>
      <c r="E577" s="27"/>
      <c r="F577" s="29"/>
      <c r="G577" s="27"/>
      <c r="H577" s="27"/>
      <c r="I577" s="29"/>
      <c r="J577" s="27"/>
      <c r="K577" s="27"/>
      <c r="L577" s="27"/>
      <c r="M577" s="30"/>
      <c r="N577" s="27"/>
      <c r="O577" s="27"/>
      <c r="P577" s="33"/>
      <c r="Q577" s="27"/>
    </row>
    <row r="578" spans="1:17" x14ac:dyDescent="0.25">
      <c r="A578" s="26"/>
      <c r="B578" s="27"/>
      <c r="C578" s="28"/>
      <c r="D578" s="27"/>
      <c r="E578" s="27"/>
      <c r="F578" s="29"/>
      <c r="G578" s="27"/>
      <c r="H578" s="27"/>
      <c r="I578" s="29"/>
      <c r="J578" s="27"/>
      <c r="K578" s="27"/>
      <c r="L578" s="27"/>
      <c r="M578" s="30"/>
      <c r="N578" s="27"/>
      <c r="O578" s="27"/>
      <c r="P578" s="33"/>
      <c r="Q578" s="27"/>
    </row>
    <row r="579" spans="1:17" x14ac:dyDescent="0.25">
      <c r="A579" s="26"/>
      <c r="B579" s="27"/>
      <c r="C579" s="28"/>
      <c r="D579" s="27"/>
      <c r="E579" s="27"/>
      <c r="F579" s="29"/>
      <c r="G579" s="27"/>
      <c r="H579" s="27"/>
      <c r="I579" s="29"/>
      <c r="J579" s="27"/>
      <c r="K579" s="27"/>
      <c r="L579" s="27"/>
      <c r="M579" s="30"/>
      <c r="N579" s="27"/>
      <c r="O579" s="27"/>
      <c r="P579" s="33"/>
      <c r="Q579" s="27"/>
    </row>
    <row r="580" spans="1:17" x14ac:dyDescent="0.25">
      <c r="A580" s="26"/>
      <c r="B580" s="27"/>
      <c r="C580" s="28"/>
      <c r="D580" s="27"/>
      <c r="E580" s="27"/>
      <c r="F580" s="29"/>
      <c r="G580" s="27"/>
      <c r="H580" s="27"/>
      <c r="I580" s="29"/>
      <c r="J580" s="27"/>
      <c r="K580" s="27"/>
      <c r="L580" s="27"/>
      <c r="M580" s="30"/>
      <c r="N580" s="27"/>
      <c r="O580" s="27"/>
      <c r="P580" s="33"/>
      <c r="Q580" s="27"/>
    </row>
    <row r="581" spans="1:17" x14ac:dyDescent="0.25">
      <c r="A581" s="26"/>
      <c r="B581" s="27"/>
      <c r="C581" s="28"/>
      <c r="D581" s="27"/>
      <c r="E581" s="27"/>
      <c r="F581" s="29"/>
      <c r="G581" s="27"/>
      <c r="H581" s="27"/>
      <c r="I581" s="29"/>
      <c r="J581" s="27"/>
      <c r="K581" s="27"/>
      <c r="L581" s="27"/>
      <c r="M581" s="30"/>
      <c r="N581" s="27"/>
      <c r="O581" s="27"/>
      <c r="P581" s="33"/>
      <c r="Q581" s="27"/>
    </row>
    <row r="582" spans="1:17" x14ac:dyDescent="0.25">
      <c r="A582" s="26"/>
      <c r="B582" s="27"/>
      <c r="C582" s="28"/>
      <c r="D582" s="27"/>
      <c r="E582" s="27"/>
      <c r="F582" s="29"/>
      <c r="G582" s="27"/>
      <c r="H582" s="27"/>
      <c r="I582" s="29"/>
      <c r="J582" s="27"/>
      <c r="K582" s="27"/>
      <c r="L582" s="27"/>
      <c r="M582" s="30"/>
      <c r="N582" s="27"/>
      <c r="O582" s="27"/>
      <c r="P582" s="33"/>
      <c r="Q582" s="27"/>
    </row>
    <row r="583" spans="1:17" x14ac:dyDescent="0.25">
      <c r="A583" s="26"/>
      <c r="B583" s="27"/>
      <c r="C583" s="28"/>
      <c r="D583" s="27"/>
      <c r="E583" s="27"/>
      <c r="F583" s="29"/>
      <c r="G583" s="27"/>
      <c r="H583" s="27"/>
      <c r="I583" s="29"/>
      <c r="J583" s="27"/>
      <c r="K583" s="27"/>
      <c r="L583" s="27"/>
      <c r="M583" s="30"/>
      <c r="N583" s="27"/>
      <c r="O583" s="27"/>
      <c r="P583" s="33"/>
      <c r="Q583" s="27"/>
    </row>
    <row r="584" spans="1:17" x14ac:dyDescent="0.25">
      <c r="A584" s="26"/>
      <c r="B584" s="27"/>
      <c r="C584" s="28"/>
      <c r="D584" s="27"/>
      <c r="E584" s="27"/>
      <c r="F584" s="29"/>
      <c r="G584" s="27"/>
      <c r="H584" s="27"/>
      <c r="I584" s="29"/>
      <c r="J584" s="27"/>
      <c r="K584" s="27"/>
      <c r="L584" s="27"/>
      <c r="M584" s="30"/>
      <c r="N584" s="27"/>
      <c r="O584" s="27"/>
      <c r="P584" s="33"/>
      <c r="Q584" s="27"/>
    </row>
    <row r="585" spans="1:17" x14ac:dyDescent="0.25">
      <c r="A585" s="26"/>
      <c r="B585" s="27"/>
      <c r="C585" s="28"/>
      <c r="D585" s="27"/>
      <c r="E585" s="27"/>
      <c r="F585" s="29"/>
      <c r="G585" s="27"/>
      <c r="H585" s="27"/>
      <c r="I585" s="29"/>
      <c r="J585" s="27"/>
      <c r="K585" s="27"/>
      <c r="L585" s="27"/>
      <c r="M585" s="30"/>
      <c r="N585" s="27"/>
      <c r="O585" s="27"/>
      <c r="P585" s="33"/>
      <c r="Q585" s="27"/>
    </row>
    <row r="586" spans="1:17" x14ac:dyDescent="0.25">
      <c r="A586" s="26"/>
      <c r="B586" s="27"/>
      <c r="C586" s="28"/>
      <c r="D586" s="27"/>
      <c r="E586" s="27"/>
      <c r="F586" s="29"/>
      <c r="G586" s="27"/>
      <c r="H586" s="27"/>
      <c r="I586" s="29"/>
      <c r="J586" s="27"/>
      <c r="K586" s="27"/>
      <c r="L586" s="27"/>
      <c r="M586" s="30"/>
      <c r="N586" s="27"/>
      <c r="O586" s="27"/>
      <c r="P586" s="33"/>
      <c r="Q586" s="27"/>
    </row>
    <row r="587" spans="1:17" x14ac:dyDescent="0.25">
      <c r="A587" s="26"/>
      <c r="B587" s="27"/>
      <c r="C587" s="28"/>
      <c r="D587" s="27"/>
      <c r="E587" s="27"/>
      <c r="F587" s="29"/>
      <c r="G587" s="27"/>
      <c r="H587" s="27"/>
      <c r="I587" s="29"/>
      <c r="J587" s="27"/>
      <c r="K587" s="27"/>
      <c r="L587" s="27"/>
      <c r="M587" s="30"/>
      <c r="N587" s="27"/>
      <c r="O587" s="27"/>
      <c r="P587" s="33"/>
      <c r="Q587" s="27"/>
    </row>
    <row r="588" spans="1:17" x14ac:dyDescent="0.25">
      <c r="A588" s="26"/>
      <c r="B588" s="27"/>
      <c r="C588" s="28"/>
      <c r="D588" s="27"/>
      <c r="E588" s="27"/>
      <c r="F588" s="29"/>
      <c r="G588" s="27"/>
      <c r="H588" s="27"/>
      <c r="I588" s="29"/>
      <c r="J588" s="27"/>
      <c r="K588" s="27"/>
      <c r="L588" s="27"/>
      <c r="M588" s="30"/>
      <c r="N588" s="27"/>
      <c r="O588" s="27"/>
      <c r="P588" s="33"/>
      <c r="Q588" s="27"/>
    </row>
    <row r="589" spans="1:17" x14ac:dyDescent="0.25">
      <c r="A589" s="26"/>
      <c r="B589" s="27"/>
      <c r="C589" s="28"/>
      <c r="D589" s="27"/>
      <c r="E589" s="27"/>
      <c r="F589" s="29"/>
      <c r="G589" s="27"/>
      <c r="H589" s="27"/>
      <c r="I589" s="29"/>
      <c r="J589" s="27"/>
      <c r="K589" s="27"/>
      <c r="L589" s="27"/>
      <c r="M589" s="30"/>
      <c r="N589" s="27"/>
      <c r="O589" s="27"/>
      <c r="P589" s="33"/>
      <c r="Q589" s="27"/>
    </row>
    <row r="590" spans="1:17" x14ac:dyDescent="0.25">
      <c r="A590" s="26"/>
      <c r="B590" s="27"/>
      <c r="C590" s="28"/>
      <c r="D590" s="27"/>
      <c r="E590" s="27"/>
      <c r="F590" s="29"/>
      <c r="G590" s="27"/>
      <c r="H590" s="27"/>
      <c r="I590" s="29"/>
      <c r="J590" s="27"/>
      <c r="K590" s="27"/>
      <c r="L590" s="27"/>
      <c r="M590" s="30"/>
      <c r="N590" s="27"/>
      <c r="O590" s="27"/>
      <c r="P590" s="33"/>
      <c r="Q590" s="27"/>
    </row>
    <row r="591" spans="1:17" x14ac:dyDescent="0.25">
      <c r="A591" s="26"/>
      <c r="B591" s="27"/>
      <c r="C591" s="28"/>
      <c r="D591" s="27"/>
      <c r="E591" s="27"/>
      <c r="F591" s="29"/>
      <c r="G591" s="27"/>
      <c r="H591" s="27"/>
      <c r="I591" s="29"/>
      <c r="J591" s="27"/>
      <c r="K591" s="27"/>
      <c r="L591" s="27"/>
      <c r="M591" s="30"/>
      <c r="N591" s="27"/>
      <c r="O591" s="27"/>
      <c r="P591" s="33"/>
      <c r="Q591" s="27"/>
    </row>
    <row r="592" spans="1:17" x14ac:dyDescent="0.25">
      <c r="A592" s="26"/>
      <c r="B592" s="27"/>
      <c r="C592" s="28"/>
      <c r="D592" s="27"/>
      <c r="E592" s="27"/>
      <c r="F592" s="29"/>
      <c r="G592" s="27"/>
      <c r="H592" s="27"/>
      <c r="I592" s="29"/>
      <c r="J592" s="27"/>
      <c r="K592" s="27"/>
      <c r="L592" s="27"/>
      <c r="M592" s="30"/>
      <c r="N592" s="27"/>
      <c r="O592" s="27"/>
      <c r="P592" s="33"/>
      <c r="Q592" s="27"/>
    </row>
    <row r="593" spans="1:17" x14ac:dyDescent="0.25">
      <c r="A593" s="26"/>
      <c r="B593" s="27"/>
      <c r="C593" s="28"/>
      <c r="D593" s="27"/>
      <c r="E593" s="27"/>
      <c r="F593" s="29"/>
      <c r="G593" s="27"/>
      <c r="H593" s="27"/>
      <c r="I593" s="29"/>
      <c r="J593" s="27"/>
      <c r="K593" s="27"/>
      <c r="L593" s="27"/>
      <c r="M593" s="30"/>
      <c r="N593" s="27"/>
      <c r="O593" s="27"/>
      <c r="P593" s="33"/>
      <c r="Q593" s="27"/>
    </row>
    <row r="594" spans="1:17" x14ac:dyDescent="0.25">
      <c r="A594" s="26"/>
      <c r="B594" s="27"/>
      <c r="C594" s="28"/>
      <c r="D594" s="27"/>
      <c r="E594" s="27"/>
      <c r="F594" s="29"/>
      <c r="G594" s="27"/>
      <c r="H594" s="27"/>
      <c r="I594" s="29"/>
      <c r="J594" s="27"/>
      <c r="K594" s="27"/>
      <c r="L594" s="27"/>
      <c r="M594" s="30"/>
      <c r="N594" s="27"/>
      <c r="O594" s="27"/>
      <c r="P594" s="33"/>
      <c r="Q594" s="27"/>
    </row>
    <row r="595" spans="1:17" x14ac:dyDescent="0.25">
      <c r="A595" s="26"/>
      <c r="B595" s="27"/>
      <c r="C595" s="28"/>
      <c r="D595" s="27"/>
      <c r="E595" s="27"/>
      <c r="F595" s="29"/>
      <c r="G595" s="27"/>
      <c r="H595" s="27"/>
      <c r="I595" s="29"/>
      <c r="J595" s="27"/>
      <c r="K595" s="27"/>
      <c r="L595" s="27"/>
      <c r="M595" s="30"/>
      <c r="N595" s="27"/>
      <c r="O595" s="27"/>
      <c r="P595" s="33"/>
      <c r="Q595" s="27"/>
    </row>
    <row r="596" spans="1:17" x14ac:dyDescent="0.25">
      <c r="A596" s="26"/>
      <c r="B596" s="27"/>
      <c r="C596" s="28"/>
      <c r="D596" s="27"/>
      <c r="E596" s="27"/>
      <c r="F596" s="29"/>
      <c r="G596" s="27"/>
      <c r="H596" s="27"/>
      <c r="I596" s="29"/>
      <c r="J596" s="27"/>
      <c r="K596" s="27"/>
      <c r="L596" s="27"/>
      <c r="M596" s="30"/>
      <c r="N596" s="27"/>
      <c r="O596" s="27"/>
      <c r="P596" s="33"/>
      <c r="Q596" s="27"/>
    </row>
    <row r="597" spans="1:17" x14ac:dyDescent="0.25">
      <c r="A597" s="26"/>
      <c r="B597" s="27"/>
      <c r="C597" s="28"/>
      <c r="D597" s="27"/>
      <c r="E597" s="27"/>
      <c r="F597" s="29"/>
      <c r="G597" s="27"/>
      <c r="H597" s="27"/>
      <c r="I597" s="29"/>
      <c r="J597" s="27"/>
      <c r="K597" s="27"/>
      <c r="L597" s="27"/>
      <c r="M597" s="30"/>
      <c r="N597" s="27"/>
      <c r="O597" s="27"/>
      <c r="P597" s="33"/>
      <c r="Q597" s="27"/>
    </row>
    <row r="598" spans="1:17" x14ac:dyDescent="0.25">
      <c r="A598" s="26"/>
      <c r="B598" s="27"/>
      <c r="C598" s="28"/>
      <c r="D598" s="27"/>
      <c r="E598" s="27"/>
      <c r="F598" s="29"/>
      <c r="G598" s="27"/>
      <c r="H598" s="27"/>
      <c r="I598" s="29"/>
      <c r="J598" s="27"/>
      <c r="K598" s="27"/>
      <c r="L598" s="27"/>
      <c r="M598" s="30"/>
      <c r="N598" s="27"/>
      <c r="O598" s="27"/>
      <c r="P598" s="33"/>
      <c r="Q598" s="27"/>
    </row>
    <row r="599" spans="1:17" x14ac:dyDescent="0.25">
      <c r="A599" s="26"/>
      <c r="B599" s="27"/>
      <c r="C599" s="28"/>
      <c r="D599" s="27"/>
      <c r="E599" s="27"/>
      <c r="F599" s="29"/>
      <c r="G599" s="27"/>
      <c r="H599" s="27"/>
      <c r="I599" s="29"/>
      <c r="J599" s="27"/>
      <c r="K599" s="27"/>
      <c r="L599" s="27"/>
      <c r="M599" s="30"/>
      <c r="N599" s="27"/>
      <c r="O599" s="27"/>
      <c r="P599" s="33"/>
      <c r="Q599" s="27"/>
    </row>
    <row r="600" spans="1:17" x14ac:dyDescent="0.25">
      <c r="A600" s="26"/>
      <c r="B600" s="27"/>
      <c r="C600" s="28"/>
      <c r="D600" s="27"/>
      <c r="E600" s="27"/>
      <c r="F600" s="29"/>
      <c r="G600" s="27"/>
      <c r="H600" s="27"/>
      <c r="I600" s="29"/>
      <c r="J600" s="27"/>
      <c r="K600" s="27"/>
      <c r="L600" s="27"/>
      <c r="M600" s="30"/>
      <c r="N600" s="27"/>
      <c r="O600" s="27"/>
      <c r="P600" s="33"/>
      <c r="Q600" s="27"/>
    </row>
    <row r="601" spans="1:17" x14ac:dyDescent="0.25">
      <c r="A601" s="26"/>
      <c r="B601" s="27"/>
      <c r="C601" s="28"/>
      <c r="D601" s="27"/>
      <c r="E601" s="27"/>
      <c r="F601" s="29"/>
      <c r="G601" s="27"/>
      <c r="H601" s="27"/>
      <c r="I601" s="29"/>
      <c r="J601" s="27"/>
      <c r="K601" s="27"/>
      <c r="L601" s="27"/>
      <c r="M601" s="30"/>
      <c r="N601" s="27"/>
      <c r="O601" s="27"/>
      <c r="P601" s="33"/>
      <c r="Q601" s="27"/>
    </row>
    <row r="602" spans="1:17" x14ac:dyDescent="0.25">
      <c r="A602" s="26"/>
      <c r="B602" s="27"/>
      <c r="C602" s="28"/>
      <c r="D602" s="27"/>
      <c r="E602" s="27"/>
      <c r="F602" s="29"/>
      <c r="G602" s="27"/>
      <c r="H602" s="27"/>
      <c r="I602" s="29"/>
      <c r="J602" s="27"/>
      <c r="K602" s="27"/>
      <c r="L602" s="27"/>
      <c r="M602" s="30"/>
      <c r="N602" s="27"/>
      <c r="O602" s="27"/>
      <c r="P602" s="33"/>
      <c r="Q602" s="27"/>
    </row>
    <row r="603" spans="1:17" x14ac:dyDescent="0.25">
      <c r="A603" s="26"/>
      <c r="B603" s="27"/>
      <c r="C603" s="28"/>
      <c r="D603" s="27"/>
      <c r="E603" s="27"/>
      <c r="F603" s="29"/>
      <c r="G603" s="27"/>
      <c r="H603" s="27"/>
      <c r="I603" s="29"/>
      <c r="J603" s="27"/>
      <c r="K603" s="27"/>
      <c r="L603" s="27"/>
      <c r="M603" s="30"/>
      <c r="N603" s="27"/>
      <c r="O603" s="27"/>
      <c r="P603" s="33"/>
      <c r="Q603" s="27"/>
    </row>
    <row r="604" spans="1:17" x14ac:dyDescent="0.25">
      <c r="A604" s="26"/>
      <c r="B604" s="27"/>
      <c r="C604" s="28"/>
      <c r="D604" s="27"/>
      <c r="E604" s="27"/>
      <c r="F604" s="29"/>
      <c r="G604" s="27"/>
      <c r="H604" s="27"/>
      <c r="I604" s="29"/>
      <c r="J604" s="27"/>
      <c r="K604" s="27"/>
      <c r="L604" s="27"/>
      <c r="M604" s="30"/>
      <c r="N604" s="27"/>
      <c r="O604" s="27"/>
      <c r="P604" s="33"/>
      <c r="Q604" s="27"/>
    </row>
    <row r="605" spans="1:17" x14ac:dyDescent="0.25">
      <c r="A605" s="26"/>
      <c r="B605" s="27"/>
      <c r="C605" s="28"/>
      <c r="D605" s="27"/>
      <c r="E605" s="27"/>
      <c r="F605" s="29"/>
      <c r="G605" s="27"/>
      <c r="H605" s="27"/>
      <c r="I605" s="29"/>
      <c r="J605" s="27"/>
      <c r="K605" s="27"/>
      <c r="L605" s="27"/>
      <c r="M605" s="30"/>
      <c r="N605" s="27"/>
      <c r="O605" s="27"/>
      <c r="P605" s="33"/>
      <c r="Q605" s="27"/>
    </row>
    <row r="606" spans="1:17" x14ac:dyDescent="0.25">
      <c r="A606" s="26"/>
      <c r="B606" s="27"/>
      <c r="C606" s="28"/>
      <c r="D606" s="27"/>
      <c r="E606" s="27"/>
      <c r="F606" s="29"/>
      <c r="G606" s="27"/>
      <c r="H606" s="27"/>
      <c r="I606" s="29"/>
      <c r="J606" s="27"/>
      <c r="K606" s="27"/>
      <c r="L606" s="27"/>
      <c r="M606" s="30"/>
      <c r="N606" s="27"/>
      <c r="O606" s="27"/>
      <c r="P606" s="33"/>
      <c r="Q606" s="27"/>
    </row>
    <row r="607" spans="1:17" x14ac:dyDescent="0.25">
      <c r="A607" s="26"/>
      <c r="B607" s="27"/>
      <c r="C607" s="28"/>
      <c r="D607" s="27"/>
      <c r="E607" s="27"/>
      <c r="F607" s="29"/>
      <c r="G607" s="27"/>
      <c r="H607" s="27"/>
      <c r="I607" s="29"/>
      <c r="J607" s="27"/>
      <c r="K607" s="27"/>
      <c r="L607" s="27"/>
      <c r="M607" s="30"/>
      <c r="N607" s="27"/>
      <c r="O607" s="27"/>
      <c r="P607" s="33"/>
      <c r="Q607" s="27"/>
    </row>
    <row r="608" spans="1:17" x14ac:dyDescent="0.25">
      <c r="A608" s="26"/>
      <c r="B608" s="27"/>
      <c r="C608" s="28"/>
      <c r="D608" s="27"/>
      <c r="E608" s="27"/>
      <c r="F608" s="29"/>
      <c r="G608" s="27"/>
      <c r="H608" s="27"/>
      <c r="I608" s="29"/>
      <c r="J608" s="27"/>
      <c r="K608" s="27"/>
      <c r="L608" s="27"/>
      <c r="M608" s="30"/>
      <c r="N608" s="27"/>
      <c r="O608" s="27"/>
      <c r="P608" s="33"/>
      <c r="Q608" s="27"/>
    </row>
    <row r="609" spans="1:17" x14ac:dyDescent="0.25">
      <c r="A609" s="26"/>
      <c r="B609" s="27"/>
      <c r="C609" s="28"/>
      <c r="D609" s="27"/>
      <c r="E609" s="27"/>
      <c r="F609" s="29"/>
      <c r="G609" s="27"/>
      <c r="H609" s="27"/>
      <c r="I609" s="29"/>
      <c r="J609" s="27"/>
      <c r="K609" s="27"/>
      <c r="L609" s="27"/>
      <c r="M609" s="30"/>
      <c r="N609" s="27"/>
      <c r="O609" s="27"/>
      <c r="P609" s="33"/>
      <c r="Q609" s="27"/>
    </row>
    <row r="610" spans="1:17" x14ac:dyDescent="0.25">
      <c r="A610" s="26"/>
      <c r="B610" s="27"/>
      <c r="C610" s="28"/>
      <c r="D610" s="27"/>
      <c r="E610" s="27"/>
      <c r="F610" s="29"/>
      <c r="G610" s="27"/>
      <c r="H610" s="27"/>
      <c r="I610" s="29"/>
      <c r="J610" s="27"/>
      <c r="K610" s="27"/>
      <c r="L610" s="27"/>
      <c r="M610" s="30"/>
      <c r="N610" s="27"/>
      <c r="O610" s="27"/>
      <c r="P610" s="33"/>
      <c r="Q610" s="27"/>
    </row>
    <row r="611" spans="1:17" x14ac:dyDescent="0.25">
      <c r="A611" s="26"/>
      <c r="B611" s="27"/>
      <c r="C611" s="28"/>
      <c r="D611" s="27"/>
      <c r="E611" s="27"/>
      <c r="F611" s="29"/>
      <c r="G611" s="27"/>
      <c r="H611" s="27"/>
      <c r="I611" s="29"/>
      <c r="J611" s="27"/>
      <c r="K611" s="27"/>
      <c r="L611" s="27"/>
      <c r="M611" s="30"/>
      <c r="N611" s="27"/>
      <c r="O611" s="27"/>
      <c r="P611" s="33"/>
      <c r="Q611" s="27"/>
    </row>
    <row r="612" spans="1:17" x14ac:dyDescent="0.25">
      <c r="A612" s="26"/>
      <c r="B612" s="27"/>
      <c r="C612" s="28"/>
      <c r="D612" s="27"/>
      <c r="E612" s="27"/>
      <c r="F612" s="29"/>
      <c r="G612" s="27"/>
      <c r="H612" s="27"/>
      <c r="I612" s="29"/>
      <c r="J612" s="27"/>
      <c r="K612" s="27"/>
      <c r="L612" s="27"/>
      <c r="M612" s="30"/>
      <c r="N612" s="27"/>
      <c r="O612" s="27"/>
      <c r="P612" s="33"/>
      <c r="Q612" s="27"/>
    </row>
    <row r="613" spans="1:17" x14ac:dyDescent="0.25">
      <c r="A613" s="26"/>
      <c r="B613" s="27"/>
      <c r="C613" s="28"/>
      <c r="D613" s="27"/>
      <c r="E613" s="27"/>
      <c r="F613" s="29"/>
      <c r="G613" s="27"/>
      <c r="H613" s="27"/>
      <c r="I613" s="29"/>
      <c r="J613" s="27"/>
      <c r="K613" s="27"/>
      <c r="L613" s="27"/>
      <c r="M613" s="30"/>
      <c r="N613" s="27"/>
      <c r="O613" s="27"/>
      <c r="P613" s="33"/>
      <c r="Q613" s="27"/>
    </row>
    <row r="614" spans="1:17" x14ac:dyDescent="0.25">
      <c r="A614" s="26"/>
      <c r="B614" s="27"/>
      <c r="C614" s="28"/>
      <c r="D614" s="27"/>
      <c r="E614" s="27"/>
      <c r="F614" s="29"/>
      <c r="G614" s="27"/>
      <c r="H614" s="27"/>
      <c r="I614" s="29"/>
      <c r="J614" s="27"/>
      <c r="K614" s="27"/>
      <c r="L614" s="27"/>
      <c r="M614" s="30"/>
      <c r="N614" s="27"/>
      <c r="O614" s="27"/>
      <c r="P614" s="33"/>
      <c r="Q614" s="27"/>
    </row>
    <row r="615" spans="1:17" x14ac:dyDescent="0.25">
      <c r="A615" s="26"/>
      <c r="B615" s="27"/>
      <c r="C615" s="28"/>
      <c r="D615" s="27"/>
      <c r="E615" s="27"/>
      <c r="F615" s="29"/>
      <c r="G615" s="27"/>
      <c r="H615" s="27"/>
      <c r="I615" s="29"/>
      <c r="J615" s="27"/>
      <c r="K615" s="27"/>
      <c r="L615" s="27"/>
      <c r="M615" s="30"/>
      <c r="N615" s="27"/>
      <c r="O615" s="27"/>
      <c r="P615" s="33"/>
      <c r="Q615" s="27"/>
    </row>
    <row r="616" spans="1:17" x14ac:dyDescent="0.25">
      <c r="A616" s="26"/>
      <c r="B616" s="27"/>
      <c r="C616" s="28"/>
      <c r="D616" s="27"/>
      <c r="E616" s="27"/>
      <c r="F616" s="29"/>
      <c r="G616" s="27"/>
      <c r="H616" s="27"/>
      <c r="I616" s="29"/>
      <c r="J616" s="27"/>
      <c r="K616" s="27"/>
      <c r="L616" s="27"/>
      <c r="M616" s="30"/>
      <c r="N616" s="27"/>
      <c r="O616" s="27"/>
      <c r="P616" s="33"/>
      <c r="Q616" s="27"/>
    </row>
    <row r="617" spans="1:17" x14ac:dyDescent="0.25">
      <c r="A617" s="26"/>
      <c r="B617" s="27"/>
      <c r="C617" s="28"/>
      <c r="D617" s="27"/>
      <c r="E617" s="27"/>
      <c r="F617" s="29"/>
      <c r="G617" s="27"/>
      <c r="H617" s="27"/>
      <c r="I617" s="29"/>
      <c r="J617" s="27"/>
      <c r="K617" s="27"/>
      <c r="L617" s="27"/>
      <c r="M617" s="30"/>
      <c r="N617" s="27"/>
      <c r="O617" s="27"/>
      <c r="P617" s="33"/>
      <c r="Q617" s="27"/>
    </row>
    <row r="618" spans="1:17" x14ac:dyDescent="0.25">
      <c r="A618" s="26"/>
      <c r="B618" s="27"/>
      <c r="C618" s="28"/>
      <c r="D618" s="27"/>
      <c r="E618" s="27"/>
      <c r="F618" s="29"/>
      <c r="G618" s="27"/>
      <c r="H618" s="27"/>
      <c r="I618" s="29"/>
      <c r="J618" s="27"/>
      <c r="K618" s="27"/>
      <c r="L618" s="27"/>
      <c r="M618" s="30"/>
      <c r="N618" s="27"/>
      <c r="O618" s="27"/>
      <c r="P618" s="33"/>
      <c r="Q618" s="27"/>
    </row>
    <row r="619" spans="1:17" x14ac:dyDescent="0.25">
      <c r="A619" s="26"/>
      <c r="B619" s="27"/>
      <c r="C619" s="28"/>
      <c r="D619" s="27"/>
      <c r="E619" s="27"/>
      <c r="F619" s="29"/>
      <c r="G619" s="27"/>
      <c r="H619" s="27"/>
      <c r="I619" s="29"/>
      <c r="J619" s="27"/>
      <c r="K619" s="27"/>
      <c r="L619" s="27"/>
      <c r="M619" s="30"/>
      <c r="N619" s="27"/>
      <c r="O619" s="27"/>
      <c r="P619" s="33"/>
      <c r="Q619" s="27"/>
    </row>
    <row r="620" spans="1:17" x14ac:dyDescent="0.25">
      <c r="A620" s="26"/>
      <c r="B620" s="27"/>
      <c r="C620" s="28"/>
      <c r="D620" s="27"/>
      <c r="E620" s="27"/>
      <c r="F620" s="29"/>
      <c r="G620" s="27"/>
      <c r="H620" s="27"/>
      <c r="I620" s="29"/>
      <c r="J620" s="27"/>
      <c r="K620" s="27"/>
      <c r="L620" s="27"/>
      <c r="M620" s="30"/>
      <c r="N620" s="27"/>
      <c r="O620" s="27"/>
      <c r="P620" s="33"/>
      <c r="Q620" s="27"/>
    </row>
    <row r="621" spans="1:17" x14ac:dyDescent="0.25">
      <c r="A621" s="26"/>
      <c r="B621" s="27"/>
      <c r="C621" s="28"/>
      <c r="D621" s="27"/>
      <c r="E621" s="27"/>
      <c r="F621" s="29"/>
      <c r="G621" s="27"/>
      <c r="H621" s="27"/>
      <c r="I621" s="29"/>
      <c r="J621" s="27"/>
      <c r="K621" s="27"/>
      <c r="L621" s="27"/>
      <c r="M621" s="30"/>
      <c r="N621" s="27"/>
      <c r="O621" s="27"/>
      <c r="P621" s="33"/>
      <c r="Q621" s="27"/>
    </row>
    <row r="622" spans="1:17" x14ac:dyDescent="0.25">
      <c r="A622" s="26"/>
      <c r="B622" s="27"/>
      <c r="C622" s="28"/>
      <c r="D622" s="27"/>
      <c r="E622" s="27"/>
      <c r="F622" s="29"/>
      <c r="G622" s="27"/>
      <c r="H622" s="27"/>
      <c r="I622" s="29"/>
      <c r="J622" s="27"/>
      <c r="K622" s="27"/>
      <c r="L622" s="27"/>
      <c r="M622" s="30"/>
      <c r="N622" s="27"/>
      <c r="O622" s="27"/>
      <c r="P622" s="33"/>
      <c r="Q622" s="27"/>
    </row>
    <row r="623" spans="1:17" x14ac:dyDescent="0.25">
      <c r="A623" s="26"/>
      <c r="B623" s="27"/>
      <c r="C623" s="28"/>
      <c r="D623" s="27"/>
      <c r="E623" s="27"/>
      <c r="F623" s="29"/>
      <c r="G623" s="27"/>
      <c r="H623" s="27"/>
      <c r="I623" s="29"/>
      <c r="J623" s="27"/>
      <c r="K623" s="27"/>
      <c r="L623" s="27"/>
      <c r="M623" s="30"/>
      <c r="N623" s="27"/>
      <c r="O623" s="27"/>
      <c r="P623" s="33"/>
      <c r="Q623" s="27"/>
    </row>
    <row r="624" spans="1:17" x14ac:dyDescent="0.25">
      <c r="A624" s="26"/>
      <c r="B624" s="27"/>
      <c r="C624" s="28"/>
      <c r="D624" s="27"/>
      <c r="E624" s="27"/>
      <c r="F624" s="29"/>
      <c r="G624" s="27"/>
      <c r="H624" s="27"/>
      <c r="I624" s="29"/>
      <c r="J624" s="27"/>
      <c r="K624" s="27"/>
      <c r="L624" s="27"/>
      <c r="M624" s="30"/>
      <c r="N624" s="27"/>
      <c r="O624" s="27"/>
      <c r="P624" s="33"/>
      <c r="Q624" s="27"/>
    </row>
    <row r="625" spans="1:17" x14ac:dyDescent="0.25">
      <c r="A625" s="26"/>
      <c r="B625" s="27"/>
      <c r="C625" s="28"/>
      <c r="D625" s="27"/>
      <c r="E625" s="27"/>
      <c r="F625" s="29"/>
      <c r="G625" s="27"/>
      <c r="H625" s="27"/>
      <c r="I625" s="29"/>
      <c r="J625" s="27"/>
      <c r="K625" s="27"/>
      <c r="L625" s="27"/>
      <c r="M625" s="30"/>
      <c r="N625" s="27"/>
      <c r="O625" s="27"/>
      <c r="P625" s="33"/>
      <c r="Q625" s="27"/>
    </row>
    <row r="626" spans="1:17" x14ac:dyDescent="0.25">
      <c r="A626" s="26"/>
      <c r="B626" s="27"/>
      <c r="C626" s="28"/>
      <c r="D626" s="27"/>
      <c r="E626" s="27"/>
      <c r="F626" s="29"/>
      <c r="G626" s="27"/>
      <c r="H626" s="27"/>
      <c r="I626" s="29"/>
      <c r="J626" s="27"/>
      <c r="K626" s="27"/>
      <c r="L626" s="27"/>
      <c r="M626" s="30"/>
      <c r="N626" s="27"/>
      <c r="O626" s="27"/>
      <c r="P626" s="33"/>
      <c r="Q626" s="27"/>
    </row>
    <row r="627" spans="1:17" x14ac:dyDescent="0.25">
      <c r="A627" s="26"/>
      <c r="B627" s="27"/>
      <c r="C627" s="28"/>
      <c r="D627" s="27"/>
      <c r="E627" s="27"/>
      <c r="F627" s="29"/>
      <c r="G627" s="27"/>
      <c r="H627" s="27"/>
      <c r="I627" s="29"/>
      <c r="J627" s="27"/>
      <c r="K627" s="27"/>
      <c r="L627" s="27"/>
      <c r="M627" s="30"/>
      <c r="N627" s="27"/>
      <c r="O627" s="27"/>
      <c r="P627" s="33"/>
      <c r="Q627" s="27"/>
    </row>
    <row r="628" spans="1:17" x14ac:dyDescent="0.25">
      <c r="A628" s="26"/>
      <c r="B628" s="27"/>
      <c r="C628" s="28"/>
      <c r="D628" s="27"/>
      <c r="E628" s="27"/>
      <c r="F628" s="29"/>
      <c r="G628" s="27"/>
      <c r="H628" s="27"/>
      <c r="I628" s="29"/>
      <c r="J628" s="27"/>
      <c r="K628" s="27"/>
      <c r="L628" s="27"/>
      <c r="M628" s="30"/>
      <c r="N628" s="27"/>
      <c r="O628" s="27"/>
      <c r="P628" s="33"/>
      <c r="Q628" s="27"/>
    </row>
    <row r="629" spans="1:17" x14ac:dyDescent="0.25">
      <c r="A629" s="26"/>
      <c r="B629" s="27"/>
      <c r="C629" s="28"/>
      <c r="D629" s="27"/>
      <c r="E629" s="27"/>
      <c r="F629" s="29"/>
      <c r="G629" s="27"/>
      <c r="H629" s="27"/>
      <c r="I629" s="29"/>
      <c r="J629" s="27"/>
      <c r="K629" s="27"/>
      <c r="L629" s="27"/>
      <c r="M629" s="30"/>
      <c r="N629" s="27"/>
      <c r="O629" s="27"/>
      <c r="P629" s="33"/>
      <c r="Q629" s="27"/>
    </row>
    <row r="630" spans="1:17" x14ac:dyDescent="0.25">
      <c r="A630" s="26"/>
      <c r="B630" s="27"/>
      <c r="C630" s="28"/>
      <c r="D630" s="27"/>
      <c r="E630" s="27"/>
      <c r="F630" s="29"/>
      <c r="G630" s="27"/>
      <c r="H630" s="27"/>
      <c r="I630" s="29"/>
      <c r="J630" s="27"/>
      <c r="K630" s="27"/>
      <c r="L630" s="27"/>
      <c r="M630" s="30"/>
      <c r="N630" s="27"/>
      <c r="O630" s="27"/>
      <c r="P630" s="33"/>
      <c r="Q630" s="27"/>
    </row>
    <row r="631" spans="1:17" x14ac:dyDescent="0.25">
      <c r="A631" s="26"/>
      <c r="B631" s="27"/>
      <c r="C631" s="28"/>
      <c r="D631" s="27"/>
      <c r="E631" s="27"/>
      <c r="F631" s="29"/>
      <c r="G631" s="27"/>
      <c r="H631" s="27"/>
      <c r="I631" s="29"/>
      <c r="J631" s="27"/>
      <c r="K631" s="27"/>
      <c r="L631" s="27"/>
      <c r="M631" s="30"/>
      <c r="N631" s="27"/>
      <c r="O631" s="27"/>
      <c r="P631" s="33"/>
      <c r="Q631" s="27"/>
    </row>
    <row r="632" spans="1:17" x14ac:dyDescent="0.25">
      <c r="A632" s="26"/>
      <c r="B632" s="27"/>
      <c r="C632" s="28"/>
      <c r="D632" s="27"/>
      <c r="E632" s="27"/>
      <c r="F632" s="29"/>
      <c r="G632" s="27"/>
      <c r="H632" s="27"/>
      <c r="I632" s="29"/>
      <c r="J632" s="27"/>
      <c r="K632" s="27"/>
      <c r="L632" s="27"/>
      <c r="M632" s="30"/>
      <c r="N632" s="27"/>
      <c r="O632" s="27"/>
      <c r="P632" s="33"/>
      <c r="Q632" s="27"/>
    </row>
    <row r="633" spans="1:17" x14ac:dyDescent="0.25">
      <c r="A633" s="26"/>
      <c r="B633" s="27"/>
      <c r="C633" s="28"/>
      <c r="D633" s="27"/>
      <c r="E633" s="27"/>
      <c r="F633" s="29"/>
      <c r="G633" s="27"/>
      <c r="H633" s="27"/>
      <c r="I633" s="29"/>
      <c r="J633" s="27"/>
      <c r="K633" s="27"/>
      <c r="L633" s="27"/>
      <c r="M633" s="30"/>
      <c r="N633" s="27"/>
      <c r="O633" s="27"/>
      <c r="P633" s="33"/>
      <c r="Q633" s="27"/>
    </row>
    <row r="634" spans="1:17" x14ac:dyDescent="0.25">
      <c r="A634" s="26"/>
      <c r="B634" s="27"/>
      <c r="C634" s="28"/>
      <c r="D634" s="27"/>
      <c r="E634" s="27"/>
      <c r="F634" s="29"/>
      <c r="G634" s="27"/>
      <c r="H634" s="27"/>
      <c r="I634" s="29"/>
      <c r="J634" s="27"/>
      <c r="K634" s="27"/>
      <c r="L634" s="27"/>
      <c r="M634" s="30"/>
      <c r="N634" s="27"/>
      <c r="O634" s="27"/>
      <c r="P634" s="33"/>
      <c r="Q634" s="27"/>
    </row>
    <row r="635" spans="1:17" x14ac:dyDescent="0.25">
      <c r="A635" s="26"/>
      <c r="B635" s="27"/>
      <c r="C635" s="28"/>
      <c r="D635" s="27"/>
      <c r="E635" s="27"/>
      <c r="F635" s="29"/>
      <c r="G635" s="27"/>
      <c r="H635" s="27"/>
      <c r="I635" s="29"/>
      <c r="J635" s="27"/>
      <c r="K635" s="27"/>
      <c r="L635" s="27"/>
      <c r="M635" s="30"/>
      <c r="N635" s="27"/>
      <c r="O635" s="27"/>
      <c r="P635" s="33"/>
      <c r="Q635" s="27"/>
    </row>
    <row r="636" spans="1:17" x14ac:dyDescent="0.25">
      <c r="A636" s="26"/>
      <c r="B636" s="27"/>
      <c r="C636" s="28"/>
      <c r="D636" s="27"/>
      <c r="E636" s="27"/>
      <c r="F636" s="29"/>
      <c r="G636" s="27"/>
      <c r="H636" s="27"/>
      <c r="I636" s="29"/>
      <c r="J636" s="27"/>
      <c r="K636" s="27"/>
      <c r="L636" s="27"/>
      <c r="M636" s="30"/>
      <c r="N636" s="27"/>
      <c r="O636" s="27"/>
      <c r="P636" s="33"/>
      <c r="Q636" s="27"/>
    </row>
    <row r="637" spans="1:17" x14ac:dyDescent="0.25">
      <c r="A637" s="26"/>
      <c r="B637" s="27"/>
      <c r="C637" s="28"/>
      <c r="D637" s="27"/>
      <c r="E637" s="27"/>
      <c r="F637" s="29"/>
      <c r="G637" s="27"/>
      <c r="H637" s="27"/>
      <c r="I637" s="29"/>
      <c r="J637" s="27"/>
      <c r="K637" s="27"/>
      <c r="L637" s="27"/>
      <c r="M637" s="30"/>
      <c r="N637" s="27"/>
      <c r="O637" s="27"/>
      <c r="P637" s="33"/>
      <c r="Q637" s="27"/>
    </row>
    <row r="638" spans="1:17" x14ac:dyDescent="0.25">
      <c r="A638" s="26"/>
      <c r="B638" s="27"/>
      <c r="C638" s="28"/>
      <c r="D638" s="27"/>
      <c r="E638" s="27"/>
      <c r="F638" s="29"/>
      <c r="G638" s="27"/>
      <c r="H638" s="27"/>
      <c r="I638" s="29"/>
      <c r="J638" s="27"/>
      <c r="K638" s="27"/>
      <c r="L638" s="27"/>
      <c r="M638" s="30"/>
      <c r="N638" s="27"/>
      <c r="O638" s="27"/>
      <c r="P638" s="33"/>
      <c r="Q638" s="27"/>
    </row>
    <row r="639" spans="1:17" x14ac:dyDescent="0.25">
      <c r="A639" s="26"/>
      <c r="B639" s="27"/>
      <c r="C639" s="28"/>
      <c r="D639" s="27"/>
      <c r="E639" s="27"/>
      <c r="F639" s="29"/>
      <c r="G639" s="27"/>
      <c r="H639" s="27"/>
      <c r="I639" s="29"/>
      <c r="J639" s="27"/>
      <c r="K639" s="27"/>
      <c r="L639" s="27"/>
      <c r="M639" s="30"/>
      <c r="N639" s="27"/>
      <c r="O639" s="27"/>
      <c r="P639" s="33"/>
      <c r="Q639" s="27"/>
    </row>
    <row r="640" spans="1:17" x14ac:dyDescent="0.25">
      <c r="A640" s="26"/>
      <c r="B640" s="27"/>
      <c r="C640" s="28"/>
      <c r="D640" s="27"/>
      <c r="E640" s="27"/>
      <c r="F640" s="29"/>
      <c r="G640" s="27"/>
      <c r="H640" s="27"/>
      <c r="I640" s="29"/>
      <c r="J640" s="27"/>
      <c r="K640" s="27"/>
      <c r="L640" s="27"/>
      <c r="M640" s="30"/>
      <c r="N640" s="27"/>
      <c r="O640" s="27"/>
      <c r="P640" s="33"/>
      <c r="Q640" s="27"/>
    </row>
    <row r="641" spans="1:17" x14ac:dyDescent="0.25">
      <c r="A641" s="26"/>
      <c r="B641" s="27"/>
      <c r="C641" s="28"/>
      <c r="D641" s="27"/>
      <c r="E641" s="27"/>
      <c r="F641" s="29"/>
      <c r="G641" s="27"/>
      <c r="H641" s="27"/>
      <c r="I641" s="29"/>
      <c r="J641" s="27"/>
      <c r="K641" s="27"/>
      <c r="L641" s="27"/>
      <c r="M641" s="30"/>
      <c r="N641" s="27"/>
      <c r="O641" s="27"/>
      <c r="P641" s="33"/>
      <c r="Q641" s="27"/>
    </row>
    <row r="642" spans="1:17" x14ac:dyDescent="0.25">
      <c r="A642" s="26"/>
      <c r="B642" s="27"/>
      <c r="C642" s="28"/>
      <c r="D642" s="27"/>
      <c r="E642" s="27"/>
      <c r="F642" s="29"/>
      <c r="G642" s="27"/>
      <c r="H642" s="27"/>
      <c r="I642" s="29"/>
      <c r="J642" s="27"/>
      <c r="K642" s="27"/>
      <c r="L642" s="27"/>
      <c r="M642" s="30"/>
      <c r="N642" s="27"/>
      <c r="O642" s="27"/>
      <c r="P642" s="33"/>
      <c r="Q642" s="27"/>
    </row>
    <row r="643" spans="1:17" x14ac:dyDescent="0.25">
      <c r="A643" s="26"/>
      <c r="B643" s="27"/>
      <c r="C643" s="28"/>
      <c r="D643" s="27"/>
      <c r="E643" s="27"/>
      <c r="F643" s="29"/>
      <c r="G643" s="27"/>
      <c r="H643" s="27"/>
      <c r="I643" s="29"/>
      <c r="J643" s="27"/>
      <c r="K643" s="27"/>
      <c r="L643" s="27"/>
      <c r="M643" s="30"/>
      <c r="N643" s="27"/>
      <c r="O643" s="27"/>
      <c r="P643" s="33"/>
      <c r="Q643" s="27"/>
    </row>
    <row r="644" spans="1:17" x14ac:dyDescent="0.25">
      <c r="A644" s="26"/>
      <c r="B644" s="27"/>
      <c r="C644" s="28"/>
      <c r="D644" s="27"/>
      <c r="E644" s="27"/>
      <c r="F644" s="29"/>
      <c r="G644" s="27"/>
      <c r="H644" s="27"/>
      <c r="I644" s="29"/>
      <c r="J644" s="27"/>
      <c r="K644" s="27"/>
      <c r="L644" s="27"/>
      <c r="M644" s="30"/>
      <c r="N644" s="27"/>
      <c r="O644" s="27"/>
      <c r="P644" s="33"/>
      <c r="Q644" s="27"/>
    </row>
    <row r="645" spans="1:17" x14ac:dyDescent="0.25">
      <c r="A645" s="26"/>
      <c r="B645" s="27"/>
      <c r="C645" s="28"/>
      <c r="D645" s="27"/>
      <c r="E645" s="27"/>
      <c r="F645" s="29"/>
      <c r="G645" s="27"/>
      <c r="H645" s="27"/>
      <c r="I645" s="29"/>
      <c r="J645" s="27"/>
      <c r="K645" s="27"/>
      <c r="L645" s="27"/>
      <c r="M645" s="30"/>
      <c r="N645" s="27"/>
      <c r="O645" s="27"/>
      <c r="P645" s="33"/>
      <c r="Q645" s="27"/>
    </row>
    <row r="646" spans="1:17" x14ac:dyDescent="0.25">
      <c r="A646" s="26"/>
      <c r="B646" s="27"/>
      <c r="C646" s="28"/>
      <c r="D646" s="27"/>
      <c r="E646" s="27"/>
      <c r="F646" s="29"/>
      <c r="G646" s="27"/>
      <c r="H646" s="27"/>
      <c r="I646" s="29"/>
      <c r="J646" s="27"/>
      <c r="K646" s="27"/>
      <c r="L646" s="27"/>
      <c r="M646" s="30"/>
      <c r="N646" s="27"/>
      <c r="O646" s="27"/>
      <c r="P646" s="33"/>
      <c r="Q646" s="27"/>
    </row>
    <row r="647" spans="1:17" x14ac:dyDescent="0.25">
      <c r="A647" s="26"/>
      <c r="B647" s="27"/>
      <c r="C647" s="28"/>
      <c r="D647" s="27"/>
      <c r="E647" s="27"/>
      <c r="F647" s="29"/>
      <c r="G647" s="27"/>
      <c r="H647" s="27"/>
      <c r="I647" s="29"/>
      <c r="J647" s="27"/>
      <c r="K647" s="27"/>
      <c r="L647" s="27"/>
      <c r="M647" s="30"/>
      <c r="N647" s="27"/>
      <c r="O647" s="27"/>
      <c r="P647" s="33"/>
      <c r="Q647" s="27"/>
    </row>
    <row r="648" spans="1:17" x14ac:dyDescent="0.25">
      <c r="A648" s="26"/>
      <c r="B648" s="27"/>
      <c r="C648" s="28"/>
      <c r="D648" s="27"/>
      <c r="E648" s="27"/>
      <c r="F648" s="29"/>
      <c r="G648" s="27"/>
      <c r="H648" s="27"/>
      <c r="I648" s="29"/>
      <c r="J648" s="27"/>
      <c r="K648" s="27"/>
      <c r="L648" s="27"/>
      <c r="M648" s="30"/>
      <c r="N648" s="27"/>
      <c r="O648" s="27"/>
      <c r="P648" s="33"/>
      <c r="Q648" s="27"/>
    </row>
    <row r="649" spans="1:17" x14ac:dyDescent="0.25">
      <c r="A649" s="26"/>
      <c r="B649" s="27"/>
      <c r="C649" s="28"/>
      <c r="D649" s="27"/>
      <c r="E649" s="27"/>
      <c r="F649" s="29"/>
      <c r="G649" s="27"/>
      <c r="H649" s="27"/>
      <c r="I649" s="29"/>
      <c r="J649" s="27"/>
      <c r="K649" s="27"/>
      <c r="L649" s="27"/>
      <c r="M649" s="30"/>
      <c r="N649" s="27"/>
      <c r="O649" s="27"/>
      <c r="P649" s="33"/>
      <c r="Q649" s="27"/>
    </row>
    <row r="650" spans="1:17" x14ac:dyDescent="0.25">
      <c r="A650" s="26"/>
      <c r="B650" s="27"/>
      <c r="C650" s="28"/>
      <c r="D650" s="27"/>
      <c r="E650" s="27"/>
      <c r="F650" s="29"/>
      <c r="G650" s="27"/>
      <c r="H650" s="27"/>
      <c r="I650" s="29"/>
      <c r="J650" s="27"/>
      <c r="K650" s="27"/>
      <c r="L650" s="27"/>
      <c r="M650" s="30"/>
      <c r="N650" s="27"/>
      <c r="O650" s="27"/>
      <c r="P650" s="33"/>
      <c r="Q650" s="27"/>
    </row>
    <row r="651" spans="1:17" x14ac:dyDescent="0.25">
      <c r="A651" s="26"/>
      <c r="B651" s="27"/>
      <c r="C651" s="28"/>
      <c r="D651" s="27"/>
      <c r="E651" s="27"/>
      <c r="F651" s="29"/>
      <c r="G651" s="27"/>
      <c r="H651" s="27"/>
      <c r="I651" s="29"/>
      <c r="J651" s="27"/>
      <c r="K651" s="27"/>
      <c r="L651" s="27"/>
      <c r="M651" s="30"/>
      <c r="N651" s="27"/>
      <c r="O651" s="27"/>
      <c r="P651" s="33"/>
      <c r="Q651" s="27"/>
    </row>
    <row r="652" spans="1:17" x14ac:dyDescent="0.25">
      <c r="A652" s="26"/>
      <c r="B652" s="27"/>
      <c r="C652" s="28"/>
      <c r="D652" s="27"/>
      <c r="E652" s="27"/>
      <c r="F652" s="29"/>
      <c r="G652" s="27"/>
      <c r="H652" s="27"/>
      <c r="I652" s="29"/>
      <c r="J652" s="27"/>
      <c r="K652" s="27"/>
      <c r="L652" s="27"/>
      <c r="M652" s="30"/>
      <c r="N652" s="27"/>
      <c r="O652" s="27"/>
      <c r="P652" s="33"/>
      <c r="Q652" s="27"/>
    </row>
    <row r="653" spans="1:17" x14ac:dyDescent="0.25">
      <c r="A653" s="14"/>
      <c r="B653"/>
      <c r="C653" s="15"/>
      <c r="D653"/>
      <c r="E653"/>
      <c r="F653" s="16"/>
      <c r="G653"/>
      <c r="H653"/>
      <c r="I653" s="16"/>
      <c r="J653"/>
      <c r="K653"/>
      <c r="L653"/>
      <c r="M653" s="17"/>
      <c r="N653"/>
      <c r="O653"/>
      <c r="P653" s="34"/>
      <c r="Q653"/>
    </row>
    <row r="654" spans="1:17" x14ac:dyDescent="0.25">
      <c r="A654" s="14"/>
      <c r="B654"/>
      <c r="C654" s="15"/>
      <c r="D654"/>
      <c r="E654"/>
      <c r="F654" s="16"/>
      <c r="G654"/>
      <c r="H654"/>
      <c r="I654" s="16"/>
      <c r="J654"/>
      <c r="K654"/>
      <c r="L654"/>
      <c r="M654" s="17"/>
      <c r="N654"/>
      <c r="O654"/>
      <c r="P654" s="34"/>
      <c r="Q654"/>
    </row>
    <row r="655" spans="1:17" x14ac:dyDescent="0.25">
      <c r="A655" s="14"/>
      <c r="B655"/>
      <c r="C655" s="15"/>
      <c r="D655"/>
      <c r="E655"/>
      <c r="F655" s="16"/>
      <c r="G655"/>
      <c r="H655"/>
      <c r="I655" s="16"/>
      <c r="J655"/>
      <c r="K655"/>
      <c r="L655"/>
      <c r="M655" s="17"/>
      <c r="N655"/>
      <c r="O655"/>
      <c r="P655" s="34"/>
      <c r="Q655"/>
    </row>
    <row r="656" spans="1:17" x14ac:dyDescent="0.25">
      <c r="A656" s="14"/>
      <c r="B656"/>
      <c r="C656" s="15"/>
      <c r="D656"/>
      <c r="E656"/>
      <c r="F656" s="16"/>
      <c r="G656"/>
      <c r="H656"/>
      <c r="I656" s="16"/>
      <c r="J656"/>
      <c r="K656"/>
      <c r="L656"/>
      <c r="M656" s="17"/>
      <c r="N656"/>
      <c r="O656"/>
      <c r="P656" s="34"/>
      <c r="Q656"/>
    </row>
    <row r="657" spans="1:17" x14ac:dyDescent="0.25">
      <c r="A657" s="14"/>
      <c r="B657"/>
      <c r="C657" s="15"/>
      <c r="D657"/>
      <c r="E657"/>
      <c r="F657" s="16"/>
      <c r="G657"/>
      <c r="H657"/>
      <c r="I657" s="16"/>
      <c r="J657"/>
      <c r="K657"/>
      <c r="L657"/>
      <c r="M657" s="17"/>
      <c r="N657"/>
      <c r="O657"/>
      <c r="P657" s="34"/>
      <c r="Q657"/>
    </row>
    <row r="658" spans="1:17" x14ac:dyDescent="0.25">
      <c r="A658" s="14"/>
      <c r="B658"/>
      <c r="C658" s="15"/>
      <c r="D658"/>
      <c r="E658"/>
      <c r="F658" s="16"/>
      <c r="G658"/>
      <c r="H658"/>
      <c r="I658" s="16"/>
      <c r="J658"/>
      <c r="K658"/>
      <c r="L658"/>
      <c r="M658" s="17"/>
      <c r="N658"/>
      <c r="O658"/>
      <c r="P658" s="34"/>
      <c r="Q658"/>
    </row>
    <row r="659" spans="1:17" x14ac:dyDescent="0.25">
      <c r="A659" s="14"/>
      <c r="B659"/>
      <c r="C659" s="15"/>
      <c r="D659"/>
      <c r="E659"/>
      <c r="F659" s="16"/>
      <c r="G659"/>
      <c r="H659"/>
      <c r="I659" s="16"/>
      <c r="J659"/>
      <c r="K659"/>
      <c r="L659"/>
      <c r="M659" s="17"/>
      <c r="N659"/>
      <c r="O659"/>
      <c r="P659" s="34"/>
      <c r="Q659"/>
    </row>
    <row r="660" spans="1:17" x14ac:dyDescent="0.25">
      <c r="A660" s="14"/>
      <c r="B660"/>
      <c r="C660" s="15"/>
      <c r="D660"/>
      <c r="E660"/>
      <c r="F660" s="16"/>
      <c r="G660"/>
      <c r="H660"/>
      <c r="I660" s="16"/>
      <c r="J660"/>
      <c r="K660"/>
      <c r="L660"/>
      <c r="M660" s="17"/>
      <c r="N660"/>
      <c r="O660"/>
      <c r="P660" s="34"/>
      <c r="Q660"/>
    </row>
    <row r="661" spans="1:17" x14ac:dyDescent="0.25">
      <c r="A661" s="14"/>
      <c r="B661"/>
      <c r="C661" s="15"/>
      <c r="D661"/>
      <c r="E661"/>
      <c r="F661" s="16"/>
      <c r="G661"/>
      <c r="H661"/>
      <c r="I661" s="16"/>
      <c r="J661"/>
      <c r="K661"/>
      <c r="L661"/>
      <c r="M661" s="17"/>
      <c r="N661"/>
      <c r="O661"/>
      <c r="P661" s="34"/>
      <c r="Q661"/>
    </row>
    <row r="662" spans="1:17" x14ac:dyDescent="0.25">
      <c r="A662" s="14"/>
      <c r="B662"/>
      <c r="C662" s="15"/>
      <c r="D662"/>
      <c r="E662"/>
      <c r="F662" s="16"/>
      <c r="G662"/>
      <c r="H662"/>
      <c r="I662" s="16"/>
      <c r="J662"/>
      <c r="K662"/>
      <c r="L662"/>
      <c r="M662" s="17"/>
      <c r="N662"/>
      <c r="O662"/>
      <c r="P662" s="34"/>
      <c r="Q662"/>
    </row>
    <row r="663" spans="1:17" x14ac:dyDescent="0.25">
      <c r="A663" s="14"/>
      <c r="B663"/>
      <c r="C663" s="15"/>
      <c r="D663"/>
      <c r="E663"/>
      <c r="F663" s="16"/>
      <c r="G663"/>
      <c r="H663"/>
      <c r="I663" s="16"/>
      <c r="J663"/>
      <c r="K663"/>
      <c r="L663"/>
      <c r="M663" s="17"/>
      <c r="N663"/>
      <c r="O663"/>
      <c r="P663" s="34"/>
      <c r="Q663"/>
    </row>
    <row r="664" spans="1:17" x14ac:dyDescent="0.25">
      <c r="A664" s="14"/>
      <c r="B664"/>
      <c r="C664" s="15"/>
      <c r="D664"/>
      <c r="E664"/>
      <c r="F664" s="16"/>
      <c r="G664"/>
      <c r="H664"/>
      <c r="I664" s="16"/>
      <c r="J664"/>
      <c r="K664"/>
      <c r="L664"/>
      <c r="M664" s="17"/>
      <c r="N664"/>
      <c r="O664"/>
      <c r="P664" s="34"/>
      <c r="Q664"/>
    </row>
    <row r="665" spans="1:17" x14ac:dyDescent="0.25">
      <c r="A665" s="14"/>
      <c r="B665"/>
      <c r="C665" s="15"/>
      <c r="D665"/>
      <c r="E665"/>
      <c r="F665" s="16"/>
      <c r="G665"/>
      <c r="H665"/>
      <c r="I665" s="16"/>
      <c r="J665"/>
      <c r="K665"/>
      <c r="L665"/>
      <c r="M665" s="17"/>
      <c r="N665"/>
      <c r="O665"/>
      <c r="P665" s="34"/>
      <c r="Q665"/>
    </row>
    <row r="666" spans="1:17" x14ac:dyDescent="0.25">
      <c r="A666" s="14"/>
      <c r="B666"/>
      <c r="C666" s="15"/>
      <c r="D666"/>
      <c r="E666"/>
      <c r="F666" s="16"/>
      <c r="G666"/>
      <c r="H666"/>
      <c r="I666" s="16"/>
      <c r="J666"/>
      <c r="K666"/>
      <c r="L666"/>
      <c r="M666" s="17"/>
      <c r="N666"/>
      <c r="O666"/>
      <c r="P666" s="34"/>
      <c r="Q666"/>
    </row>
    <row r="667" spans="1:17" x14ac:dyDescent="0.25">
      <c r="A667" s="14"/>
      <c r="B667"/>
      <c r="C667" s="15"/>
      <c r="D667"/>
      <c r="E667"/>
      <c r="F667" s="16"/>
      <c r="G667"/>
      <c r="H667"/>
      <c r="I667" s="16"/>
      <c r="J667"/>
      <c r="K667"/>
      <c r="L667"/>
      <c r="M667" s="17"/>
      <c r="N667"/>
      <c r="O667"/>
      <c r="P667" s="34"/>
      <c r="Q667"/>
    </row>
    <row r="668" spans="1:17" x14ac:dyDescent="0.25">
      <c r="A668" s="14"/>
      <c r="B668"/>
      <c r="C668" s="15"/>
      <c r="D668"/>
      <c r="E668"/>
      <c r="F668" s="16"/>
      <c r="G668"/>
      <c r="H668"/>
      <c r="I668" s="16"/>
      <c r="J668"/>
      <c r="K668"/>
      <c r="L668"/>
      <c r="M668" s="17"/>
      <c r="N668"/>
      <c r="O668"/>
      <c r="P668" s="34"/>
      <c r="Q668"/>
    </row>
    <row r="669" spans="1:17" x14ac:dyDescent="0.25">
      <c r="A669" s="14"/>
      <c r="B669"/>
      <c r="C669" s="15"/>
      <c r="D669"/>
      <c r="E669"/>
      <c r="F669" s="16"/>
      <c r="G669"/>
      <c r="H669"/>
      <c r="I669" s="16"/>
      <c r="J669"/>
      <c r="K669"/>
      <c r="L669"/>
      <c r="M669" s="17"/>
      <c r="N669"/>
      <c r="O669"/>
      <c r="P669" s="34"/>
      <c r="Q669"/>
    </row>
    <row r="670" spans="1:17" x14ac:dyDescent="0.25">
      <c r="A670" s="14"/>
      <c r="B670"/>
      <c r="C670" s="15"/>
      <c r="D670"/>
      <c r="E670"/>
      <c r="F670" s="16"/>
      <c r="G670"/>
      <c r="H670"/>
      <c r="I670" s="16"/>
      <c r="J670"/>
      <c r="K670"/>
      <c r="L670"/>
      <c r="M670" s="17"/>
      <c r="N670"/>
      <c r="O670"/>
      <c r="P670" s="34"/>
      <c r="Q670"/>
    </row>
    <row r="671" spans="1:17" x14ac:dyDescent="0.25">
      <c r="A671" s="14"/>
      <c r="B671"/>
      <c r="C671" s="15"/>
      <c r="D671"/>
      <c r="E671"/>
      <c r="F671" s="16"/>
      <c r="G671"/>
      <c r="H671"/>
      <c r="I671" s="16"/>
      <c r="J671"/>
      <c r="K671"/>
      <c r="L671"/>
      <c r="M671" s="17"/>
      <c r="N671"/>
      <c r="O671"/>
      <c r="P671" s="34"/>
      <c r="Q671"/>
    </row>
    <row r="672" spans="1:17" x14ac:dyDescent="0.25">
      <c r="A672" s="14"/>
      <c r="B672"/>
      <c r="C672" s="15"/>
      <c r="D672"/>
      <c r="E672"/>
      <c r="F672" s="16"/>
      <c r="G672"/>
      <c r="H672"/>
      <c r="I672" s="16"/>
      <c r="J672"/>
      <c r="K672"/>
      <c r="L672"/>
      <c r="M672" s="17"/>
      <c r="N672"/>
      <c r="O672"/>
      <c r="P672" s="34"/>
      <c r="Q672"/>
    </row>
    <row r="673" spans="1:17" x14ac:dyDescent="0.25">
      <c r="A673" s="14"/>
      <c r="B673"/>
      <c r="C673" s="15"/>
      <c r="D673"/>
      <c r="E673"/>
      <c r="F673" s="16"/>
      <c r="G673"/>
      <c r="H673"/>
      <c r="I673" s="16"/>
      <c r="J673"/>
      <c r="K673"/>
      <c r="L673"/>
      <c r="M673" s="17"/>
      <c r="N673"/>
      <c r="O673"/>
      <c r="P673" s="34"/>
      <c r="Q673"/>
    </row>
    <row r="674" spans="1:17" x14ac:dyDescent="0.25">
      <c r="A674" s="14"/>
      <c r="B674"/>
      <c r="C674" s="15"/>
      <c r="D674"/>
      <c r="E674"/>
      <c r="F674" s="16"/>
      <c r="G674"/>
      <c r="H674"/>
      <c r="I674" s="16"/>
      <c r="J674"/>
      <c r="K674"/>
      <c r="L674"/>
      <c r="M674" s="17"/>
      <c r="N674"/>
      <c r="O674"/>
      <c r="P674" s="34"/>
      <c r="Q674"/>
    </row>
    <row r="675" spans="1:17" x14ac:dyDescent="0.25">
      <c r="A675" s="14"/>
      <c r="B675"/>
      <c r="C675" s="15"/>
      <c r="D675"/>
      <c r="E675"/>
      <c r="F675" s="16"/>
      <c r="G675"/>
      <c r="H675"/>
      <c r="I675" s="16"/>
      <c r="J675"/>
      <c r="K675"/>
      <c r="L675"/>
      <c r="M675" s="17"/>
      <c r="N675"/>
      <c r="O675"/>
      <c r="P675" s="34"/>
      <c r="Q675"/>
    </row>
    <row r="676" spans="1:17" x14ac:dyDescent="0.25">
      <c r="A676" s="14"/>
      <c r="B676"/>
      <c r="C676" s="15"/>
      <c r="D676"/>
      <c r="E676"/>
      <c r="F676" s="16"/>
      <c r="G676"/>
      <c r="H676"/>
      <c r="I676" s="16"/>
      <c r="J676"/>
      <c r="K676"/>
      <c r="L676"/>
      <c r="M676" s="17"/>
      <c r="N676"/>
      <c r="O676"/>
      <c r="P676" s="34"/>
      <c r="Q676"/>
    </row>
    <row r="677" spans="1:17" x14ac:dyDescent="0.25">
      <c r="A677" s="14"/>
      <c r="B677"/>
      <c r="C677" s="15"/>
      <c r="D677"/>
      <c r="E677"/>
      <c r="F677" s="16"/>
      <c r="G677"/>
      <c r="H677"/>
      <c r="I677" s="16"/>
      <c r="J677"/>
      <c r="K677"/>
      <c r="L677"/>
      <c r="M677" s="17"/>
      <c r="N677"/>
      <c r="O677"/>
      <c r="P677" s="34"/>
      <c r="Q677"/>
    </row>
    <row r="678" spans="1:17" x14ac:dyDescent="0.25">
      <c r="A678" s="14"/>
      <c r="B678"/>
      <c r="C678" s="15"/>
      <c r="D678"/>
      <c r="E678"/>
      <c r="F678" s="16"/>
      <c r="G678"/>
      <c r="H678"/>
      <c r="I678" s="16"/>
      <c r="J678"/>
      <c r="K678"/>
      <c r="L678"/>
      <c r="M678" s="17"/>
      <c r="N678"/>
      <c r="O678"/>
      <c r="P678" s="34"/>
      <c r="Q678"/>
    </row>
    <row r="679" spans="1:17" x14ac:dyDescent="0.25">
      <c r="A679" s="14"/>
      <c r="B679"/>
      <c r="C679" s="15"/>
      <c r="D679"/>
      <c r="E679"/>
      <c r="F679" s="16"/>
      <c r="G679"/>
      <c r="H679"/>
      <c r="I679" s="16"/>
      <c r="J679"/>
      <c r="K679"/>
      <c r="L679"/>
      <c r="M679" s="17"/>
      <c r="N679"/>
      <c r="O679"/>
      <c r="P679" s="34"/>
      <c r="Q679"/>
    </row>
    <row r="680" spans="1:17" x14ac:dyDescent="0.25">
      <c r="A680" s="14"/>
      <c r="B680"/>
      <c r="C680" s="15"/>
      <c r="D680"/>
      <c r="E680"/>
      <c r="F680" s="16"/>
      <c r="G680"/>
      <c r="H680"/>
      <c r="I680" s="16"/>
      <c r="J680"/>
      <c r="K680"/>
      <c r="L680"/>
      <c r="M680" s="17"/>
      <c r="N680"/>
      <c r="O680"/>
      <c r="P680" s="34"/>
      <c r="Q680"/>
    </row>
    <row r="681" spans="1:17" x14ac:dyDescent="0.25">
      <c r="A681" s="14"/>
      <c r="B681"/>
      <c r="C681" s="15"/>
      <c r="D681"/>
      <c r="E681"/>
      <c r="F681" s="16"/>
      <c r="G681"/>
      <c r="H681"/>
      <c r="I681" s="16"/>
      <c r="J681"/>
      <c r="K681"/>
      <c r="L681"/>
      <c r="M681" s="17"/>
      <c r="N681"/>
      <c r="O681"/>
      <c r="P681" s="34"/>
      <c r="Q681"/>
    </row>
    <row r="682" spans="1:17" x14ac:dyDescent="0.25">
      <c r="A682" s="14"/>
      <c r="B682"/>
      <c r="C682" s="15"/>
      <c r="D682"/>
      <c r="E682"/>
      <c r="F682" s="16"/>
      <c r="G682"/>
      <c r="H682"/>
      <c r="I682" s="16"/>
      <c r="J682"/>
      <c r="K682"/>
      <c r="L682"/>
      <c r="M682" s="17"/>
      <c r="N682"/>
      <c r="O682"/>
      <c r="P682" s="34"/>
      <c r="Q682"/>
    </row>
    <row r="683" spans="1:17" x14ac:dyDescent="0.25">
      <c r="A683" s="14"/>
      <c r="B683"/>
      <c r="C683" s="15"/>
      <c r="D683"/>
      <c r="E683"/>
      <c r="F683" s="16"/>
      <c r="G683"/>
      <c r="H683"/>
      <c r="I683" s="16"/>
      <c r="J683"/>
      <c r="K683"/>
      <c r="L683"/>
      <c r="M683" s="17"/>
      <c r="N683"/>
      <c r="O683"/>
      <c r="P683" s="34"/>
      <c r="Q683"/>
    </row>
    <row r="684" spans="1:17" x14ac:dyDescent="0.25">
      <c r="A684" s="14"/>
      <c r="B684"/>
      <c r="C684" s="15"/>
      <c r="D684"/>
      <c r="E684"/>
      <c r="F684" s="16"/>
      <c r="G684"/>
      <c r="H684"/>
      <c r="I684" s="16"/>
      <c r="J684"/>
      <c r="K684"/>
      <c r="L684"/>
      <c r="M684" s="17"/>
      <c r="N684"/>
      <c r="O684"/>
      <c r="P684" s="34"/>
      <c r="Q684"/>
    </row>
    <row r="685" spans="1:17" x14ac:dyDescent="0.25">
      <c r="A685" s="14"/>
      <c r="B685"/>
      <c r="C685" s="15"/>
      <c r="D685"/>
      <c r="E685"/>
      <c r="F685" s="16"/>
      <c r="G685"/>
      <c r="H685"/>
      <c r="I685" s="16"/>
      <c r="J685"/>
      <c r="K685"/>
      <c r="L685"/>
      <c r="M685" s="17"/>
      <c r="N685"/>
      <c r="O685"/>
      <c r="P685" s="34"/>
      <c r="Q685"/>
    </row>
    <row r="686" spans="1:17" x14ac:dyDescent="0.25">
      <c r="A686" s="14"/>
      <c r="B686"/>
      <c r="C686" s="15"/>
      <c r="D686"/>
      <c r="E686"/>
      <c r="F686" s="16"/>
      <c r="G686"/>
      <c r="H686"/>
      <c r="I686" s="16"/>
      <c r="J686"/>
      <c r="K686"/>
      <c r="L686"/>
      <c r="M686" s="17"/>
      <c r="N686"/>
      <c r="O686"/>
      <c r="P686" s="34"/>
      <c r="Q686"/>
    </row>
    <row r="687" spans="1:17" x14ac:dyDescent="0.25">
      <c r="A687" s="14"/>
      <c r="B687"/>
      <c r="C687" s="15"/>
      <c r="D687"/>
      <c r="E687"/>
      <c r="F687" s="16"/>
      <c r="G687"/>
      <c r="H687"/>
      <c r="I687" s="16"/>
      <c r="J687"/>
      <c r="K687"/>
      <c r="L687"/>
      <c r="M687" s="17"/>
      <c r="N687"/>
      <c r="O687"/>
      <c r="P687" s="34"/>
      <c r="Q687"/>
    </row>
    <row r="688" spans="1:17" x14ac:dyDescent="0.25">
      <c r="A688" s="14"/>
      <c r="B688"/>
      <c r="C688" s="15"/>
      <c r="D688"/>
      <c r="E688"/>
      <c r="F688" s="16"/>
      <c r="G688"/>
      <c r="H688"/>
      <c r="I688" s="16"/>
      <c r="J688"/>
      <c r="K688"/>
      <c r="L688"/>
      <c r="M688" s="17"/>
      <c r="N688"/>
      <c r="O688"/>
      <c r="P688" s="34"/>
      <c r="Q688"/>
    </row>
    <row r="689" spans="1:17" x14ac:dyDescent="0.25">
      <c r="A689" s="14"/>
      <c r="B689"/>
      <c r="C689" s="15"/>
      <c r="D689"/>
      <c r="E689"/>
      <c r="F689" s="16"/>
      <c r="G689"/>
      <c r="H689"/>
      <c r="I689" s="16"/>
      <c r="J689"/>
      <c r="K689"/>
      <c r="L689"/>
      <c r="M689" s="17"/>
      <c r="N689"/>
      <c r="O689"/>
      <c r="P689" s="34"/>
      <c r="Q689"/>
    </row>
    <row r="690" spans="1:17" x14ac:dyDescent="0.25">
      <c r="A690" s="14"/>
      <c r="B690"/>
      <c r="C690" s="15"/>
      <c r="D690"/>
      <c r="E690"/>
      <c r="F690" s="16"/>
      <c r="G690"/>
      <c r="H690"/>
      <c r="I690" s="16"/>
      <c r="J690"/>
      <c r="K690"/>
      <c r="L690"/>
      <c r="M690" s="17"/>
      <c r="N690"/>
      <c r="O690"/>
      <c r="P690" s="34"/>
      <c r="Q690"/>
    </row>
    <row r="691" spans="1:17" x14ac:dyDescent="0.25">
      <c r="A691" s="14"/>
      <c r="B691"/>
      <c r="C691" s="15"/>
      <c r="D691"/>
      <c r="E691"/>
      <c r="F691" s="16"/>
      <c r="G691"/>
      <c r="H691"/>
      <c r="I691" s="16"/>
      <c r="J691"/>
      <c r="K691"/>
      <c r="L691"/>
      <c r="M691" s="17"/>
      <c r="N691"/>
      <c r="O691"/>
      <c r="P691" s="34"/>
      <c r="Q691"/>
    </row>
    <row r="692" spans="1:17" x14ac:dyDescent="0.25">
      <c r="A692" s="14"/>
      <c r="B692"/>
      <c r="C692" s="15"/>
      <c r="D692"/>
      <c r="E692"/>
      <c r="F692" s="16"/>
      <c r="G692"/>
      <c r="H692"/>
      <c r="I692" s="16"/>
      <c r="J692"/>
      <c r="K692"/>
      <c r="L692"/>
      <c r="M692" s="17"/>
      <c r="N692"/>
      <c r="O692"/>
      <c r="P692" s="34"/>
      <c r="Q692"/>
    </row>
    <row r="693" spans="1:17" x14ac:dyDescent="0.25">
      <c r="A693" s="14"/>
      <c r="B693"/>
      <c r="C693" s="15"/>
      <c r="D693"/>
      <c r="E693"/>
      <c r="F693" s="16"/>
      <c r="G693"/>
      <c r="H693"/>
      <c r="I693" s="16"/>
      <c r="J693"/>
      <c r="K693"/>
      <c r="L693"/>
      <c r="M693" s="17"/>
      <c r="N693"/>
      <c r="O693"/>
      <c r="P693" s="34"/>
      <c r="Q693"/>
    </row>
    <row r="694" spans="1:17" x14ac:dyDescent="0.25">
      <c r="A694" s="14"/>
      <c r="B694"/>
      <c r="C694" s="15"/>
      <c r="D694"/>
      <c r="E694"/>
      <c r="F694" s="16"/>
      <c r="G694"/>
      <c r="H694"/>
      <c r="I694" s="16"/>
      <c r="J694"/>
      <c r="K694"/>
      <c r="L694"/>
      <c r="M694" s="17"/>
      <c r="N694"/>
      <c r="O694"/>
      <c r="P694" s="34"/>
      <c r="Q694"/>
    </row>
    <row r="695" spans="1:17" x14ac:dyDescent="0.25">
      <c r="A695" s="14"/>
      <c r="B695"/>
      <c r="C695" s="15"/>
      <c r="D695"/>
      <c r="E695"/>
      <c r="F695" s="16"/>
      <c r="G695"/>
      <c r="H695"/>
      <c r="I695" s="16"/>
      <c r="J695"/>
      <c r="K695"/>
      <c r="L695"/>
      <c r="M695" s="17"/>
      <c r="N695"/>
      <c r="O695"/>
      <c r="P695" s="34"/>
      <c r="Q695"/>
    </row>
    <row r="696" spans="1:17" x14ac:dyDescent="0.25">
      <c r="A696" s="14"/>
      <c r="B696"/>
      <c r="C696" s="15"/>
      <c r="D696"/>
      <c r="E696"/>
      <c r="F696" s="16"/>
      <c r="G696"/>
      <c r="H696"/>
      <c r="I696" s="16"/>
      <c r="J696"/>
      <c r="K696"/>
      <c r="L696"/>
      <c r="M696" s="17"/>
      <c r="N696"/>
      <c r="O696"/>
      <c r="P696" s="34"/>
      <c r="Q696"/>
    </row>
    <row r="697" spans="1:17" x14ac:dyDescent="0.25">
      <c r="A697" s="14"/>
      <c r="B697"/>
      <c r="C697" s="15"/>
      <c r="D697"/>
      <c r="E697"/>
      <c r="F697" s="16"/>
      <c r="G697"/>
      <c r="H697"/>
      <c r="I697" s="16"/>
      <c r="J697"/>
      <c r="K697"/>
      <c r="L697"/>
      <c r="M697" s="17"/>
      <c r="N697"/>
      <c r="O697"/>
      <c r="P697" s="34"/>
      <c r="Q697"/>
    </row>
    <row r="698" spans="1:17" x14ac:dyDescent="0.25">
      <c r="A698" s="14"/>
      <c r="B698"/>
      <c r="C698" s="15"/>
      <c r="D698"/>
      <c r="E698"/>
      <c r="F698" s="16"/>
      <c r="G698"/>
      <c r="H698"/>
      <c r="I698" s="16"/>
      <c r="J698"/>
      <c r="K698"/>
      <c r="L698"/>
      <c r="M698" s="17"/>
      <c r="N698"/>
      <c r="O698"/>
      <c r="P698" s="34"/>
      <c r="Q698"/>
    </row>
    <row r="699" spans="1:17" x14ac:dyDescent="0.25">
      <c r="A699" s="14"/>
      <c r="B699"/>
      <c r="C699" s="15"/>
      <c r="D699"/>
      <c r="E699"/>
      <c r="F699" s="16"/>
      <c r="G699"/>
      <c r="H699"/>
      <c r="I699" s="16"/>
      <c r="J699"/>
      <c r="K699"/>
      <c r="L699"/>
      <c r="M699" s="17"/>
      <c r="N699"/>
      <c r="O699"/>
      <c r="P699" s="34"/>
      <c r="Q699"/>
    </row>
    <row r="700" spans="1:17" x14ac:dyDescent="0.25">
      <c r="A700" s="14"/>
      <c r="B700"/>
      <c r="C700" s="15"/>
      <c r="D700"/>
      <c r="E700"/>
      <c r="F700" s="16"/>
      <c r="G700"/>
      <c r="H700"/>
      <c r="I700" s="16"/>
      <c r="J700"/>
      <c r="K700"/>
      <c r="L700"/>
      <c r="M700" s="17"/>
      <c r="N700"/>
      <c r="O700"/>
      <c r="P700" s="34"/>
      <c r="Q700"/>
    </row>
    <row r="701" spans="1:17" x14ac:dyDescent="0.25">
      <c r="A701" s="14"/>
      <c r="B701"/>
      <c r="C701" s="15"/>
      <c r="D701"/>
      <c r="E701"/>
      <c r="F701" s="16"/>
      <c r="G701"/>
      <c r="H701"/>
      <c r="I701" s="16"/>
      <c r="J701"/>
      <c r="K701"/>
      <c r="L701"/>
      <c r="M701" s="17"/>
      <c r="N701"/>
      <c r="O701"/>
      <c r="P701" s="34"/>
      <c r="Q701"/>
    </row>
    <row r="702" spans="1:17" x14ac:dyDescent="0.25">
      <c r="A702" s="14"/>
      <c r="B702"/>
      <c r="C702" s="15"/>
      <c r="D702"/>
      <c r="E702"/>
      <c r="F702" s="16"/>
      <c r="G702"/>
      <c r="H702"/>
      <c r="I702" s="16"/>
      <c r="J702"/>
      <c r="K702"/>
      <c r="L702"/>
      <c r="M702" s="17"/>
      <c r="N702"/>
      <c r="O702"/>
      <c r="P702" s="34"/>
      <c r="Q702"/>
    </row>
    <row r="703" spans="1:17" x14ac:dyDescent="0.25">
      <c r="A703" s="14"/>
      <c r="B703"/>
      <c r="C703" s="15"/>
      <c r="D703"/>
      <c r="E703"/>
      <c r="F703" s="16"/>
      <c r="G703"/>
      <c r="H703"/>
      <c r="I703" s="16"/>
      <c r="J703"/>
      <c r="K703"/>
      <c r="L703"/>
      <c r="M703" s="17"/>
      <c r="N703"/>
      <c r="O703"/>
      <c r="P703" s="34"/>
      <c r="Q703"/>
    </row>
    <row r="704" spans="1:17" x14ac:dyDescent="0.25">
      <c r="A704" s="14"/>
      <c r="B704"/>
      <c r="C704" s="15"/>
      <c r="D704"/>
      <c r="E704"/>
      <c r="F704" s="16"/>
      <c r="G704"/>
      <c r="H704"/>
      <c r="I704" s="16"/>
      <c r="J704"/>
      <c r="K704"/>
      <c r="L704"/>
      <c r="M704" s="17"/>
      <c r="N704"/>
      <c r="O704"/>
      <c r="P704" s="34"/>
      <c r="Q704"/>
    </row>
    <row r="705" spans="1:17" x14ac:dyDescent="0.25">
      <c r="A705" s="14"/>
      <c r="B705"/>
      <c r="C705" s="15"/>
      <c r="D705"/>
      <c r="E705"/>
      <c r="F705" s="16"/>
      <c r="G705"/>
      <c r="H705"/>
      <c r="I705" s="16"/>
      <c r="J705"/>
      <c r="K705"/>
      <c r="L705"/>
      <c r="M705" s="17"/>
      <c r="N705"/>
      <c r="O705"/>
      <c r="P705" s="34"/>
      <c r="Q705"/>
    </row>
    <row r="706" spans="1:17" x14ac:dyDescent="0.25">
      <c r="A706" s="14"/>
      <c r="B706"/>
      <c r="C706" s="15"/>
      <c r="D706"/>
      <c r="E706"/>
      <c r="F706" s="16"/>
      <c r="G706"/>
      <c r="H706"/>
      <c r="I706" s="16"/>
      <c r="J706"/>
      <c r="K706"/>
      <c r="L706"/>
      <c r="M706" s="17"/>
      <c r="N706"/>
      <c r="O706"/>
      <c r="P706" s="34"/>
      <c r="Q706"/>
    </row>
    <row r="707" spans="1:17" x14ac:dyDescent="0.25">
      <c r="A707" s="14"/>
      <c r="B707"/>
      <c r="C707" s="15"/>
      <c r="D707"/>
      <c r="E707"/>
      <c r="F707" s="16"/>
      <c r="G707"/>
      <c r="H707"/>
      <c r="I707" s="16"/>
      <c r="J707"/>
      <c r="K707"/>
      <c r="L707"/>
      <c r="M707" s="17"/>
      <c r="N707"/>
      <c r="O707"/>
      <c r="P707" s="34"/>
      <c r="Q707"/>
    </row>
    <row r="708" spans="1:17" x14ac:dyDescent="0.25">
      <c r="A708" s="14"/>
      <c r="B708"/>
      <c r="C708" s="15"/>
      <c r="D708"/>
      <c r="E708"/>
      <c r="F708" s="16"/>
      <c r="G708"/>
      <c r="H708"/>
      <c r="I708" s="16"/>
      <c r="J708"/>
      <c r="K708"/>
      <c r="L708"/>
      <c r="M708" s="17"/>
      <c r="N708"/>
      <c r="O708"/>
      <c r="P708" s="34"/>
      <c r="Q708"/>
    </row>
    <row r="709" spans="1:17" x14ac:dyDescent="0.25">
      <c r="A709" s="14"/>
      <c r="B709"/>
      <c r="C709" s="15"/>
      <c r="D709"/>
      <c r="E709"/>
      <c r="F709" s="16"/>
      <c r="G709"/>
      <c r="H709"/>
      <c r="I709" s="16"/>
      <c r="J709"/>
      <c r="K709"/>
      <c r="L709"/>
      <c r="M709" s="17"/>
      <c r="N709"/>
      <c r="O709"/>
      <c r="P709" s="34"/>
      <c r="Q709"/>
    </row>
    <row r="710" spans="1:17" x14ac:dyDescent="0.25">
      <c r="A710" s="14"/>
      <c r="B710"/>
      <c r="C710" s="15"/>
      <c r="D710"/>
      <c r="E710"/>
      <c r="F710" s="16"/>
      <c r="G710"/>
      <c r="H710"/>
      <c r="I710" s="16"/>
      <c r="J710"/>
      <c r="K710"/>
      <c r="L710"/>
      <c r="M710" s="17"/>
      <c r="N710"/>
      <c r="O710"/>
      <c r="P710" s="34"/>
      <c r="Q710"/>
    </row>
    <row r="711" spans="1:17" x14ac:dyDescent="0.25">
      <c r="A711" s="14"/>
      <c r="B711"/>
      <c r="C711" s="15"/>
      <c r="D711"/>
      <c r="E711"/>
      <c r="F711" s="16"/>
      <c r="G711"/>
      <c r="H711"/>
      <c r="I711" s="16"/>
      <c r="J711"/>
      <c r="K711"/>
      <c r="L711"/>
      <c r="M711" s="17"/>
      <c r="N711"/>
      <c r="O711"/>
      <c r="P711" s="34"/>
      <c r="Q711"/>
    </row>
    <row r="712" spans="1:17" x14ac:dyDescent="0.25">
      <c r="A712" s="14"/>
      <c r="B712"/>
      <c r="C712" s="15"/>
      <c r="D712"/>
      <c r="E712"/>
      <c r="F712" s="16"/>
      <c r="G712"/>
      <c r="H712"/>
      <c r="I712" s="16"/>
      <c r="J712"/>
      <c r="K712"/>
      <c r="L712"/>
      <c r="M712" s="17"/>
      <c r="N712"/>
      <c r="O712"/>
      <c r="P712" s="34"/>
      <c r="Q712"/>
    </row>
    <row r="713" spans="1:17" x14ac:dyDescent="0.25">
      <c r="A713" s="14"/>
      <c r="B713"/>
      <c r="C713" s="15"/>
      <c r="D713"/>
      <c r="E713"/>
      <c r="F713" s="16"/>
      <c r="G713"/>
      <c r="H713"/>
      <c r="I713" s="16"/>
      <c r="J713"/>
      <c r="K713"/>
      <c r="L713"/>
      <c r="M713" s="17"/>
      <c r="N713"/>
      <c r="O713"/>
      <c r="P713" s="34"/>
      <c r="Q713"/>
    </row>
    <row r="714" spans="1:17" x14ac:dyDescent="0.25">
      <c r="A714" s="14"/>
      <c r="B714"/>
      <c r="C714" s="15"/>
      <c r="D714"/>
      <c r="E714"/>
      <c r="F714" s="16"/>
      <c r="G714"/>
      <c r="H714"/>
      <c r="I714" s="16"/>
      <c r="J714"/>
      <c r="K714"/>
      <c r="L714"/>
      <c r="M714" s="17"/>
      <c r="N714"/>
      <c r="O714"/>
      <c r="P714" s="34"/>
      <c r="Q714"/>
    </row>
    <row r="715" spans="1:17" x14ac:dyDescent="0.25">
      <c r="A715" s="14"/>
      <c r="B715"/>
      <c r="C715" s="15"/>
      <c r="D715"/>
      <c r="E715"/>
      <c r="F715" s="16"/>
      <c r="G715"/>
      <c r="H715"/>
      <c r="I715" s="16"/>
      <c r="J715"/>
      <c r="K715"/>
      <c r="L715"/>
      <c r="M715" s="17"/>
      <c r="N715"/>
      <c r="O715"/>
      <c r="P715" s="34"/>
      <c r="Q715"/>
    </row>
    <row r="716" spans="1:17" x14ac:dyDescent="0.25">
      <c r="A716" s="14"/>
      <c r="B716"/>
      <c r="C716" s="15"/>
      <c r="D716"/>
      <c r="E716"/>
      <c r="F716" s="16"/>
      <c r="G716"/>
      <c r="H716"/>
      <c r="I716" s="16"/>
      <c r="J716"/>
      <c r="K716"/>
      <c r="L716"/>
      <c r="M716" s="17"/>
      <c r="N716"/>
      <c r="O716"/>
      <c r="P716" s="34"/>
      <c r="Q716"/>
    </row>
    <row r="717" spans="1:17" x14ac:dyDescent="0.25">
      <c r="A717" s="14"/>
      <c r="B717"/>
      <c r="C717" s="15"/>
      <c r="D717"/>
      <c r="E717"/>
      <c r="F717" s="16"/>
      <c r="G717"/>
      <c r="H717"/>
      <c r="I717" s="16"/>
      <c r="J717"/>
      <c r="K717"/>
      <c r="L717"/>
      <c r="M717" s="17"/>
      <c r="N717"/>
      <c r="O717"/>
      <c r="P717" s="34"/>
      <c r="Q717"/>
    </row>
    <row r="718" spans="1:17" x14ac:dyDescent="0.25">
      <c r="A718" s="14"/>
      <c r="B718"/>
      <c r="C718" s="15"/>
      <c r="D718"/>
      <c r="E718"/>
      <c r="F718" s="16"/>
      <c r="G718"/>
      <c r="H718"/>
      <c r="I718" s="16"/>
      <c r="J718"/>
      <c r="K718"/>
      <c r="L718"/>
      <c r="M718" s="17"/>
      <c r="N718"/>
      <c r="O718"/>
      <c r="P718" s="34"/>
      <c r="Q718"/>
    </row>
    <row r="719" spans="1:17" x14ac:dyDescent="0.25">
      <c r="A719" s="14"/>
      <c r="B719"/>
      <c r="C719" s="15"/>
      <c r="D719"/>
      <c r="E719"/>
      <c r="F719" s="16"/>
      <c r="G719"/>
      <c r="H719"/>
      <c r="I719" s="16"/>
      <c r="J719"/>
      <c r="K719"/>
      <c r="L719"/>
      <c r="M719" s="17"/>
      <c r="N719"/>
      <c r="O719"/>
      <c r="P719" s="34"/>
      <c r="Q719"/>
    </row>
    <row r="720" spans="1:17" x14ac:dyDescent="0.25">
      <c r="A720" s="14"/>
      <c r="B720"/>
      <c r="C720" s="15"/>
      <c r="D720"/>
      <c r="E720"/>
      <c r="F720" s="16"/>
      <c r="G720"/>
      <c r="H720"/>
      <c r="I720" s="16"/>
      <c r="J720"/>
      <c r="K720"/>
      <c r="L720"/>
      <c r="M720" s="17"/>
      <c r="N720"/>
      <c r="O720"/>
      <c r="P720" s="34"/>
      <c r="Q720"/>
    </row>
    <row r="721" spans="1:17" x14ac:dyDescent="0.25">
      <c r="A721" s="14"/>
      <c r="B721"/>
      <c r="C721" s="15"/>
      <c r="D721"/>
      <c r="E721"/>
      <c r="F721" s="16"/>
      <c r="G721"/>
      <c r="H721"/>
      <c r="I721" s="16"/>
      <c r="J721"/>
      <c r="K721"/>
      <c r="L721"/>
      <c r="M721" s="17"/>
      <c r="N721"/>
      <c r="O721"/>
      <c r="P721" s="34"/>
      <c r="Q721"/>
    </row>
    <row r="722" spans="1:17" x14ac:dyDescent="0.25">
      <c r="A722" s="14"/>
      <c r="B722"/>
      <c r="C722" s="15"/>
      <c r="D722"/>
      <c r="E722"/>
      <c r="F722" s="16"/>
      <c r="G722"/>
      <c r="H722"/>
      <c r="I722" s="16"/>
      <c r="J722"/>
      <c r="K722"/>
      <c r="L722"/>
      <c r="M722" s="17"/>
      <c r="N722"/>
      <c r="O722"/>
      <c r="P722" s="34"/>
      <c r="Q722"/>
    </row>
    <row r="723" spans="1:17" x14ac:dyDescent="0.25">
      <c r="A723" s="14"/>
      <c r="B723"/>
      <c r="C723" s="15"/>
      <c r="D723"/>
      <c r="E723"/>
      <c r="F723" s="16"/>
      <c r="G723"/>
      <c r="H723"/>
      <c r="I723" s="16"/>
      <c r="J723"/>
      <c r="K723"/>
      <c r="L723"/>
      <c r="M723" s="17"/>
      <c r="N723"/>
      <c r="O723"/>
      <c r="P723" s="34"/>
      <c r="Q723"/>
    </row>
    <row r="724" spans="1:17" x14ac:dyDescent="0.25">
      <c r="A724" s="14"/>
      <c r="B724"/>
      <c r="C724" s="15"/>
      <c r="D724"/>
      <c r="E724"/>
      <c r="F724" s="16"/>
      <c r="G724"/>
      <c r="H724"/>
      <c r="I724" s="16"/>
      <c r="J724"/>
      <c r="K724"/>
      <c r="L724"/>
      <c r="M724" s="17"/>
      <c r="N724"/>
      <c r="O724"/>
      <c r="P724" s="34"/>
      <c r="Q724"/>
    </row>
    <row r="725" spans="1:17" x14ac:dyDescent="0.25">
      <c r="A725" s="14"/>
      <c r="B725"/>
      <c r="C725" s="15"/>
      <c r="D725"/>
      <c r="E725"/>
      <c r="F725" s="16"/>
      <c r="G725"/>
      <c r="H725"/>
      <c r="I725" s="16"/>
      <c r="J725"/>
      <c r="K725"/>
      <c r="L725"/>
      <c r="M725" s="17"/>
      <c r="N725"/>
      <c r="O725"/>
      <c r="P725" s="34"/>
      <c r="Q725"/>
    </row>
    <row r="726" spans="1:17" x14ac:dyDescent="0.25">
      <c r="A726" s="14"/>
      <c r="B726"/>
      <c r="C726" s="15"/>
      <c r="D726"/>
      <c r="E726"/>
      <c r="F726" s="16"/>
      <c r="G726"/>
      <c r="H726"/>
      <c r="I726" s="16"/>
      <c r="J726"/>
      <c r="K726"/>
      <c r="L726"/>
      <c r="M726" s="17"/>
      <c r="N726"/>
      <c r="O726"/>
      <c r="P726" s="34"/>
      <c r="Q726"/>
    </row>
    <row r="727" spans="1:17" x14ac:dyDescent="0.25">
      <c r="A727" s="14"/>
      <c r="B727"/>
      <c r="C727" s="15"/>
      <c r="D727"/>
      <c r="E727"/>
      <c r="F727" s="16"/>
      <c r="G727"/>
      <c r="H727"/>
      <c r="I727" s="16"/>
      <c r="J727"/>
      <c r="K727"/>
      <c r="L727"/>
      <c r="M727" s="17"/>
      <c r="N727"/>
      <c r="O727"/>
      <c r="P727" s="34"/>
      <c r="Q727"/>
    </row>
    <row r="728" spans="1:17" x14ac:dyDescent="0.25">
      <c r="A728" s="14"/>
      <c r="B728"/>
      <c r="C728" s="15"/>
      <c r="D728"/>
      <c r="E728"/>
      <c r="F728" s="16"/>
      <c r="G728"/>
      <c r="H728"/>
      <c r="I728" s="16"/>
      <c r="J728"/>
      <c r="K728"/>
      <c r="L728"/>
      <c r="M728" s="17"/>
      <c r="N728"/>
      <c r="O728"/>
      <c r="P728" s="34"/>
      <c r="Q728"/>
    </row>
    <row r="729" spans="1:17" x14ac:dyDescent="0.25">
      <c r="A729" s="14"/>
      <c r="B729"/>
      <c r="C729" s="15"/>
      <c r="D729"/>
      <c r="E729"/>
      <c r="F729" s="16"/>
      <c r="G729"/>
      <c r="H729"/>
      <c r="I729" s="16"/>
      <c r="J729"/>
      <c r="K729"/>
      <c r="L729"/>
      <c r="M729" s="17"/>
      <c r="N729"/>
      <c r="O729"/>
      <c r="P729" s="34"/>
      <c r="Q729"/>
    </row>
    <row r="730" spans="1:17" x14ac:dyDescent="0.25">
      <c r="A730" s="14"/>
      <c r="B730"/>
      <c r="C730" s="15"/>
      <c r="D730"/>
      <c r="E730"/>
      <c r="F730" s="16"/>
      <c r="G730"/>
      <c r="H730"/>
      <c r="I730" s="16"/>
      <c r="J730"/>
      <c r="K730"/>
      <c r="L730"/>
      <c r="M730" s="17"/>
      <c r="N730"/>
      <c r="O730"/>
      <c r="P730" s="34"/>
      <c r="Q730"/>
    </row>
    <row r="731" spans="1:17" x14ac:dyDescent="0.25">
      <c r="A731" s="14"/>
      <c r="B731"/>
      <c r="C731" s="15"/>
      <c r="D731"/>
      <c r="E731"/>
      <c r="F731" s="16"/>
      <c r="G731"/>
      <c r="H731"/>
      <c r="I731" s="16"/>
      <c r="J731"/>
      <c r="K731"/>
      <c r="L731"/>
      <c r="M731" s="17"/>
      <c r="N731"/>
      <c r="O731"/>
      <c r="P731" s="34"/>
      <c r="Q731"/>
    </row>
    <row r="732" spans="1:17" x14ac:dyDescent="0.25">
      <c r="A732" s="14"/>
      <c r="B732"/>
      <c r="C732" s="15"/>
      <c r="D732"/>
      <c r="E732"/>
      <c r="F732" s="16"/>
      <c r="G732"/>
      <c r="H732"/>
      <c r="I732" s="16"/>
      <c r="J732"/>
      <c r="K732"/>
      <c r="L732"/>
      <c r="M732" s="17"/>
      <c r="N732"/>
      <c r="O732"/>
      <c r="P732" s="34"/>
      <c r="Q732"/>
    </row>
    <row r="733" spans="1:17" x14ac:dyDescent="0.25">
      <c r="A733" s="14"/>
      <c r="B733"/>
      <c r="C733" s="15"/>
      <c r="D733"/>
      <c r="E733"/>
      <c r="F733" s="16"/>
      <c r="G733"/>
      <c r="H733"/>
      <c r="I733" s="16"/>
      <c r="J733"/>
      <c r="K733"/>
      <c r="L733"/>
      <c r="M733" s="17"/>
      <c r="N733"/>
      <c r="O733"/>
      <c r="P733" s="34"/>
      <c r="Q733"/>
    </row>
    <row r="734" spans="1:17" x14ac:dyDescent="0.25">
      <c r="A734" s="14"/>
      <c r="B734"/>
      <c r="C734" s="15"/>
      <c r="D734"/>
      <c r="E734"/>
      <c r="F734" s="16"/>
      <c r="G734"/>
      <c r="H734"/>
      <c r="I734" s="16"/>
      <c r="J734"/>
      <c r="K734"/>
      <c r="L734"/>
      <c r="M734" s="17"/>
      <c r="N734"/>
      <c r="O734"/>
      <c r="P734" s="34"/>
      <c r="Q734"/>
    </row>
    <row r="735" spans="1:17" x14ac:dyDescent="0.25">
      <c r="A735" s="14"/>
      <c r="B735"/>
      <c r="C735" s="15"/>
      <c r="D735"/>
      <c r="E735"/>
      <c r="F735" s="16"/>
      <c r="G735"/>
      <c r="H735"/>
      <c r="I735" s="16"/>
      <c r="J735"/>
      <c r="K735"/>
      <c r="L735"/>
      <c r="M735" s="17"/>
      <c r="N735"/>
      <c r="O735"/>
      <c r="P735" s="34"/>
      <c r="Q735"/>
    </row>
    <row r="736" spans="1:17" x14ac:dyDescent="0.25">
      <c r="A736" s="14"/>
      <c r="B736"/>
      <c r="C736" s="15"/>
      <c r="D736"/>
      <c r="E736"/>
      <c r="F736" s="16"/>
      <c r="G736"/>
      <c r="H736"/>
      <c r="I736" s="16"/>
      <c r="J736"/>
      <c r="K736"/>
      <c r="L736"/>
      <c r="M736" s="17"/>
      <c r="N736"/>
      <c r="O736"/>
      <c r="P736" s="34"/>
      <c r="Q736"/>
    </row>
    <row r="737" spans="1:17" x14ac:dyDescent="0.25">
      <c r="A737" s="14"/>
      <c r="B737"/>
      <c r="C737" s="15"/>
      <c r="D737"/>
      <c r="E737"/>
      <c r="F737" s="16"/>
      <c r="G737"/>
      <c r="H737"/>
      <c r="I737" s="16"/>
      <c r="J737"/>
      <c r="K737"/>
      <c r="L737"/>
      <c r="M737" s="17"/>
      <c r="N737"/>
      <c r="O737"/>
      <c r="P737" s="34"/>
      <c r="Q737"/>
    </row>
    <row r="738" spans="1:17" x14ac:dyDescent="0.25">
      <c r="A738" s="14"/>
      <c r="B738"/>
      <c r="C738" s="15"/>
      <c r="D738"/>
      <c r="E738"/>
      <c r="F738" s="16"/>
      <c r="G738"/>
      <c r="H738"/>
      <c r="I738" s="16"/>
      <c r="J738"/>
      <c r="K738"/>
      <c r="L738"/>
      <c r="M738" s="17"/>
      <c r="N738"/>
      <c r="O738"/>
      <c r="P738" s="34"/>
      <c r="Q738"/>
    </row>
    <row r="739" spans="1:17" x14ac:dyDescent="0.25">
      <c r="A739" s="14"/>
      <c r="B739"/>
      <c r="C739" s="15"/>
      <c r="D739"/>
      <c r="E739"/>
      <c r="F739" s="16"/>
      <c r="G739"/>
      <c r="H739"/>
      <c r="I739" s="16"/>
      <c r="J739"/>
      <c r="K739"/>
      <c r="L739"/>
      <c r="M739" s="17"/>
      <c r="N739"/>
      <c r="O739"/>
      <c r="P739" s="34"/>
      <c r="Q739"/>
    </row>
    <row r="740" spans="1:17" x14ac:dyDescent="0.25">
      <c r="A740" s="14"/>
      <c r="B740"/>
      <c r="C740" s="15"/>
      <c r="D740"/>
      <c r="E740"/>
      <c r="F740" s="16"/>
      <c r="G740"/>
      <c r="H740"/>
      <c r="I740" s="16"/>
      <c r="J740"/>
      <c r="K740"/>
      <c r="L740"/>
      <c r="M740" s="17"/>
      <c r="N740"/>
      <c r="O740"/>
      <c r="P740" s="34"/>
      <c r="Q740"/>
    </row>
    <row r="741" spans="1:17" x14ac:dyDescent="0.25">
      <c r="A741" s="14"/>
      <c r="B741"/>
      <c r="C741" s="15"/>
      <c r="D741"/>
      <c r="E741"/>
      <c r="F741" s="16"/>
      <c r="G741"/>
      <c r="H741"/>
      <c r="I741" s="16"/>
      <c r="J741"/>
      <c r="K741"/>
      <c r="L741"/>
      <c r="M741" s="17"/>
      <c r="N741"/>
      <c r="O741"/>
      <c r="P741" s="34"/>
      <c r="Q741"/>
    </row>
    <row r="742" spans="1:17" x14ac:dyDescent="0.25">
      <c r="A742" s="14"/>
      <c r="B742"/>
      <c r="C742" s="15"/>
      <c r="D742"/>
      <c r="E742"/>
      <c r="F742" s="16"/>
      <c r="G742"/>
      <c r="H742"/>
      <c r="I742" s="16"/>
      <c r="J742"/>
      <c r="K742"/>
      <c r="L742"/>
      <c r="M742" s="17"/>
      <c r="N742"/>
      <c r="O742"/>
      <c r="P742" s="34"/>
      <c r="Q742"/>
    </row>
    <row r="743" spans="1:17" x14ac:dyDescent="0.25">
      <c r="A743" s="14"/>
      <c r="B743"/>
      <c r="C743" s="15"/>
      <c r="D743"/>
      <c r="E743"/>
      <c r="F743" s="16"/>
      <c r="G743"/>
      <c r="H743"/>
      <c r="I743" s="16"/>
      <c r="J743"/>
      <c r="K743"/>
      <c r="L743"/>
      <c r="M743" s="17"/>
      <c r="N743"/>
      <c r="O743"/>
      <c r="P743" s="34"/>
      <c r="Q743"/>
    </row>
    <row r="744" spans="1:17" x14ac:dyDescent="0.25">
      <c r="A744" s="14"/>
      <c r="B744"/>
      <c r="C744" s="15"/>
      <c r="D744"/>
      <c r="E744"/>
      <c r="F744" s="16"/>
      <c r="G744"/>
      <c r="H744"/>
      <c r="I744" s="16"/>
      <c r="J744"/>
      <c r="K744"/>
      <c r="L744"/>
      <c r="M744" s="17"/>
      <c r="N744"/>
      <c r="O744"/>
      <c r="P744" s="34"/>
      <c r="Q744"/>
    </row>
    <row r="745" spans="1:17" x14ac:dyDescent="0.25">
      <c r="A745" s="14"/>
      <c r="B745"/>
      <c r="C745" s="15"/>
      <c r="D745"/>
      <c r="E745"/>
      <c r="F745" s="16"/>
      <c r="G745"/>
      <c r="H745"/>
      <c r="I745" s="16"/>
      <c r="J745"/>
      <c r="K745"/>
      <c r="L745"/>
      <c r="M745" s="17"/>
      <c r="N745"/>
      <c r="O745"/>
      <c r="P745" s="34"/>
      <c r="Q745"/>
    </row>
    <row r="746" spans="1:17" x14ac:dyDescent="0.25">
      <c r="A746" s="14"/>
      <c r="B746"/>
      <c r="C746" s="15"/>
      <c r="D746"/>
      <c r="E746"/>
      <c r="F746" s="16"/>
      <c r="G746"/>
      <c r="H746"/>
      <c r="I746" s="16"/>
      <c r="J746"/>
      <c r="K746"/>
      <c r="L746"/>
      <c r="M746" s="17"/>
      <c r="N746"/>
      <c r="O746"/>
      <c r="P746" s="34"/>
      <c r="Q746"/>
    </row>
    <row r="747" spans="1:17" x14ac:dyDescent="0.25">
      <c r="A747" s="14"/>
      <c r="B747"/>
      <c r="C747" s="15"/>
      <c r="D747"/>
      <c r="E747"/>
      <c r="F747" s="16"/>
      <c r="G747"/>
      <c r="H747"/>
      <c r="I747" s="16"/>
      <c r="J747"/>
      <c r="K747"/>
      <c r="L747"/>
      <c r="M747" s="17"/>
      <c r="N747"/>
      <c r="O747"/>
      <c r="P747" s="34"/>
      <c r="Q747"/>
    </row>
    <row r="748" spans="1:17" x14ac:dyDescent="0.25">
      <c r="A748" s="14"/>
      <c r="B748"/>
      <c r="C748" s="15"/>
      <c r="D748"/>
      <c r="E748"/>
      <c r="F748" s="16"/>
      <c r="G748"/>
      <c r="H748"/>
      <c r="I748" s="16"/>
      <c r="J748"/>
      <c r="K748"/>
      <c r="L748"/>
      <c r="M748" s="17"/>
      <c r="N748"/>
      <c r="O748"/>
      <c r="P748" s="34"/>
      <c r="Q748"/>
    </row>
    <row r="749" spans="1:17" x14ac:dyDescent="0.25">
      <c r="A749" s="14"/>
      <c r="B749"/>
      <c r="C749" s="15"/>
      <c r="D749"/>
      <c r="E749"/>
      <c r="F749" s="16"/>
      <c r="G749"/>
      <c r="H749"/>
      <c r="I749" s="16"/>
      <c r="J749"/>
      <c r="K749"/>
      <c r="L749"/>
      <c r="M749" s="17"/>
      <c r="N749"/>
      <c r="O749"/>
      <c r="P749" s="34"/>
      <c r="Q749"/>
    </row>
    <row r="750" spans="1:17" x14ac:dyDescent="0.25">
      <c r="A750" s="14"/>
      <c r="B750"/>
      <c r="C750" s="15"/>
      <c r="D750"/>
      <c r="E750"/>
      <c r="F750" s="16"/>
      <c r="G750"/>
      <c r="H750"/>
      <c r="I750" s="16"/>
      <c r="J750"/>
      <c r="K750"/>
      <c r="L750"/>
      <c r="M750" s="17"/>
      <c r="N750"/>
      <c r="O750"/>
      <c r="P750" s="34"/>
      <c r="Q750"/>
    </row>
    <row r="751" spans="1:17" x14ac:dyDescent="0.25">
      <c r="A751" s="14"/>
      <c r="B751"/>
      <c r="C751" s="15"/>
      <c r="D751"/>
      <c r="E751"/>
      <c r="F751" s="16"/>
      <c r="G751"/>
      <c r="H751"/>
      <c r="I751" s="16"/>
      <c r="J751"/>
      <c r="K751"/>
      <c r="L751"/>
      <c r="M751" s="17"/>
      <c r="N751"/>
      <c r="O751"/>
      <c r="P751" s="34"/>
      <c r="Q751"/>
    </row>
    <row r="752" spans="1:17" x14ac:dyDescent="0.25">
      <c r="A752" s="14"/>
      <c r="B752"/>
      <c r="C752" s="15"/>
      <c r="D752"/>
      <c r="E752"/>
      <c r="F752" s="16"/>
      <c r="G752"/>
      <c r="H752"/>
      <c r="I752" s="16"/>
      <c r="J752"/>
      <c r="K752"/>
      <c r="L752"/>
      <c r="M752" s="17"/>
      <c r="N752"/>
      <c r="O752"/>
      <c r="P752" s="34"/>
      <c r="Q752"/>
    </row>
    <row r="753" spans="1:17" x14ac:dyDescent="0.25">
      <c r="A753" s="14"/>
      <c r="B753"/>
      <c r="C753" s="15"/>
      <c r="D753"/>
      <c r="E753"/>
      <c r="F753" s="16"/>
      <c r="G753"/>
      <c r="H753"/>
      <c r="I753" s="16"/>
      <c r="J753"/>
      <c r="K753"/>
      <c r="L753"/>
      <c r="M753" s="17"/>
      <c r="N753"/>
      <c r="O753"/>
      <c r="P753" s="34"/>
      <c r="Q753"/>
    </row>
    <row r="754" spans="1:17" x14ac:dyDescent="0.25">
      <c r="A754" s="14"/>
      <c r="B754"/>
      <c r="C754" s="15"/>
      <c r="D754"/>
      <c r="E754"/>
      <c r="F754" s="16"/>
      <c r="G754"/>
      <c r="H754"/>
      <c r="I754" s="16"/>
      <c r="J754"/>
      <c r="K754"/>
      <c r="L754"/>
      <c r="M754" s="17"/>
      <c r="N754"/>
      <c r="O754"/>
      <c r="P754" s="34"/>
      <c r="Q754"/>
    </row>
    <row r="755" spans="1:17" x14ac:dyDescent="0.25">
      <c r="A755" s="14"/>
      <c r="B755"/>
      <c r="C755" s="15"/>
      <c r="D755"/>
      <c r="E755"/>
      <c r="F755" s="16"/>
      <c r="G755"/>
      <c r="H755"/>
      <c r="I755" s="16"/>
      <c r="J755"/>
      <c r="K755"/>
      <c r="L755"/>
      <c r="M755" s="17"/>
      <c r="N755"/>
      <c r="O755"/>
      <c r="P755" s="34"/>
      <c r="Q755"/>
    </row>
    <row r="756" spans="1:17" x14ac:dyDescent="0.25">
      <c r="A756" s="14"/>
      <c r="B756"/>
      <c r="C756" s="15"/>
      <c r="D756"/>
      <c r="E756"/>
      <c r="F756" s="16"/>
      <c r="G756"/>
      <c r="H756"/>
      <c r="I756" s="16"/>
      <c r="J756"/>
      <c r="K756"/>
      <c r="L756"/>
      <c r="M756" s="17"/>
      <c r="N756"/>
      <c r="O756"/>
      <c r="P756" s="34"/>
      <c r="Q756"/>
    </row>
    <row r="757" spans="1:17" x14ac:dyDescent="0.25">
      <c r="A757" s="14"/>
      <c r="B757"/>
      <c r="C757" s="15"/>
      <c r="D757"/>
      <c r="E757"/>
      <c r="F757" s="16"/>
      <c r="G757"/>
      <c r="H757"/>
      <c r="I757" s="16"/>
      <c r="J757"/>
      <c r="K757"/>
      <c r="L757"/>
      <c r="M757" s="17"/>
      <c r="N757"/>
      <c r="O757"/>
      <c r="P757" s="34"/>
      <c r="Q757"/>
    </row>
    <row r="758" spans="1:17" x14ac:dyDescent="0.25">
      <c r="A758" s="14"/>
      <c r="B758"/>
      <c r="C758" s="15"/>
      <c r="D758"/>
      <c r="E758"/>
      <c r="F758" s="16"/>
      <c r="G758"/>
      <c r="H758"/>
      <c r="I758" s="16"/>
      <c r="J758"/>
      <c r="K758"/>
      <c r="L758"/>
      <c r="M758" s="17"/>
      <c r="N758"/>
      <c r="O758"/>
      <c r="P758" s="34"/>
      <c r="Q758"/>
    </row>
    <row r="759" spans="1:17" x14ac:dyDescent="0.25">
      <c r="A759" s="14"/>
      <c r="B759"/>
      <c r="C759" s="15"/>
      <c r="D759"/>
      <c r="E759"/>
      <c r="F759" s="16"/>
      <c r="G759"/>
      <c r="H759"/>
      <c r="I759" s="16"/>
      <c r="J759"/>
      <c r="K759"/>
      <c r="L759"/>
      <c r="M759" s="17"/>
      <c r="N759"/>
      <c r="O759"/>
      <c r="P759" s="34"/>
      <c r="Q759"/>
    </row>
    <row r="760" spans="1:17" x14ac:dyDescent="0.25">
      <c r="A760" s="14"/>
      <c r="B760"/>
      <c r="C760" s="15"/>
      <c r="D760"/>
      <c r="E760"/>
      <c r="F760" s="16"/>
      <c r="G760"/>
      <c r="H760"/>
      <c r="I760" s="16"/>
      <c r="J760"/>
      <c r="K760"/>
      <c r="L760"/>
      <c r="M760" s="17"/>
      <c r="N760"/>
      <c r="O760"/>
      <c r="P760" s="34"/>
      <c r="Q760"/>
    </row>
    <row r="761" spans="1:17" x14ac:dyDescent="0.25">
      <c r="A761" s="14"/>
      <c r="B761"/>
      <c r="C761" s="15"/>
      <c r="D761"/>
      <c r="E761"/>
      <c r="F761" s="16"/>
      <c r="G761"/>
      <c r="H761"/>
      <c r="I761" s="16"/>
      <c r="J761"/>
      <c r="K761"/>
      <c r="L761"/>
      <c r="M761" s="17"/>
      <c r="N761"/>
      <c r="O761"/>
      <c r="P761" s="34"/>
      <c r="Q761"/>
    </row>
    <row r="762" spans="1:17" x14ac:dyDescent="0.25">
      <c r="A762" s="14"/>
      <c r="B762"/>
      <c r="C762" s="15"/>
      <c r="D762"/>
      <c r="E762"/>
      <c r="F762" s="16"/>
      <c r="G762"/>
      <c r="H762"/>
      <c r="I762" s="16"/>
      <c r="J762"/>
      <c r="K762"/>
      <c r="L762"/>
      <c r="M762" s="17"/>
      <c r="N762"/>
      <c r="O762"/>
      <c r="P762" s="34"/>
      <c r="Q762"/>
    </row>
    <row r="763" spans="1:17" x14ac:dyDescent="0.25">
      <c r="A763" s="14"/>
      <c r="B763"/>
      <c r="C763" s="15"/>
      <c r="D763"/>
      <c r="E763"/>
      <c r="F763" s="16"/>
      <c r="G763"/>
      <c r="H763"/>
      <c r="I763" s="16"/>
      <c r="J763"/>
      <c r="K763"/>
      <c r="L763"/>
      <c r="M763" s="17"/>
      <c r="N763"/>
      <c r="O763"/>
      <c r="P763" s="34"/>
      <c r="Q763"/>
    </row>
    <row r="764" spans="1:17" x14ac:dyDescent="0.25">
      <c r="A764" s="14"/>
      <c r="B764"/>
      <c r="C764" s="15"/>
      <c r="D764"/>
      <c r="E764"/>
      <c r="F764" s="16"/>
      <c r="G764"/>
      <c r="H764"/>
      <c r="I764" s="16"/>
      <c r="J764"/>
      <c r="K764"/>
      <c r="L764"/>
      <c r="M764" s="17"/>
      <c r="N764"/>
      <c r="O764"/>
      <c r="P764" s="34"/>
      <c r="Q764"/>
    </row>
    <row r="765" spans="1:17" x14ac:dyDescent="0.25">
      <c r="A765" s="14"/>
      <c r="B765"/>
      <c r="C765" s="15"/>
      <c r="D765"/>
      <c r="E765"/>
      <c r="F765" s="16"/>
      <c r="G765"/>
      <c r="H765"/>
      <c r="I765" s="16"/>
      <c r="J765"/>
      <c r="K765"/>
      <c r="L765"/>
      <c r="M765" s="17"/>
      <c r="N765"/>
      <c r="O765"/>
      <c r="P765" s="34"/>
      <c r="Q765"/>
    </row>
    <row r="766" spans="1:17" x14ac:dyDescent="0.25">
      <c r="A766" s="14"/>
      <c r="B766"/>
      <c r="C766" s="15"/>
      <c r="D766"/>
      <c r="E766"/>
      <c r="F766" s="16"/>
      <c r="G766"/>
      <c r="H766"/>
      <c r="I766" s="16"/>
      <c r="J766"/>
      <c r="K766"/>
      <c r="L766"/>
      <c r="M766" s="17"/>
      <c r="N766"/>
      <c r="O766"/>
      <c r="P766" s="34"/>
      <c r="Q766"/>
    </row>
    <row r="767" spans="1:17" x14ac:dyDescent="0.25">
      <c r="A767" s="14"/>
      <c r="B767"/>
      <c r="C767" s="15"/>
      <c r="D767"/>
      <c r="E767"/>
      <c r="F767" s="16"/>
      <c r="G767"/>
      <c r="H767"/>
      <c r="I767" s="16"/>
      <c r="J767"/>
      <c r="K767"/>
      <c r="L767"/>
      <c r="M767" s="17"/>
      <c r="N767"/>
      <c r="O767"/>
      <c r="P767" s="34"/>
      <c r="Q767"/>
    </row>
    <row r="768" spans="1:17" x14ac:dyDescent="0.25">
      <c r="A768" s="14"/>
      <c r="B768"/>
      <c r="C768" s="15"/>
      <c r="D768"/>
      <c r="E768"/>
      <c r="F768" s="16"/>
      <c r="G768"/>
      <c r="H768"/>
      <c r="I768" s="16"/>
      <c r="J768"/>
      <c r="K768"/>
      <c r="L768"/>
      <c r="M768" s="17"/>
      <c r="N768"/>
      <c r="O768"/>
      <c r="P768" s="34"/>
      <c r="Q768"/>
    </row>
    <row r="769" spans="1:17" x14ac:dyDescent="0.25">
      <c r="A769" s="14"/>
      <c r="B769"/>
      <c r="C769" s="15"/>
      <c r="D769"/>
      <c r="E769"/>
      <c r="F769" s="16"/>
      <c r="G769"/>
      <c r="H769"/>
      <c r="I769" s="16"/>
      <c r="J769"/>
      <c r="K769"/>
      <c r="L769"/>
      <c r="M769" s="17"/>
      <c r="N769"/>
      <c r="O769"/>
      <c r="P769" s="34"/>
      <c r="Q769"/>
    </row>
    <row r="770" spans="1:17" x14ac:dyDescent="0.25">
      <c r="A770" s="14"/>
      <c r="B770"/>
      <c r="C770" s="15"/>
      <c r="D770"/>
      <c r="E770"/>
      <c r="F770" s="16"/>
      <c r="G770"/>
      <c r="H770"/>
      <c r="I770" s="16"/>
      <c r="J770"/>
      <c r="K770"/>
      <c r="L770"/>
      <c r="M770" s="17"/>
      <c r="N770"/>
      <c r="O770"/>
      <c r="P770" s="34"/>
      <c r="Q770"/>
    </row>
    <row r="771" spans="1:17" x14ac:dyDescent="0.25">
      <c r="A771" s="14"/>
      <c r="B771"/>
      <c r="C771" s="15"/>
      <c r="D771"/>
      <c r="E771"/>
      <c r="F771" s="16"/>
      <c r="G771"/>
      <c r="H771"/>
      <c r="I771" s="16"/>
      <c r="J771"/>
      <c r="K771"/>
      <c r="L771"/>
      <c r="M771" s="17"/>
      <c r="N771"/>
      <c r="O771"/>
      <c r="P771" s="34"/>
      <c r="Q771"/>
    </row>
    <row r="772" spans="1:17" x14ac:dyDescent="0.25">
      <c r="A772" s="14"/>
      <c r="B772"/>
      <c r="C772" s="15"/>
      <c r="D772"/>
      <c r="E772"/>
      <c r="F772" s="16"/>
      <c r="G772"/>
      <c r="H772"/>
      <c r="I772" s="16"/>
      <c r="J772"/>
      <c r="K772"/>
      <c r="L772"/>
      <c r="M772" s="17"/>
      <c r="N772"/>
      <c r="O772"/>
      <c r="P772" s="34"/>
      <c r="Q772"/>
    </row>
    <row r="773" spans="1:17" x14ac:dyDescent="0.25">
      <c r="A773" s="14"/>
      <c r="B773"/>
      <c r="C773" s="15"/>
      <c r="D773"/>
      <c r="E773"/>
      <c r="F773" s="16"/>
      <c r="G773"/>
      <c r="H773"/>
      <c r="I773" s="16"/>
      <c r="J773"/>
      <c r="K773"/>
      <c r="L773"/>
      <c r="M773" s="17"/>
      <c r="N773"/>
      <c r="O773"/>
      <c r="P773" s="34"/>
      <c r="Q773"/>
    </row>
    <row r="774" spans="1:17" x14ac:dyDescent="0.25">
      <c r="A774" s="14"/>
      <c r="B774"/>
      <c r="C774" s="15"/>
      <c r="D774"/>
      <c r="E774"/>
      <c r="F774" s="16"/>
      <c r="G774"/>
      <c r="H774"/>
      <c r="I774" s="16"/>
      <c r="J774"/>
      <c r="K774"/>
      <c r="L774"/>
      <c r="M774" s="17"/>
      <c r="N774"/>
      <c r="O774"/>
      <c r="P774" s="34"/>
      <c r="Q774"/>
    </row>
    <row r="775" spans="1:17" x14ac:dyDescent="0.25">
      <c r="A775" s="14"/>
      <c r="B775"/>
      <c r="C775" s="15"/>
      <c r="D775"/>
      <c r="E775"/>
      <c r="F775" s="16"/>
      <c r="G775"/>
      <c r="H775"/>
      <c r="I775" s="16"/>
      <c r="J775"/>
      <c r="K775"/>
      <c r="L775"/>
      <c r="M775" s="17"/>
      <c r="N775"/>
      <c r="O775"/>
      <c r="P775" s="34"/>
      <c r="Q775"/>
    </row>
    <row r="776" spans="1:17" x14ac:dyDescent="0.25">
      <c r="A776" s="14"/>
      <c r="B776"/>
      <c r="C776" s="15"/>
      <c r="D776"/>
      <c r="E776"/>
      <c r="F776" s="16"/>
      <c r="G776"/>
      <c r="H776"/>
      <c r="I776" s="16"/>
      <c r="J776"/>
      <c r="K776"/>
      <c r="L776"/>
      <c r="M776" s="17"/>
      <c r="N776"/>
      <c r="O776"/>
      <c r="P776" s="34"/>
      <c r="Q776"/>
    </row>
    <row r="777" spans="1:17" x14ac:dyDescent="0.25">
      <c r="A777" s="14"/>
      <c r="B777"/>
      <c r="C777" s="15"/>
      <c r="D777"/>
      <c r="E777"/>
      <c r="F777" s="16"/>
      <c r="G777"/>
      <c r="H777"/>
      <c r="I777" s="16"/>
      <c r="J777"/>
      <c r="K777"/>
      <c r="L777"/>
      <c r="M777" s="17"/>
      <c r="N777"/>
      <c r="O777"/>
      <c r="P777" s="34"/>
      <c r="Q777"/>
    </row>
    <row r="778" spans="1:17" x14ac:dyDescent="0.25">
      <c r="A778" s="14"/>
      <c r="B778"/>
      <c r="C778" s="15"/>
      <c r="D778"/>
      <c r="E778"/>
      <c r="F778" s="16"/>
      <c r="G778"/>
      <c r="H778"/>
      <c r="I778" s="16"/>
      <c r="J778"/>
      <c r="K778"/>
      <c r="L778"/>
      <c r="M778" s="17"/>
      <c r="N778"/>
      <c r="O778"/>
      <c r="P778" s="34"/>
      <c r="Q778"/>
    </row>
    <row r="779" spans="1:17" x14ac:dyDescent="0.25">
      <c r="A779" s="14"/>
      <c r="B779"/>
      <c r="C779" s="15"/>
      <c r="D779"/>
      <c r="E779"/>
      <c r="F779" s="16"/>
      <c r="G779"/>
      <c r="H779"/>
      <c r="I779" s="16"/>
      <c r="J779"/>
      <c r="K779"/>
      <c r="L779"/>
      <c r="M779" s="17"/>
      <c r="N779"/>
      <c r="O779"/>
      <c r="P779" s="34"/>
      <c r="Q779"/>
    </row>
    <row r="780" spans="1:17" x14ac:dyDescent="0.25">
      <c r="A780" s="14"/>
      <c r="B780"/>
      <c r="C780" s="15"/>
      <c r="D780"/>
      <c r="E780"/>
      <c r="F780" s="16"/>
      <c r="G780"/>
      <c r="H780"/>
      <c r="I780" s="16"/>
      <c r="J780"/>
      <c r="K780"/>
      <c r="L780"/>
      <c r="M780" s="17"/>
      <c r="N780"/>
      <c r="O780"/>
      <c r="P780" s="34"/>
      <c r="Q780"/>
    </row>
    <row r="781" spans="1:17" x14ac:dyDescent="0.25">
      <c r="A781" s="14"/>
      <c r="B781"/>
      <c r="C781" s="15"/>
      <c r="D781"/>
      <c r="E781"/>
      <c r="F781" s="16"/>
      <c r="G781"/>
      <c r="H781"/>
      <c r="I781" s="16"/>
      <c r="J781"/>
      <c r="K781"/>
      <c r="L781"/>
      <c r="M781" s="17"/>
      <c r="N781"/>
      <c r="O781"/>
      <c r="P781" s="34"/>
      <c r="Q781"/>
    </row>
    <row r="782" spans="1:17" x14ac:dyDescent="0.25">
      <c r="A782" s="14"/>
      <c r="B782"/>
      <c r="C782" s="15"/>
      <c r="D782"/>
      <c r="E782"/>
      <c r="F782" s="16"/>
      <c r="G782"/>
      <c r="H782"/>
      <c r="I782" s="16"/>
      <c r="J782"/>
      <c r="K782"/>
      <c r="L782"/>
      <c r="M782" s="17"/>
      <c r="N782"/>
      <c r="O782"/>
      <c r="P782" s="34"/>
      <c r="Q782"/>
    </row>
    <row r="783" spans="1:17" x14ac:dyDescent="0.25">
      <c r="A783" s="14"/>
      <c r="B783"/>
      <c r="C783" s="15"/>
      <c r="D783"/>
      <c r="E783"/>
      <c r="F783" s="16"/>
      <c r="G783"/>
      <c r="H783"/>
      <c r="I783" s="16"/>
      <c r="J783"/>
      <c r="K783"/>
      <c r="L783"/>
      <c r="M783" s="17"/>
      <c r="N783"/>
      <c r="O783"/>
      <c r="P783" s="34"/>
      <c r="Q783"/>
    </row>
    <row r="784" spans="1:17" x14ac:dyDescent="0.25">
      <c r="A784" s="14"/>
      <c r="B784"/>
      <c r="C784" s="15"/>
      <c r="D784"/>
      <c r="E784"/>
      <c r="F784" s="16"/>
      <c r="G784"/>
      <c r="H784"/>
      <c r="I784" s="16"/>
      <c r="J784"/>
      <c r="K784"/>
      <c r="L784"/>
      <c r="M784" s="17"/>
      <c r="N784"/>
      <c r="O784"/>
      <c r="P784" s="34"/>
      <c r="Q784"/>
    </row>
    <row r="785" spans="1:17" x14ac:dyDescent="0.25">
      <c r="A785" s="14"/>
      <c r="B785"/>
      <c r="C785" s="15"/>
      <c r="D785"/>
      <c r="E785"/>
      <c r="F785" s="16"/>
      <c r="G785"/>
      <c r="H785"/>
      <c r="I785" s="16"/>
      <c r="J785"/>
      <c r="K785"/>
      <c r="L785"/>
      <c r="M785" s="17"/>
      <c r="N785"/>
      <c r="O785"/>
      <c r="P785" s="34"/>
      <c r="Q785"/>
    </row>
    <row r="786" spans="1:17" x14ac:dyDescent="0.25">
      <c r="A786" s="14"/>
      <c r="B786"/>
      <c r="C786" s="15"/>
      <c r="D786"/>
      <c r="E786"/>
      <c r="F786" s="16"/>
      <c r="G786"/>
      <c r="H786"/>
      <c r="I786" s="16"/>
      <c r="J786"/>
      <c r="K786"/>
      <c r="L786"/>
      <c r="M786" s="17"/>
      <c r="N786"/>
      <c r="O786"/>
      <c r="P786" s="34"/>
      <c r="Q786"/>
    </row>
    <row r="787" spans="1:17" x14ac:dyDescent="0.25">
      <c r="A787" s="14"/>
      <c r="B787"/>
      <c r="C787" s="15"/>
      <c r="D787"/>
      <c r="E787"/>
      <c r="F787" s="16"/>
      <c r="G787"/>
      <c r="H787"/>
      <c r="I787" s="16"/>
      <c r="J787"/>
      <c r="K787"/>
      <c r="L787"/>
      <c r="M787" s="17"/>
      <c r="N787"/>
      <c r="O787"/>
      <c r="P787" s="34"/>
      <c r="Q787"/>
    </row>
    <row r="788" spans="1:17" x14ac:dyDescent="0.25">
      <c r="A788" s="14"/>
      <c r="B788"/>
      <c r="C788" s="15"/>
      <c r="D788"/>
      <c r="E788"/>
      <c r="F788" s="16"/>
      <c r="G788"/>
      <c r="H788"/>
      <c r="I788" s="16"/>
      <c r="J788"/>
      <c r="K788"/>
      <c r="L788"/>
      <c r="M788" s="17"/>
      <c r="N788"/>
      <c r="O788"/>
      <c r="P788" s="34"/>
      <c r="Q788"/>
    </row>
    <row r="789" spans="1:17" x14ac:dyDescent="0.25">
      <c r="A789" s="14"/>
      <c r="B789"/>
      <c r="C789" s="15"/>
      <c r="D789"/>
      <c r="E789"/>
      <c r="F789" s="16"/>
      <c r="G789"/>
      <c r="H789"/>
      <c r="I789" s="16"/>
      <c r="J789"/>
      <c r="K789"/>
      <c r="L789"/>
      <c r="M789" s="17"/>
      <c r="N789"/>
      <c r="O789"/>
      <c r="P789" s="34"/>
      <c r="Q789"/>
    </row>
    <row r="790" spans="1:17" x14ac:dyDescent="0.25">
      <c r="A790" s="14"/>
      <c r="B790"/>
      <c r="C790" s="15"/>
      <c r="D790"/>
      <c r="E790"/>
      <c r="F790" s="16"/>
      <c r="G790"/>
      <c r="H790"/>
      <c r="I790" s="16"/>
      <c r="J790"/>
      <c r="K790"/>
      <c r="L790"/>
      <c r="M790" s="17"/>
      <c r="N790"/>
      <c r="O790"/>
      <c r="P790" s="34"/>
      <c r="Q790"/>
    </row>
    <row r="791" spans="1:17" x14ac:dyDescent="0.25">
      <c r="A791" s="14"/>
      <c r="B791"/>
      <c r="C791" s="15"/>
      <c r="D791"/>
      <c r="E791"/>
      <c r="F791" s="16"/>
      <c r="G791"/>
      <c r="H791"/>
      <c r="I791" s="16"/>
      <c r="J791"/>
      <c r="K791"/>
      <c r="L791"/>
      <c r="M791" s="17"/>
      <c r="N791"/>
      <c r="O791"/>
      <c r="P791" s="34"/>
      <c r="Q791"/>
    </row>
    <row r="792" spans="1:17" x14ac:dyDescent="0.25">
      <c r="A792" s="14"/>
      <c r="B792"/>
      <c r="C792" s="15"/>
      <c r="D792"/>
      <c r="E792"/>
      <c r="F792" s="16"/>
      <c r="G792"/>
      <c r="H792"/>
      <c r="I792" s="16"/>
      <c r="J792"/>
      <c r="K792"/>
      <c r="L792"/>
      <c r="M792" s="17"/>
      <c r="N792"/>
      <c r="O792"/>
      <c r="P792" s="34"/>
      <c r="Q792"/>
    </row>
    <row r="793" spans="1:17" x14ac:dyDescent="0.25">
      <c r="A793" s="14"/>
      <c r="B793"/>
      <c r="C793" s="15"/>
      <c r="D793"/>
      <c r="E793"/>
      <c r="F793" s="16"/>
      <c r="G793"/>
      <c r="H793"/>
      <c r="I793" s="16"/>
      <c r="J793"/>
      <c r="K793"/>
      <c r="L793"/>
      <c r="M793" s="17"/>
      <c r="N793"/>
      <c r="O793"/>
      <c r="P793" s="34"/>
      <c r="Q793"/>
    </row>
    <row r="794" spans="1:17" x14ac:dyDescent="0.25">
      <c r="A794" s="14"/>
      <c r="B794"/>
      <c r="C794" s="15"/>
      <c r="D794"/>
      <c r="E794"/>
      <c r="F794" s="16"/>
      <c r="G794"/>
      <c r="H794"/>
      <c r="I794" s="16"/>
      <c r="J794"/>
      <c r="K794"/>
      <c r="L794"/>
      <c r="M794" s="17"/>
      <c r="N794"/>
      <c r="O794"/>
      <c r="P794" s="34"/>
      <c r="Q794"/>
    </row>
    <row r="795" spans="1:17" x14ac:dyDescent="0.25">
      <c r="A795" s="14"/>
      <c r="B795"/>
      <c r="C795" s="15"/>
      <c r="D795"/>
      <c r="E795"/>
      <c r="F795" s="16"/>
      <c r="G795"/>
      <c r="H795"/>
      <c r="I795" s="16"/>
      <c r="J795"/>
      <c r="K795"/>
      <c r="L795"/>
      <c r="M795" s="17"/>
      <c r="N795"/>
      <c r="O795"/>
      <c r="P795" s="34"/>
      <c r="Q795"/>
    </row>
    <row r="796" spans="1:17" x14ac:dyDescent="0.25">
      <c r="A796" s="14"/>
      <c r="B796"/>
      <c r="C796" s="15"/>
      <c r="D796"/>
      <c r="E796"/>
      <c r="F796" s="16"/>
      <c r="G796"/>
      <c r="H796"/>
      <c r="I796" s="16"/>
      <c r="J796"/>
      <c r="K796"/>
      <c r="L796"/>
      <c r="M796" s="17"/>
      <c r="N796"/>
      <c r="O796"/>
      <c r="P796" s="34"/>
      <c r="Q796"/>
    </row>
    <row r="797" spans="1:17" x14ac:dyDescent="0.25">
      <c r="A797" s="14"/>
      <c r="B797"/>
      <c r="C797" s="15"/>
      <c r="D797"/>
      <c r="E797"/>
      <c r="F797" s="16"/>
      <c r="G797"/>
      <c r="H797"/>
      <c r="I797" s="16"/>
      <c r="J797"/>
      <c r="K797"/>
      <c r="L797"/>
      <c r="M797" s="17"/>
      <c r="N797"/>
      <c r="O797"/>
      <c r="P797" s="34"/>
      <c r="Q797"/>
    </row>
    <row r="798" spans="1:17" x14ac:dyDescent="0.25">
      <c r="A798" s="14"/>
      <c r="B798"/>
      <c r="C798" s="15"/>
      <c r="D798"/>
      <c r="E798"/>
      <c r="F798" s="16"/>
      <c r="G798"/>
      <c r="H798"/>
      <c r="I798" s="16"/>
      <c r="J798"/>
      <c r="K798"/>
      <c r="L798"/>
      <c r="M798" s="17"/>
      <c r="N798"/>
      <c r="O798"/>
      <c r="P798" s="34"/>
      <c r="Q798"/>
    </row>
    <row r="799" spans="1:17" x14ac:dyDescent="0.25">
      <c r="A799" s="14"/>
      <c r="B799"/>
      <c r="C799" s="15"/>
      <c r="D799"/>
      <c r="E799"/>
      <c r="F799" s="16"/>
      <c r="G799"/>
      <c r="H799"/>
      <c r="I799" s="16"/>
      <c r="J799"/>
      <c r="K799"/>
      <c r="L799"/>
      <c r="M799" s="17"/>
      <c r="N799"/>
      <c r="O799"/>
      <c r="P799" s="34"/>
      <c r="Q799"/>
    </row>
    <row r="800" spans="1:17" x14ac:dyDescent="0.25">
      <c r="A800" s="14"/>
      <c r="B800"/>
      <c r="C800" s="15"/>
      <c r="D800"/>
      <c r="E800"/>
      <c r="F800" s="16"/>
      <c r="G800"/>
      <c r="H800"/>
      <c r="I800" s="16"/>
      <c r="J800"/>
      <c r="K800"/>
      <c r="L800"/>
      <c r="M800" s="17"/>
      <c r="N800"/>
      <c r="O800"/>
      <c r="P800" s="34"/>
      <c r="Q800"/>
    </row>
    <row r="801" spans="1:17" x14ac:dyDescent="0.25">
      <c r="A801" s="14"/>
      <c r="B801"/>
      <c r="C801" s="15"/>
      <c r="D801"/>
      <c r="E801"/>
      <c r="F801" s="16"/>
      <c r="G801"/>
      <c r="H801"/>
      <c r="I801" s="16"/>
      <c r="J801"/>
      <c r="K801"/>
      <c r="L801"/>
      <c r="M801" s="17"/>
      <c r="N801"/>
      <c r="O801"/>
      <c r="P801" s="34"/>
      <c r="Q801"/>
    </row>
    <row r="802" spans="1:17" x14ac:dyDescent="0.25">
      <c r="A802" s="14"/>
      <c r="B802"/>
      <c r="C802" s="15"/>
      <c r="D802"/>
      <c r="E802"/>
      <c r="F802" s="16"/>
      <c r="G802"/>
      <c r="H802"/>
      <c r="I802" s="16"/>
      <c r="J802"/>
      <c r="K802"/>
      <c r="L802"/>
      <c r="M802" s="17"/>
      <c r="N802"/>
      <c r="O802"/>
      <c r="P802" s="34"/>
      <c r="Q802"/>
    </row>
    <row r="803" spans="1:17" x14ac:dyDescent="0.25">
      <c r="A803" s="14"/>
      <c r="B803"/>
      <c r="C803" s="15"/>
      <c r="D803"/>
      <c r="E803"/>
      <c r="F803" s="16"/>
      <c r="G803"/>
      <c r="H803"/>
      <c r="I803" s="16"/>
      <c r="J803"/>
      <c r="K803"/>
      <c r="L803"/>
      <c r="M803" s="17"/>
      <c r="N803"/>
      <c r="O803"/>
      <c r="P803" s="34"/>
      <c r="Q803"/>
    </row>
    <row r="804" spans="1:17" x14ac:dyDescent="0.25">
      <c r="A804" s="14"/>
      <c r="B804"/>
      <c r="C804" s="15"/>
      <c r="D804"/>
      <c r="E804"/>
      <c r="F804" s="16"/>
      <c r="G804"/>
      <c r="H804"/>
      <c r="I804" s="16"/>
      <c r="J804"/>
      <c r="K804"/>
      <c r="L804"/>
      <c r="M804" s="17"/>
      <c r="N804"/>
      <c r="O804"/>
      <c r="P804" s="34"/>
      <c r="Q804"/>
    </row>
    <row r="805" spans="1:17" x14ac:dyDescent="0.25">
      <c r="A805" s="14"/>
      <c r="B805"/>
      <c r="C805" s="15"/>
      <c r="D805"/>
      <c r="E805"/>
      <c r="F805" s="16"/>
      <c r="G805"/>
      <c r="H805"/>
      <c r="I805" s="16"/>
      <c r="J805"/>
      <c r="K805"/>
      <c r="L805"/>
      <c r="M805" s="17"/>
      <c r="N805"/>
      <c r="O805"/>
      <c r="P805" s="34"/>
      <c r="Q805"/>
    </row>
    <row r="806" spans="1:17" x14ac:dyDescent="0.25">
      <c r="A806" s="14"/>
      <c r="B806"/>
      <c r="C806" s="15"/>
      <c r="D806"/>
      <c r="E806"/>
      <c r="F806" s="16"/>
      <c r="G806"/>
      <c r="H806"/>
      <c r="I806" s="16"/>
      <c r="J806"/>
      <c r="K806"/>
      <c r="L806"/>
      <c r="M806" s="17"/>
      <c r="N806"/>
      <c r="O806"/>
      <c r="P806" s="34"/>
      <c r="Q806"/>
    </row>
    <row r="807" spans="1:17" x14ac:dyDescent="0.25">
      <c r="A807" s="14"/>
      <c r="B807"/>
      <c r="C807" s="15"/>
      <c r="D807"/>
      <c r="E807"/>
      <c r="F807" s="16"/>
      <c r="G807"/>
      <c r="H807"/>
      <c r="I807" s="16"/>
      <c r="J807"/>
      <c r="K807"/>
      <c r="L807"/>
      <c r="M807" s="17"/>
      <c r="N807"/>
      <c r="O807"/>
      <c r="P807" s="34"/>
      <c r="Q807"/>
    </row>
    <row r="808" spans="1:17" x14ac:dyDescent="0.25">
      <c r="A808" s="14"/>
      <c r="B808"/>
      <c r="C808" s="15"/>
      <c r="D808"/>
      <c r="E808"/>
      <c r="F808" s="16"/>
      <c r="G808"/>
      <c r="H808"/>
      <c r="I808" s="16"/>
      <c r="J808"/>
      <c r="K808"/>
      <c r="L808"/>
      <c r="M808" s="17"/>
      <c r="N808"/>
      <c r="O808"/>
      <c r="P808" s="34"/>
      <c r="Q808"/>
    </row>
    <row r="809" spans="1:17" x14ac:dyDescent="0.25">
      <c r="A809" s="14"/>
      <c r="B809"/>
      <c r="C809" s="15"/>
      <c r="D809"/>
      <c r="E809"/>
      <c r="F809" s="16"/>
      <c r="G809"/>
      <c r="H809"/>
      <c r="I809" s="16"/>
      <c r="J809"/>
      <c r="K809"/>
      <c r="L809"/>
      <c r="M809" s="17"/>
      <c r="N809"/>
      <c r="O809"/>
      <c r="P809" s="34"/>
      <c r="Q809"/>
    </row>
    <row r="810" spans="1:17" x14ac:dyDescent="0.25">
      <c r="A810" s="14"/>
      <c r="B810"/>
      <c r="C810" s="15"/>
      <c r="D810"/>
      <c r="E810"/>
      <c r="F810" s="16"/>
      <c r="G810"/>
      <c r="H810"/>
      <c r="I810" s="16"/>
      <c r="J810"/>
      <c r="K810"/>
      <c r="L810"/>
      <c r="M810" s="17"/>
      <c r="N810"/>
      <c r="O810"/>
      <c r="P810" s="34"/>
      <c r="Q810"/>
    </row>
    <row r="811" spans="1:17" x14ac:dyDescent="0.25">
      <c r="A811" s="14"/>
      <c r="B811"/>
      <c r="C811" s="15"/>
      <c r="D811"/>
      <c r="E811"/>
      <c r="F811" s="16"/>
      <c r="G811"/>
      <c r="H811"/>
      <c r="I811" s="16"/>
      <c r="J811"/>
      <c r="K811"/>
      <c r="L811"/>
      <c r="M811" s="17"/>
      <c r="N811"/>
      <c r="O811"/>
      <c r="P811" s="34"/>
      <c r="Q811"/>
    </row>
    <row r="812" spans="1:17" x14ac:dyDescent="0.25">
      <c r="A812" s="14"/>
      <c r="B812"/>
      <c r="C812" s="15"/>
      <c r="D812"/>
      <c r="E812"/>
      <c r="F812" s="16"/>
      <c r="G812"/>
      <c r="H812"/>
      <c r="I812" s="16"/>
      <c r="J812"/>
      <c r="K812"/>
      <c r="L812"/>
      <c r="M812" s="17"/>
      <c r="N812"/>
      <c r="O812"/>
      <c r="P812" s="34"/>
      <c r="Q812"/>
    </row>
    <row r="813" spans="1:17" x14ac:dyDescent="0.25">
      <c r="A813" s="14"/>
      <c r="B813"/>
      <c r="C813" s="15"/>
      <c r="D813"/>
      <c r="E813"/>
      <c r="F813" s="16"/>
      <c r="G813"/>
      <c r="H813"/>
      <c r="I813" s="16"/>
      <c r="J813"/>
      <c r="K813"/>
      <c r="L813"/>
      <c r="M813" s="17"/>
      <c r="N813"/>
      <c r="O813"/>
      <c r="P813" s="34"/>
      <c r="Q813"/>
    </row>
    <row r="814" spans="1:17" x14ac:dyDescent="0.25">
      <c r="A814" s="14"/>
      <c r="B814"/>
      <c r="C814" s="15"/>
      <c r="D814"/>
      <c r="E814"/>
      <c r="F814" s="16"/>
      <c r="G814"/>
      <c r="H814"/>
      <c r="I814" s="16"/>
      <c r="J814"/>
      <c r="K814"/>
      <c r="L814"/>
      <c r="M814" s="17"/>
      <c r="N814"/>
      <c r="O814"/>
      <c r="P814" s="34"/>
      <c r="Q814"/>
    </row>
    <row r="815" spans="1:17" x14ac:dyDescent="0.25">
      <c r="A815" s="14"/>
      <c r="B815"/>
      <c r="C815" s="15"/>
      <c r="D815"/>
      <c r="E815"/>
      <c r="F815" s="16"/>
      <c r="G815"/>
      <c r="H815"/>
      <c r="I815" s="16"/>
      <c r="J815"/>
      <c r="K815"/>
      <c r="L815"/>
      <c r="M815" s="17"/>
      <c r="N815"/>
      <c r="O815"/>
      <c r="P815" s="34"/>
      <c r="Q815"/>
    </row>
    <row r="816" spans="1:17" x14ac:dyDescent="0.25">
      <c r="A816" s="14"/>
      <c r="B816"/>
      <c r="C816" s="15"/>
      <c r="D816"/>
      <c r="E816"/>
      <c r="F816" s="16"/>
      <c r="G816"/>
      <c r="H816"/>
      <c r="I816" s="16"/>
      <c r="J816"/>
      <c r="K816"/>
      <c r="L816"/>
      <c r="M816" s="17"/>
      <c r="N816"/>
      <c r="O816"/>
      <c r="P816" s="34"/>
      <c r="Q816"/>
    </row>
    <row r="817" spans="1:17" x14ac:dyDescent="0.25">
      <c r="A817" s="14"/>
      <c r="B817"/>
      <c r="C817" s="15"/>
      <c r="D817"/>
      <c r="E817"/>
      <c r="F817" s="16"/>
      <c r="G817"/>
      <c r="H817"/>
      <c r="I817" s="16"/>
      <c r="J817"/>
      <c r="K817"/>
      <c r="L817"/>
      <c r="M817" s="17"/>
      <c r="N817"/>
      <c r="O817"/>
      <c r="P817" s="34"/>
      <c r="Q817"/>
    </row>
    <row r="818" spans="1:17" x14ac:dyDescent="0.25">
      <c r="A818" s="14"/>
      <c r="B818"/>
      <c r="C818" s="15"/>
      <c r="D818"/>
      <c r="E818"/>
      <c r="F818" s="16"/>
      <c r="G818"/>
      <c r="H818"/>
      <c r="I818" s="16"/>
      <c r="J818"/>
      <c r="K818"/>
      <c r="L818"/>
      <c r="M818" s="17"/>
      <c r="N818"/>
      <c r="O818"/>
      <c r="P818" s="34"/>
      <c r="Q818"/>
    </row>
    <row r="819" spans="1:17" x14ac:dyDescent="0.25">
      <c r="A819" s="14"/>
      <c r="B819"/>
      <c r="C819" s="15"/>
      <c r="D819"/>
      <c r="E819"/>
      <c r="F819" s="16"/>
      <c r="G819"/>
      <c r="H819"/>
      <c r="I819" s="16"/>
      <c r="J819"/>
      <c r="K819"/>
      <c r="L819"/>
      <c r="M819" s="17"/>
      <c r="N819"/>
      <c r="O819"/>
      <c r="P819" s="34"/>
      <c r="Q819"/>
    </row>
    <row r="820" spans="1:17" x14ac:dyDescent="0.25">
      <c r="A820" s="14"/>
      <c r="B820"/>
      <c r="C820" s="15"/>
      <c r="D820"/>
      <c r="E820"/>
      <c r="F820" s="16"/>
      <c r="G820"/>
      <c r="H820"/>
      <c r="I820" s="16"/>
      <c r="J820"/>
      <c r="K820"/>
      <c r="L820"/>
      <c r="M820" s="17"/>
      <c r="N820"/>
      <c r="O820"/>
      <c r="P820" s="34"/>
      <c r="Q820"/>
    </row>
    <row r="821" spans="1:17" x14ac:dyDescent="0.25">
      <c r="A821" s="14"/>
      <c r="B821"/>
      <c r="C821" s="15"/>
      <c r="D821"/>
      <c r="E821"/>
      <c r="F821" s="16"/>
      <c r="G821"/>
      <c r="H821"/>
      <c r="I821" s="16"/>
      <c r="J821"/>
      <c r="K821"/>
      <c r="L821"/>
      <c r="M821" s="17"/>
      <c r="N821"/>
      <c r="O821"/>
      <c r="P821" s="34"/>
      <c r="Q821"/>
    </row>
    <row r="822" spans="1:17" x14ac:dyDescent="0.25">
      <c r="A822" s="14"/>
      <c r="B822"/>
      <c r="C822" s="15"/>
      <c r="D822"/>
      <c r="E822"/>
      <c r="F822" s="16"/>
      <c r="G822"/>
      <c r="H822"/>
      <c r="I822" s="16"/>
      <c r="J822"/>
      <c r="K822"/>
      <c r="L822"/>
      <c r="M822" s="17"/>
      <c r="N822"/>
      <c r="O822"/>
      <c r="P822" s="34"/>
      <c r="Q822"/>
    </row>
    <row r="823" spans="1:17" x14ac:dyDescent="0.25">
      <c r="A823" s="14"/>
      <c r="B823"/>
      <c r="C823" s="15"/>
      <c r="D823"/>
      <c r="E823"/>
      <c r="F823" s="16"/>
      <c r="G823"/>
      <c r="H823"/>
      <c r="I823" s="16"/>
      <c r="J823"/>
      <c r="K823"/>
      <c r="L823"/>
      <c r="M823" s="17"/>
      <c r="N823"/>
      <c r="O823"/>
      <c r="P823" s="34"/>
      <c r="Q823"/>
    </row>
    <row r="824" spans="1:17" x14ac:dyDescent="0.25">
      <c r="A824" s="14"/>
      <c r="B824"/>
      <c r="C824" s="15"/>
      <c r="D824"/>
      <c r="E824"/>
      <c r="F824" s="16"/>
      <c r="G824"/>
      <c r="H824"/>
      <c r="I824" s="16"/>
      <c r="J824"/>
      <c r="K824"/>
      <c r="L824"/>
      <c r="M824" s="17"/>
      <c r="N824"/>
      <c r="O824"/>
      <c r="P824" s="34"/>
      <c r="Q824"/>
    </row>
    <row r="825" spans="1:17" x14ac:dyDescent="0.25">
      <c r="A825" s="14"/>
      <c r="B825"/>
      <c r="C825" s="15"/>
      <c r="D825"/>
      <c r="E825"/>
      <c r="F825" s="16"/>
      <c r="G825"/>
      <c r="H825"/>
      <c r="I825" s="16"/>
      <c r="J825"/>
      <c r="K825"/>
      <c r="L825"/>
      <c r="M825" s="17"/>
      <c r="N825"/>
      <c r="O825"/>
      <c r="P825" s="34"/>
      <c r="Q825"/>
    </row>
    <row r="826" spans="1:17" x14ac:dyDescent="0.25">
      <c r="A826" s="14"/>
      <c r="B826"/>
      <c r="C826" s="15"/>
      <c r="D826"/>
      <c r="E826"/>
      <c r="F826" s="16"/>
      <c r="G826"/>
      <c r="H826"/>
      <c r="I826" s="16"/>
      <c r="J826"/>
      <c r="K826"/>
      <c r="L826"/>
      <c r="M826" s="17"/>
      <c r="N826"/>
      <c r="O826"/>
      <c r="P826" s="34"/>
      <c r="Q826"/>
    </row>
    <row r="827" spans="1:17" x14ac:dyDescent="0.25">
      <c r="A827" s="14"/>
      <c r="B827"/>
      <c r="C827" s="15"/>
      <c r="D827"/>
      <c r="E827"/>
      <c r="F827" s="16"/>
      <c r="G827"/>
      <c r="H827"/>
      <c r="I827" s="16"/>
      <c r="J827"/>
      <c r="K827"/>
      <c r="L827"/>
      <c r="M827" s="17"/>
      <c r="N827"/>
      <c r="O827"/>
      <c r="P827" s="34"/>
      <c r="Q827"/>
    </row>
    <row r="828" spans="1:17" x14ac:dyDescent="0.25">
      <c r="A828" s="14"/>
      <c r="B828"/>
      <c r="C828" s="15"/>
      <c r="D828"/>
      <c r="E828"/>
      <c r="F828" s="16"/>
      <c r="G828"/>
      <c r="H828"/>
      <c r="I828" s="16"/>
      <c r="J828"/>
      <c r="K828"/>
      <c r="L828"/>
      <c r="M828" s="17"/>
      <c r="N828"/>
      <c r="O828"/>
      <c r="P828" s="34"/>
      <c r="Q828"/>
    </row>
    <row r="829" spans="1:17" x14ac:dyDescent="0.25">
      <c r="A829" s="14"/>
      <c r="B829"/>
      <c r="C829" s="15"/>
      <c r="D829"/>
      <c r="E829"/>
      <c r="F829" s="16"/>
      <c r="G829"/>
      <c r="H829"/>
      <c r="I829" s="16"/>
      <c r="J829"/>
      <c r="K829"/>
      <c r="L829"/>
      <c r="M829" s="17"/>
      <c r="N829"/>
      <c r="O829"/>
      <c r="P829" s="34"/>
      <c r="Q829"/>
    </row>
    <row r="830" spans="1:17" x14ac:dyDescent="0.25">
      <c r="A830" s="14"/>
      <c r="B830"/>
      <c r="C830" s="15"/>
      <c r="D830"/>
      <c r="E830"/>
      <c r="F830" s="16"/>
      <c r="G830"/>
      <c r="H830"/>
      <c r="I830" s="16"/>
      <c r="J830"/>
      <c r="K830"/>
      <c r="L830"/>
      <c r="M830" s="17"/>
      <c r="N830"/>
      <c r="O830"/>
      <c r="P830" s="34"/>
      <c r="Q830"/>
    </row>
    <row r="831" spans="1:17" x14ac:dyDescent="0.25">
      <c r="A831" s="14"/>
      <c r="B831"/>
      <c r="C831" s="15"/>
      <c r="D831"/>
      <c r="E831"/>
      <c r="F831" s="16"/>
      <c r="G831"/>
      <c r="H831"/>
      <c r="I831" s="16"/>
      <c r="J831"/>
      <c r="K831"/>
      <c r="L831"/>
      <c r="M831" s="17"/>
      <c r="N831"/>
      <c r="O831"/>
      <c r="P831" s="34"/>
      <c r="Q831"/>
    </row>
    <row r="832" spans="1:17" x14ac:dyDescent="0.25">
      <c r="A832" s="14"/>
      <c r="B832"/>
      <c r="C832" s="15"/>
      <c r="D832"/>
      <c r="E832"/>
      <c r="F832" s="16"/>
      <c r="G832"/>
      <c r="H832"/>
      <c r="I832" s="16"/>
      <c r="J832"/>
      <c r="K832"/>
      <c r="L832"/>
      <c r="M832" s="17"/>
      <c r="N832"/>
      <c r="O832"/>
      <c r="P832" s="34"/>
      <c r="Q832"/>
    </row>
    <row r="833" spans="1:17" x14ac:dyDescent="0.25">
      <c r="A833" s="14"/>
      <c r="B833"/>
      <c r="C833" s="15"/>
      <c r="D833"/>
      <c r="E833"/>
      <c r="F833" s="16"/>
      <c r="G833"/>
      <c r="H833"/>
      <c r="I833" s="16"/>
      <c r="J833"/>
      <c r="K833"/>
      <c r="L833"/>
      <c r="M833" s="17"/>
      <c r="N833"/>
      <c r="O833"/>
      <c r="P833" s="34"/>
      <c r="Q833"/>
    </row>
    <row r="834" spans="1:17" x14ac:dyDescent="0.25">
      <c r="A834" s="14"/>
      <c r="B834"/>
      <c r="C834" s="15"/>
      <c r="D834"/>
      <c r="E834"/>
      <c r="F834" s="16"/>
      <c r="G834"/>
      <c r="H834"/>
      <c r="I834" s="16"/>
      <c r="J834"/>
      <c r="K834"/>
      <c r="L834"/>
      <c r="M834" s="17"/>
      <c r="N834"/>
      <c r="O834"/>
      <c r="P834" s="34"/>
      <c r="Q834"/>
    </row>
    <row r="835" spans="1:17" x14ac:dyDescent="0.25">
      <c r="A835" s="14"/>
      <c r="B835"/>
      <c r="C835" s="15"/>
      <c r="D835"/>
      <c r="E835"/>
      <c r="F835" s="16"/>
      <c r="G835"/>
      <c r="H835"/>
      <c r="I835" s="16"/>
      <c r="J835"/>
      <c r="K835"/>
      <c r="L835"/>
      <c r="M835" s="17"/>
      <c r="N835"/>
      <c r="O835"/>
      <c r="P835" s="34"/>
      <c r="Q835"/>
    </row>
    <row r="836" spans="1:17" x14ac:dyDescent="0.25">
      <c r="A836" s="14"/>
      <c r="B836"/>
      <c r="C836" s="15"/>
      <c r="D836"/>
      <c r="E836"/>
      <c r="F836" s="16"/>
      <c r="G836"/>
      <c r="H836"/>
      <c r="I836" s="16"/>
      <c r="J836"/>
      <c r="K836"/>
      <c r="L836"/>
      <c r="M836" s="17"/>
      <c r="N836"/>
      <c r="O836"/>
      <c r="P836" s="34"/>
      <c r="Q836"/>
    </row>
    <row r="837" spans="1:17" x14ac:dyDescent="0.25">
      <c r="A837" s="14"/>
      <c r="B837"/>
      <c r="C837" s="15"/>
      <c r="D837"/>
      <c r="E837"/>
      <c r="F837" s="16"/>
      <c r="G837"/>
      <c r="H837"/>
      <c r="I837" s="16"/>
      <c r="J837"/>
      <c r="K837"/>
      <c r="L837"/>
      <c r="M837" s="17"/>
      <c r="N837"/>
      <c r="O837"/>
      <c r="P837" s="34"/>
      <c r="Q837"/>
    </row>
    <row r="838" spans="1:17" x14ac:dyDescent="0.25">
      <c r="A838" s="14"/>
      <c r="B838"/>
      <c r="C838" s="15"/>
      <c r="D838"/>
      <c r="E838"/>
      <c r="F838" s="16"/>
      <c r="G838"/>
      <c r="H838"/>
      <c r="I838" s="16"/>
      <c r="J838"/>
      <c r="K838"/>
      <c r="L838"/>
      <c r="M838" s="17"/>
      <c r="N838"/>
      <c r="O838"/>
      <c r="P838" s="34"/>
      <c r="Q838"/>
    </row>
    <row r="839" spans="1:17" x14ac:dyDescent="0.25">
      <c r="A839" s="14"/>
      <c r="B839"/>
      <c r="C839" s="15"/>
      <c r="D839"/>
      <c r="E839"/>
      <c r="F839" s="16"/>
      <c r="G839"/>
      <c r="H839"/>
      <c r="I839" s="16"/>
      <c r="J839"/>
      <c r="K839"/>
      <c r="L839"/>
      <c r="M839" s="17"/>
      <c r="N839"/>
      <c r="O839"/>
      <c r="P839" s="34"/>
      <c r="Q839"/>
    </row>
    <row r="840" spans="1:17" x14ac:dyDescent="0.25">
      <c r="A840" s="14"/>
      <c r="B840"/>
      <c r="C840" s="15"/>
      <c r="D840"/>
      <c r="E840"/>
      <c r="F840" s="16"/>
      <c r="G840"/>
      <c r="H840"/>
      <c r="I840" s="16"/>
      <c r="J840"/>
      <c r="K840"/>
      <c r="L840"/>
      <c r="M840" s="17"/>
      <c r="N840"/>
      <c r="O840"/>
      <c r="P840" s="34"/>
      <c r="Q840"/>
    </row>
    <row r="841" spans="1:17" x14ac:dyDescent="0.25">
      <c r="A841" s="14"/>
      <c r="B841"/>
      <c r="C841" s="15"/>
      <c r="D841"/>
      <c r="E841"/>
      <c r="F841" s="16"/>
      <c r="G841"/>
      <c r="H841"/>
      <c r="I841" s="16"/>
      <c r="J841"/>
      <c r="K841"/>
      <c r="L841"/>
      <c r="M841" s="17"/>
      <c r="N841"/>
      <c r="O841"/>
      <c r="P841" s="34"/>
      <c r="Q841"/>
    </row>
    <row r="842" spans="1:17" x14ac:dyDescent="0.25">
      <c r="A842" s="14"/>
      <c r="B842"/>
      <c r="C842" s="15"/>
      <c r="D842"/>
      <c r="E842"/>
      <c r="F842" s="16"/>
      <c r="G842"/>
      <c r="H842"/>
      <c r="I842" s="16"/>
      <c r="J842"/>
      <c r="K842"/>
      <c r="L842"/>
      <c r="M842" s="17"/>
      <c r="N842"/>
      <c r="O842"/>
      <c r="P842" s="34"/>
      <c r="Q842"/>
    </row>
    <row r="843" spans="1:17" x14ac:dyDescent="0.25">
      <c r="A843" s="14"/>
      <c r="B843"/>
      <c r="C843" s="15"/>
      <c r="D843"/>
      <c r="E843"/>
      <c r="F843" s="16"/>
      <c r="G843"/>
      <c r="H843"/>
      <c r="I843" s="16"/>
      <c r="J843"/>
      <c r="K843"/>
      <c r="L843"/>
      <c r="M843" s="17"/>
      <c r="N843"/>
      <c r="O843"/>
      <c r="P843" s="34"/>
      <c r="Q843"/>
    </row>
    <row r="844" spans="1:17" x14ac:dyDescent="0.25">
      <c r="A844" s="14"/>
      <c r="B844"/>
      <c r="C844" s="15"/>
      <c r="D844"/>
      <c r="E844"/>
      <c r="F844" s="16"/>
      <c r="G844"/>
      <c r="H844"/>
      <c r="I844" s="16"/>
      <c r="J844"/>
      <c r="K844"/>
      <c r="L844"/>
      <c r="M844" s="17"/>
      <c r="N844"/>
      <c r="O844"/>
      <c r="P844" s="34"/>
      <c r="Q844"/>
    </row>
    <row r="845" spans="1:17" x14ac:dyDescent="0.25">
      <c r="A845" s="14"/>
      <c r="B845"/>
      <c r="C845" s="15"/>
      <c r="D845"/>
      <c r="E845"/>
      <c r="F845" s="16"/>
      <c r="G845"/>
      <c r="H845"/>
      <c r="I845" s="16"/>
      <c r="J845"/>
      <c r="K845"/>
      <c r="L845"/>
      <c r="M845" s="17"/>
      <c r="N845"/>
      <c r="O845"/>
      <c r="P845" s="34"/>
      <c r="Q845"/>
    </row>
    <row r="846" spans="1:17" x14ac:dyDescent="0.25">
      <c r="A846" s="14"/>
      <c r="B846"/>
      <c r="C846" s="15"/>
      <c r="D846"/>
      <c r="E846"/>
      <c r="F846" s="16"/>
      <c r="G846"/>
      <c r="H846"/>
      <c r="I846" s="16"/>
      <c r="J846"/>
      <c r="K846"/>
      <c r="L846"/>
      <c r="M846" s="17"/>
      <c r="N846"/>
      <c r="O846"/>
      <c r="P846" s="34"/>
      <c r="Q846"/>
    </row>
    <row r="847" spans="1:17" x14ac:dyDescent="0.25">
      <c r="A847" s="14"/>
      <c r="B847"/>
      <c r="C847" s="15"/>
      <c r="D847"/>
      <c r="E847"/>
      <c r="F847" s="16"/>
      <c r="G847"/>
      <c r="H847"/>
      <c r="I847" s="16"/>
      <c r="J847"/>
      <c r="K847"/>
      <c r="L847"/>
      <c r="M847" s="17"/>
      <c r="N847"/>
      <c r="O847"/>
      <c r="P847" s="34"/>
      <c r="Q847"/>
    </row>
    <row r="848" spans="1:17" x14ac:dyDescent="0.25">
      <c r="A848" s="14"/>
      <c r="B848"/>
      <c r="C848" s="15"/>
      <c r="D848"/>
      <c r="E848"/>
      <c r="F848" s="16"/>
      <c r="G848"/>
      <c r="H848"/>
      <c r="I848" s="16"/>
      <c r="J848"/>
      <c r="K848"/>
      <c r="L848"/>
      <c r="M848" s="17"/>
      <c r="N848"/>
      <c r="O848"/>
      <c r="P848" s="34"/>
      <c r="Q848"/>
    </row>
    <row r="849" spans="1:17" x14ac:dyDescent="0.25">
      <c r="A849" s="14"/>
      <c r="B849"/>
      <c r="C849" s="15"/>
      <c r="D849"/>
      <c r="E849"/>
      <c r="F849" s="16"/>
      <c r="G849"/>
      <c r="H849"/>
      <c r="I849" s="16"/>
      <c r="J849"/>
      <c r="K849"/>
      <c r="L849"/>
      <c r="M849" s="17"/>
      <c r="N849"/>
      <c r="O849"/>
      <c r="P849" s="34"/>
      <c r="Q849"/>
    </row>
    <row r="850" spans="1:17" x14ac:dyDescent="0.25">
      <c r="A850" s="14"/>
      <c r="B850"/>
      <c r="C850" s="15"/>
      <c r="D850"/>
      <c r="E850"/>
      <c r="F850" s="16"/>
      <c r="G850"/>
      <c r="H850"/>
      <c r="I850" s="16"/>
      <c r="J850"/>
      <c r="K850"/>
      <c r="L850"/>
      <c r="M850" s="17"/>
      <c r="N850"/>
      <c r="O850"/>
      <c r="P850" s="34"/>
      <c r="Q850"/>
    </row>
    <row r="851" spans="1:17" x14ac:dyDescent="0.25">
      <c r="A851" s="14"/>
      <c r="B851"/>
      <c r="C851" s="15"/>
      <c r="D851"/>
      <c r="E851"/>
      <c r="F851" s="16"/>
      <c r="G851"/>
      <c r="H851"/>
      <c r="I851" s="16"/>
      <c r="J851"/>
      <c r="K851"/>
      <c r="L851"/>
      <c r="M851" s="17"/>
      <c r="N851"/>
      <c r="O851"/>
      <c r="P851" s="34"/>
      <c r="Q851"/>
    </row>
    <row r="852" spans="1:17" x14ac:dyDescent="0.25">
      <c r="A852" s="14"/>
      <c r="B852"/>
      <c r="C852" s="15"/>
      <c r="D852"/>
      <c r="E852"/>
      <c r="F852" s="16"/>
      <c r="G852"/>
      <c r="H852"/>
      <c r="I852" s="16"/>
      <c r="J852"/>
      <c r="K852"/>
      <c r="L852"/>
      <c r="M852" s="17"/>
      <c r="N852"/>
      <c r="O852"/>
      <c r="P852" s="34"/>
      <c r="Q852"/>
    </row>
    <row r="853" spans="1:17" x14ac:dyDescent="0.25">
      <c r="A853" s="14"/>
      <c r="B853"/>
      <c r="C853" s="15"/>
      <c r="D853"/>
      <c r="E853"/>
      <c r="F853" s="16"/>
      <c r="G853"/>
      <c r="H853"/>
      <c r="I853" s="16"/>
      <c r="J853"/>
      <c r="K853"/>
      <c r="L853"/>
      <c r="M853" s="17"/>
      <c r="N853"/>
      <c r="O853"/>
      <c r="P853" s="34"/>
      <c r="Q853"/>
    </row>
    <row r="854" spans="1:17" x14ac:dyDescent="0.25">
      <c r="A854" s="14"/>
      <c r="B854"/>
      <c r="C854" s="15"/>
      <c r="D854"/>
      <c r="E854"/>
      <c r="F854" s="16"/>
      <c r="G854"/>
      <c r="H854"/>
      <c r="I854" s="16"/>
      <c r="J854"/>
      <c r="K854"/>
      <c r="L854"/>
      <c r="M854" s="17"/>
      <c r="N854"/>
      <c r="O854"/>
      <c r="P854" s="34"/>
      <c r="Q854"/>
    </row>
    <row r="855" spans="1:17" x14ac:dyDescent="0.25">
      <c r="A855" s="14"/>
      <c r="B855"/>
      <c r="C855" s="15"/>
      <c r="D855"/>
      <c r="E855"/>
      <c r="F855" s="16"/>
      <c r="G855"/>
      <c r="H855"/>
      <c r="I855" s="16"/>
      <c r="J855"/>
      <c r="K855"/>
      <c r="L855"/>
      <c r="M855" s="17"/>
      <c r="N855"/>
      <c r="O855"/>
      <c r="P855" s="34"/>
      <c r="Q855"/>
    </row>
    <row r="856" spans="1:17" x14ac:dyDescent="0.25">
      <c r="A856" s="14"/>
      <c r="B856"/>
      <c r="C856" s="15"/>
      <c r="D856"/>
      <c r="E856"/>
      <c r="F856" s="16"/>
      <c r="G856"/>
      <c r="H856"/>
      <c r="I856" s="16"/>
      <c r="J856"/>
      <c r="K856"/>
      <c r="L856"/>
      <c r="M856" s="17"/>
      <c r="N856"/>
      <c r="O856"/>
      <c r="P856" s="34"/>
      <c r="Q856"/>
    </row>
    <row r="857" spans="1:17" x14ac:dyDescent="0.25">
      <c r="A857" s="14"/>
      <c r="B857"/>
      <c r="C857" s="15"/>
      <c r="D857"/>
      <c r="E857"/>
      <c r="F857" s="16"/>
      <c r="G857"/>
      <c r="H857"/>
      <c r="I857" s="16"/>
      <c r="J857"/>
      <c r="K857"/>
      <c r="L857"/>
      <c r="M857" s="17"/>
      <c r="N857"/>
      <c r="O857"/>
      <c r="P857" s="34"/>
      <c r="Q857"/>
    </row>
    <row r="858" spans="1:17" x14ac:dyDescent="0.25">
      <c r="A858" s="14"/>
      <c r="B858"/>
      <c r="C858" s="15"/>
      <c r="D858"/>
      <c r="E858"/>
      <c r="F858" s="16"/>
      <c r="G858"/>
      <c r="H858"/>
      <c r="I858" s="16"/>
      <c r="J858"/>
      <c r="K858"/>
      <c r="L858"/>
      <c r="M858" s="17"/>
      <c r="N858"/>
      <c r="O858"/>
      <c r="P858" s="34"/>
      <c r="Q858"/>
    </row>
    <row r="859" spans="1:17" x14ac:dyDescent="0.25">
      <c r="A859" s="14"/>
      <c r="B859"/>
      <c r="C859" s="15"/>
      <c r="D859"/>
      <c r="E859"/>
      <c r="F859" s="16"/>
      <c r="G859"/>
      <c r="H859"/>
      <c r="I859" s="16"/>
      <c r="J859"/>
      <c r="K859"/>
      <c r="L859"/>
      <c r="M859" s="17"/>
      <c r="N859"/>
      <c r="O859"/>
      <c r="P859" s="34"/>
      <c r="Q859"/>
    </row>
    <row r="860" spans="1:17" x14ac:dyDescent="0.25">
      <c r="A860" s="14"/>
      <c r="B860"/>
      <c r="C860" s="15"/>
      <c r="D860"/>
      <c r="E860"/>
      <c r="F860" s="16"/>
      <c r="G860"/>
      <c r="H860"/>
      <c r="I860" s="16"/>
      <c r="J860"/>
      <c r="K860"/>
      <c r="L860"/>
      <c r="M860" s="17"/>
      <c r="N860"/>
      <c r="O860"/>
      <c r="P860" s="34"/>
      <c r="Q860"/>
    </row>
    <row r="861" spans="1:17" x14ac:dyDescent="0.25">
      <c r="A861" s="14"/>
      <c r="B861"/>
      <c r="C861" s="15"/>
      <c r="D861"/>
      <c r="E861"/>
      <c r="F861" s="16"/>
      <c r="G861"/>
      <c r="H861"/>
      <c r="I861" s="16"/>
      <c r="J861"/>
      <c r="K861"/>
      <c r="L861"/>
      <c r="M861" s="17"/>
      <c r="N861"/>
      <c r="O861"/>
      <c r="P861" s="34"/>
      <c r="Q861"/>
    </row>
    <row r="862" spans="1:17" x14ac:dyDescent="0.25">
      <c r="A862" s="14"/>
      <c r="B862"/>
      <c r="C862" s="15"/>
      <c r="D862"/>
      <c r="E862"/>
      <c r="F862" s="16"/>
      <c r="G862"/>
      <c r="H862"/>
      <c r="I862" s="16"/>
      <c r="J862"/>
      <c r="K862"/>
      <c r="L862"/>
      <c r="M862" s="17"/>
      <c r="N862"/>
      <c r="O862"/>
      <c r="P862" s="34"/>
      <c r="Q862"/>
    </row>
    <row r="863" spans="1:17" x14ac:dyDescent="0.25">
      <c r="A863" s="14"/>
      <c r="B863"/>
      <c r="C863" s="15"/>
      <c r="D863"/>
      <c r="E863"/>
      <c r="F863" s="16"/>
      <c r="G863"/>
      <c r="H863"/>
      <c r="I863" s="16"/>
      <c r="J863"/>
      <c r="K863"/>
      <c r="L863"/>
      <c r="M863" s="17"/>
      <c r="N863"/>
      <c r="O863"/>
      <c r="P863" s="34"/>
      <c r="Q863"/>
    </row>
    <row r="864" spans="1:17" x14ac:dyDescent="0.25">
      <c r="A864" s="14"/>
      <c r="B864"/>
      <c r="C864" s="15"/>
      <c r="D864"/>
      <c r="E864"/>
      <c r="F864" s="16"/>
      <c r="G864"/>
      <c r="H864"/>
      <c r="I864" s="16"/>
      <c r="J864"/>
      <c r="K864"/>
      <c r="L864"/>
      <c r="M864" s="17"/>
      <c r="N864"/>
      <c r="O864"/>
      <c r="P864" s="34"/>
      <c r="Q864"/>
    </row>
    <row r="865" spans="1:17" x14ac:dyDescent="0.25">
      <c r="A865" s="14"/>
      <c r="B865"/>
      <c r="C865" s="15"/>
      <c r="D865"/>
      <c r="E865"/>
      <c r="F865" s="16"/>
      <c r="G865"/>
      <c r="H865"/>
      <c r="I865" s="16"/>
      <c r="J865"/>
      <c r="K865"/>
      <c r="L865"/>
      <c r="M865" s="17"/>
      <c r="N865"/>
      <c r="O865"/>
      <c r="P865" s="34"/>
      <c r="Q865"/>
    </row>
    <row r="866" spans="1:17" x14ac:dyDescent="0.25">
      <c r="A866" s="14"/>
      <c r="B866"/>
      <c r="C866" s="15"/>
      <c r="D866"/>
      <c r="E866"/>
      <c r="F866" s="16"/>
      <c r="G866"/>
      <c r="H866"/>
      <c r="I866" s="16"/>
      <c r="J866"/>
      <c r="K866"/>
      <c r="L866"/>
      <c r="M866" s="17"/>
      <c r="N866"/>
      <c r="O866"/>
      <c r="P866" s="34"/>
      <c r="Q866"/>
    </row>
    <row r="867" spans="1:17" x14ac:dyDescent="0.25">
      <c r="A867" s="14"/>
      <c r="B867"/>
      <c r="C867" s="15"/>
      <c r="D867"/>
      <c r="E867"/>
      <c r="F867" s="16"/>
      <c r="G867"/>
      <c r="H867"/>
      <c r="I867" s="16"/>
      <c r="J867"/>
      <c r="K867"/>
      <c r="L867"/>
      <c r="M867" s="17"/>
      <c r="N867"/>
      <c r="O867"/>
      <c r="P867" s="34"/>
      <c r="Q867"/>
    </row>
    <row r="868" spans="1:17" x14ac:dyDescent="0.25">
      <c r="A868" s="14"/>
      <c r="B868"/>
      <c r="C868" s="15"/>
      <c r="D868"/>
      <c r="E868"/>
      <c r="F868" s="16"/>
      <c r="G868"/>
      <c r="H868"/>
      <c r="I868" s="16"/>
      <c r="J868"/>
      <c r="K868"/>
      <c r="L868"/>
      <c r="M868" s="17"/>
      <c r="N868"/>
      <c r="O868"/>
      <c r="P868" s="34"/>
      <c r="Q868"/>
    </row>
    <row r="869" spans="1:17" x14ac:dyDescent="0.25">
      <c r="A869" s="14"/>
      <c r="B869"/>
      <c r="C869" s="15"/>
      <c r="D869"/>
      <c r="E869"/>
      <c r="F869" s="16"/>
      <c r="G869"/>
      <c r="H869"/>
      <c r="I869" s="16"/>
      <c r="J869"/>
      <c r="K869"/>
      <c r="L869"/>
      <c r="M869" s="17"/>
      <c r="N869"/>
      <c r="O869"/>
      <c r="P869" s="34"/>
      <c r="Q869"/>
    </row>
    <row r="870" spans="1:17" x14ac:dyDescent="0.25">
      <c r="A870" s="14"/>
      <c r="B870"/>
      <c r="C870" s="15"/>
      <c r="D870"/>
      <c r="E870"/>
      <c r="F870" s="16"/>
      <c r="G870"/>
      <c r="H870"/>
      <c r="I870" s="16"/>
      <c r="J870"/>
      <c r="K870"/>
      <c r="L870"/>
      <c r="M870" s="17"/>
      <c r="N870"/>
      <c r="O870"/>
      <c r="P870" s="34"/>
      <c r="Q870"/>
    </row>
    <row r="871" spans="1:17" x14ac:dyDescent="0.25">
      <c r="A871" s="14"/>
      <c r="B871"/>
      <c r="C871" s="15"/>
      <c r="D871"/>
      <c r="E871"/>
      <c r="F871" s="16"/>
      <c r="G871"/>
      <c r="H871"/>
      <c r="I871" s="16"/>
      <c r="J871"/>
      <c r="K871"/>
      <c r="L871"/>
      <c r="M871" s="17"/>
      <c r="N871"/>
      <c r="O871"/>
      <c r="P871" s="34"/>
      <c r="Q871"/>
    </row>
    <row r="872" spans="1:17" x14ac:dyDescent="0.25">
      <c r="A872" s="14"/>
      <c r="B872"/>
      <c r="C872" s="15"/>
      <c r="D872"/>
      <c r="E872"/>
      <c r="F872" s="16"/>
      <c r="G872"/>
      <c r="H872"/>
      <c r="I872" s="16"/>
      <c r="J872"/>
      <c r="K872"/>
      <c r="L872"/>
      <c r="M872" s="17"/>
      <c r="N872"/>
      <c r="O872"/>
      <c r="P872" s="34"/>
      <c r="Q872"/>
    </row>
    <row r="873" spans="1:17" x14ac:dyDescent="0.25">
      <c r="A873" s="14"/>
      <c r="B873"/>
      <c r="C873" s="15"/>
      <c r="D873"/>
      <c r="E873"/>
      <c r="F873" s="16"/>
      <c r="G873"/>
      <c r="H873"/>
      <c r="I873" s="16"/>
      <c r="J873"/>
      <c r="K873"/>
      <c r="L873"/>
      <c r="M873" s="17"/>
      <c r="N873"/>
      <c r="O873"/>
      <c r="P873" s="34"/>
      <c r="Q873"/>
    </row>
    <row r="874" spans="1:17" x14ac:dyDescent="0.25">
      <c r="A874" s="14"/>
      <c r="B874"/>
      <c r="C874" s="15"/>
      <c r="D874"/>
      <c r="E874"/>
      <c r="F874" s="16"/>
      <c r="G874"/>
      <c r="H874"/>
      <c r="I874" s="16"/>
      <c r="J874"/>
      <c r="K874"/>
      <c r="L874"/>
      <c r="M874" s="17"/>
      <c r="N874"/>
      <c r="O874"/>
      <c r="P874" s="34"/>
      <c r="Q874"/>
    </row>
    <row r="875" spans="1:17" x14ac:dyDescent="0.25">
      <c r="A875" s="14"/>
      <c r="B875"/>
      <c r="C875" s="15"/>
      <c r="D875"/>
      <c r="E875"/>
      <c r="F875" s="16"/>
      <c r="G875"/>
      <c r="H875"/>
      <c r="I875" s="16"/>
      <c r="J875"/>
      <c r="K875"/>
      <c r="L875"/>
      <c r="M875" s="17"/>
      <c r="N875"/>
      <c r="O875"/>
      <c r="P875" s="34"/>
      <c r="Q875"/>
    </row>
    <row r="876" spans="1:17" x14ac:dyDescent="0.25">
      <c r="A876" s="14"/>
      <c r="B876"/>
      <c r="C876" s="15"/>
      <c r="D876"/>
      <c r="E876"/>
      <c r="F876" s="16"/>
      <c r="G876"/>
      <c r="H876"/>
      <c r="I876" s="16"/>
      <c r="J876"/>
      <c r="K876"/>
      <c r="L876"/>
      <c r="M876" s="17"/>
      <c r="N876"/>
      <c r="O876"/>
      <c r="P876" s="34"/>
      <c r="Q876"/>
    </row>
    <row r="877" spans="1:17" x14ac:dyDescent="0.25">
      <c r="A877" s="14"/>
      <c r="B877"/>
      <c r="C877" s="15"/>
      <c r="D877"/>
      <c r="E877"/>
      <c r="F877" s="16"/>
      <c r="G877"/>
      <c r="H877"/>
      <c r="I877" s="16"/>
      <c r="J877"/>
      <c r="K877"/>
      <c r="L877"/>
      <c r="M877" s="17"/>
      <c r="N877"/>
      <c r="O877"/>
      <c r="P877" s="34"/>
      <c r="Q877"/>
    </row>
    <row r="878" spans="1:17" x14ac:dyDescent="0.25">
      <c r="A878" s="14"/>
      <c r="B878"/>
      <c r="C878" s="15"/>
      <c r="D878"/>
      <c r="E878"/>
      <c r="F878" s="16"/>
      <c r="G878"/>
      <c r="H878"/>
      <c r="I878" s="16"/>
      <c r="J878"/>
      <c r="K878"/>
      <c r="L878"/>
      <c r="M878" s="17"/>
      <c r="N878"/>
      <c r="O878"/>
      <c r="P878" s="34"/>
      <c r="Q878"/>
    </row>
    <row r="879" spans="1:17" x14ac:dyDescent="0.25">
      <c r="A879" s="14"/>
      <c r="B879"/>
      <c r="C879" s="15"/>
      <c r="D879"/>
      <c r="E879"/>
      <c r="F879" s="16"/>
      <c r="G879"/>
      <c r="H879"/>
      <c r="I879" s="16"/>
      <c r="J879"/>
      <c r="K879"/>
      <c r="L879"/>
      <c r="M879" s="17"/>
      <c r="N879"/>
      <c r="O879"/>
      <c r="P879" s="34"/>
      <c r="Q879"/>
    </row>
    <row r="880" spans="1:17" x14ac:dyDescent="0.25">
      <c r="A880" s="14"/>
      <c r="B880"/>
      <c r="C880" s="15"/>
      <c r="D880"/>
      <c r="E880"/>
      <c r="F880" s="16"/>
      <c r="G880"/>
      <c r="H880"/>
      <c r="I880" s="16"/>
      <c r="J880"/>
      <c r="K880"/>
      <c r="L880"/>
      <c r="M880" s="17"/>
      <c r="N880"/>
      <c r="O880"/>
      <c r="P880" s="34"/>
      <c r="Q880"/>
    </row>
    <row r="881" spans="1:17" x14ac:dyDescent="0.25">
      <c r="A881" s="14"/>
      <c r="B881"/>
      <c r="C881" s="15"/>
      <c r="D881"/>
      <c r="E881"/>
      <c r="F881" s="16"/>
      <c r="G881"/>
      <c r="H881"/>
      <c r="I881" s="16"/>
      <c r="J881"/>
      <c r="K881"/>
      <c r="L881"/>
      <c r="M881" s="17"/>
      <c r="N881"/>
      <c r="O881"/>
      <c r="P881" s="34"/>
      <c r="Q881"/>
    </row>
    <row r="882" spans="1:17" x14ac:dyDescent="0.25">
      <c r="A882" s="14"/>
      <c r="B882"/>
      <c r="C882" s="15"/>
      <c r="D882"/>
      <c r="E882"/>
      <c r="F882" s="16"/>
      <c r="G882"/>
      <c r="H882"/>
      <c r="I882" s="16"/>
      <c r="J882"/>
      <c r="K882"/>
      <c r="L882"/>
      <c r="M882" s="17"/>
      <c r="N882"/>
      <c r="O882"/>
      <c r="P882" s="34"/>
      <c r="Q882"/>
    </row>
    <row r="883" spans="1:17" x14ac:dyDescent="0.25">
      <c r="A883" s="14"/>
      <c r="B883"/>
      <c r="C883" s="15"/>
      <c r="D883"/>
      <c r="E883"/>
      <c r="F883" s="16"/>
      <c r="G883"/>
      <c r="H883"/>
      <c r="I883" s="16"/>
      <c r="J883"/>
      <c r="K883"/>
      <c r="L883"/>
      <c r="M883" s="17"/>
      <c r="N883"/>
      <c r="O883"/>
      <c r="P883" s="34"/>
      <c r="Q883"/>
    </row>
    <row r="884" spans="1:17" x14ac:dyDescent="0.25">
      <c r="A884" s="14"/>
      <c r="B884"/>
      <c r="C884" s="15"/>
      <c r="D884"/>
      <c r="E884"/>
      <c r="F884" s="16"/>
      <c r="G884"/>
      <c r="H884"/>
      <c r="I884" s="16"/>
      <c r="J884"/>
      <c r="K884"/>
      <c r="L884"/>
      <c r="M884" s="17"/>
      <c r="N884"/>
      <c r="O884"/>
      <c r="P884" s="34"/>
      <c r="Q884"/>
    </row>
    <row r="885" spans="1:17" x14ac:dyDescent="0.25">
      <c r="A885" s="14"/>
      <c r="B885"/>
      <c r="C885" s="15"/>
      <c r="D885"/>
      <c r="E885"/>
      <c r="F885" s="16"/>
      <c r="G885"/>
      <c r="H885"/>
      <c r="I885" s="16"/>
      <c r="J885"/>
      <c r="K885"/>
      <c r="L885"/>
      <c r="M885" s="17"/>
      <c r="N885"/>
      <c r="O885"/>
      <c r="P885" s="34"/>
      <c r="Q885"/>
    </row>
    <row r="886" spans="1:17" x14ac:dyDescent="0.25">
      <c r="A886" s="14"/>
      <c r="B886"/>
      <c r="C886" s="15"/>
      <c r="D886"/>
      <c r="E886"/>
      <c r="F886" s="16"/>
      <c r="G886"/>
      <c r="H886"/>
      <c r="I886" s="16"/>
      <c r="J886"/>
      <c r="K886"/>
      <c r="L886"/>
      <c r="M886" s="17"/>
      <c r="N886"/>
      <c r="O886"/>
      <c r="P886" s="34"/>
      <c r="Q886"/>
    </row>
    <row r="887" spans="1:17" x14ac:dyDescent="0.25">
      <c r="A887" s="14"/>
      <c r="B887"/>
      <c r="C887" s="15"/>
      <c r="D887"/>
      <c r="E887"/>
      <c r="F887" s="16"/>
      <c r="G887"/>
      <c r="H887"/>
      <c r="I887" s="16"/>
      <c r="J887"/>
      <c r="K887"/>
      <c r="L887"/>
      <c r="M887" s="17"/>
      <c r="N887"/>
      <c r="O887"/>
      <c r="P887" s="34"/>
      <c r="Q887"/>
    </row>
    <row r="888" spans="1:17" x14ac:dyDescent="0.25">
      <c r="A888" s="14"/>
      <c r="B888"/>
      <c r="C888" s="15"/>
      <c r="D888"/>
      <c r="E888"/>
      <c r="F888" s="16"/>
      <c r="G888"/>
      <c r="H888"/>
      <c r="I888" s="16"/>
      <c r="J888"/>
      <c r="K888"/>
      <c r="L888"/>
      <c r="M888" s="17"/>
      <c r="N888"/>
      <c r="O888"/>
      <c r="P888" s="34"/>
      <c r="Q888"/>
    </row>
    <row r="889" spans="1:17" x14ac:dyDescent="0.25">
      <c r="A889" s="14"/>
      <c r="B889"/>
      <c r="C889" s="15"/>
      <c r="D889"/>
      <c r="E889"/>
      <c r="F889" s="16"/>
      <c r="G889"/>
      <c r="H889"/>
      <c r="I889" s="16"/>
      <c r="J889"/>
      <c r="K889"/>
      <c r="L889"/>
      <c r="M889" s="17"/>
      <c r="N889"/>
      <c r="O889"/>
      <c r="P889" s="34"/>
      <c r="Q889"/>
    </row>
    <row r="890" spans="1:17" x14ac:dyDescent="0.25">
      <c r="A890" s="14"/>
      <c r="B890"/>
      <c r="C890" s="15"/>
      <c r="D890"/>
      <c r="E890"/>
      <c r="F890" s="16"/>
      <c r="G890"/>
      <c r="H890"/>
      <c r="I890" s="16"/>
      <c r="J890"/>
      <c r="K890"/>
      <c r="L890"/>
      <c r="M890" s="17"/>
      <c r="N890"/>
      <c r="O890"/>
      <c r="P890" s="34"/>
      <c r="Q890"/>
    </row>
    <row r="891" spans="1:17" x14ac:dyDescent="0.25">
      <c r="A891" s="14"/>
      <c r="B891"/>
      <c r="C891" s="15"/>
      <c r="D891"/>
      <c r="E891"/>
      <c r="F891" s="16"/>
      <c r="G891"/>
      <c r="H891"/>
      <c r="I891" s="16"/>
      <c r="J891"/>
      <c r="K891"/>
      <c r="L891"/>
      <c r="M891" s="17"/>
      <c r="N891"/>
      <c r="O891"/>
      <c r="P891" s="34"/>
      <c r="Q891"/>
    </row>
    <row r="892" spans="1:17" x14ac:dyDescent="0.25">
      <c r="A892" s="14"/>
      <c r="B892"/>
      <c r="C892" s="15"/>
      <c r="D892"/>
      <c r="E892"/>
      <c r="F892" s="16"/>
      <c r="G892"/>
      <c r="H892"/>
      <c r="I892" s="16"/>
      <c r="J892"/>
      <c r="K892"/>
      <c r="L892"/>
      <c r="M892" s="17"/>
      <c r="N892"/>
      <c r="O892"/>
      <c r="P892" s="34"/>
      <c r="Q892"/>
    </row>
    <row r="893" spans="1:17" x14ac:dyDescent="0.25">
      <c r="A893" s="14"/>
      <c r="B893"/>
      <c r="C893" s="15"/>
      <c r="D893"/>
      <c r="E893"/>
      <c r="F893" s="16"/>
      <c r="G893"/>
      <c r="H893"/>
      <c r="I893" s="16"/>
      <c r="J893"/>
      <c r="K893"/>
      <c r="L893"/>
      <c r="M893" s="17"/>
      <c r="N893"/>
      <c r="O893"/>
      <c r="P893" s="34"/>
      <c r="Q893"/>
    </row>
    <row r="894" spans="1:17" x14ac:dyDescent="0.25">
      <c r="A894" s="14"/>
      <c r="B894"/>
      <c r="C894" s="15"/>
      <c r="D894"/>
      <c r="E894"/>
      <c r="F894" s="16"/>
      <c r="G894"/>
      <c r="H894"/>
      <c r="I894" s="16"/>
      <c r="J894"/>
      <c r="K894"/>
      <c r="L894"/>
      <c r="M894" s="17"/>
      <c r="N894"/>
      <c r="O894"/>
      <c r="P894" s="34"/>
      <c r="Q894"/>
    </row>
    <row r="895" spans="1:17" x14ac:dyDescent="0.25">
      <c r="A895" s="14"/>
      <c r="B895"/>
      <c r="C895" s="15"/>
      <c r="D895"/>
      <c r="E895"/>
      <c r="F895" s="16"/>
      <c r="G895"/>
      <c r="H895"/>
      <c r="I895" s="16"/>
      <c r="J895"/>
      <c r="K895"/>
      <c r="L895"/>
      <c r="M895" s="17"/>
      <c r="N895"/>
      <c r="O895"/>
      <c r="P895" s="34"/>
      <c r="Q895"/>
    </row>
    <row r="896" spans="1:17" x14ac:dyDescent="0.25">
      <c r="A896" s="14"/>
      <c r="B896"/>
      <c r="C896" s="15"/>
      <c r="D896"/>
      <c r="E896"/>
      <c r="F896" s="16"/>
      <c r="G896"/>
      <c r="H896"/>
      <c r="I896" s="16"/>
      <c r="J896"/>
      <c r="K896"/>
      <c r="L896"/>
      <c r="M896" s="17"/>
      <c r="N896"/>
      <c r="O896"/>
      <c r="P896" s="34"/>
      <c r="Q896"/>
    </row>
    <row r="897" spans="1:17" x14ac:dyDescent="0.25">
      <c r="A897" s="14"/>
      <c r="B897"/>
      <c r="C897" s="15"/>
      <c r="D897"/>
      <c r="E897"/>
      <c r="F897" s="16"/>
      <c r="G897"/>
      <c r="H897"/>
      <c r="I897" s="16"/>
      <c r="J897"/>
      <c r="K897"/>
      <c r="L897"/>
      <c r="M897" s="17"/>
      <c r="N897"/>
      <c r="O897"/>
      <c r="P897" s="34"/>
      <c r="Q897"/>
    </row>
    <row r="898" spans="1:17" x14ac:dyDescent="0.25">
      <c r="A898" s="14"/>
      <c r="B898"/>
      <c r="C898" s="15"/>
      <c r="D898"/>
      <c r="E898"/>
      <c r="F898" s="16"/>
      <c r="G898"/>
      <c r="H898"/>
      <c r="I898" s="16"/>
      <c r="J898"/>
      <c r="K898"/>
      <c r="L898"/>
      <c r="M898" s="17"/>
      <c r="N898"/>
      <c r="O898"/>
      <c r="P898" s="34"/>
      <c r="Q898"/>
    </row>
    <row r="899" spans="1:17" x14ac:dyDescent="0.25">
      <c r="A899" s="14"/>
      <c r="B899"/>
      <c r="C899" s="15"/>
      <c r="D899"/>
      <c r="E899"/>
      <c r="F899" s="16"/>
      <c r="G899"/>
      <c r="H899"/>
      <c r="I899" s="16"/>
      <c r="J899"/>
      <c r="K899"/>
      <c r="L899"/>
      <c r="M899" s="17"/>
      <c r="N899"/>
      <c r="O899"/>
      <c r="P899" s="34"/>
      <c r="Q899"/>
    </row>
    <row r="900" spans="1:17" x14ac:dyDescent="0.25">
      <c r="A900" s="14"/>
      <c r="B900"/>
      <c r="C900" s="15"/>
      <c r="D900"/>
      <c r="E900"/>
      <c r="F900" s="16"/>
      <c r="G900"/>
      <c r="H900"/>
      <c r="I900" s="16"/>
      <c r="J900"/>
      <c r="K900"/>
      <c r="L900"/>
      <c r="M900" s="17"/>
      <c r="N900"/>
      <c r="O900"/>
      <c r="P900" s="34"/>
      <c r="Q900"/>
    </row>
    <row r="901" spans="1:17" x14ac:dyDescent="0.25">
      <c r="A901" s="14"/>
      <c r="B901"/>
      <c r="C901" s="15"/>
      <c r="D901"/>
      <c r="E901"/>
      <c r="F901" s="16"/>
      <c r="G901"/>
      <c r="H901"/>
      <c r="I901" s="16"/>
      <c r="J901"/>
      <c r="K901"/>
      <c r="L901"/>
      <c r="M901" s="17"/>
      <c r="N901"/>
      <c r="O901"/>
      <c r="P901" s="34"/>
      <c r="Q901"/>
    </row>
    <row r="902" spans="1:17" x14ac:dyDescent="0.25">
      <c r="A902" s="14"/>
      <c r="B902"/>
      <c r="C902" s="15"/>
      <c r="D902"/>
      <c r="E902"/>
      <c r="F902" s="16"/>
      <c r="G902"/>
      <c r="H902"/>
      <c r="I902" s="16"/>
      <c r="J902"/>
      <c r="K902"/>
      <c r="L902"/>
      <c r="M902" s="17"/>
      <c r="N902"/>
      <c r="O902"/>
      <c r="P902" s="34"/>
      <c r="Q902"/>
    </row>
    <row r="903" spans="1:17" x14ac:dyDescent="0.25">
      <c r="A903" s="14"/>
      <c r="B903"/>
      <c r="C903" s="15"/>
      <c r="D903"/>
      <c r="E903"/>
      <c r="F903" s="16"/>
      <c r="G903"/>
      <c r="H903"/>
      <c r="I903" s="16"/>
      <c r="J903"/>
      <c r="K903"/>
      <c r="L903"/>
      <c r="M903" s="17"/>
      <c r="N903"/>
      <c r="O903"/>
      <c r="P903" s="34"/>
      <c r="Q903"/>
    </row>
    <row r="904" spans="1:17" x14ac:dyDescent="0.25">
      <c r="A904" s="14"/>
      <c r="B904"/>
      <c r="C904" s="15"/>
      <c r="D904"/>
      <c r="E904"/>
      <c r="F904" s="16"/>
      <c r="G904"/>
      <c r="H904"/>
      <c r="I904" s="16"/>
      <c r="J904"/>
      <c r="K904"/>
      <c r="L904"/>
      <c r="M904" s="17"/>
      <c r="N904"/>
      <c r="O904"/>
      <c r="P904" s="34"/>
      <c r="Q904"/>
    </row>
    <row r="905" spans="1:17" x14ac:dyDescent="0.25">
      <c r="A905" s="14"/>
      <c r="B905"/>
      <c r="C905" s="15"/>
      <c r="D905"/>
      <c r="E905"/>
      <c r="F905" s="16"/>
      <c r="G905"/>
      <c r="H905"/>
      <c r="I905" s="16"/>
      <c r="J905"/>
      <c r="K905"/>
      <c r="L905"/>
      <c r="M905" s="17"/>
      <c r="N905"/>
      <c r="O905"/>
      <c r="P905" s="34"/>
      <c r="Q905"/>
    </row>
    <row r="906" spans="1:17" x14ac:dyDescent="0.25">
      <c r="A906" s="14"/>
      <c r="B906"/>
      <c r="C906" s="15"/>
      <c r="D906"/>
      <c r="E906"/>
      <c r="F906" s="16"/>
      <c r="G906"/>
      <c r="H906"/>
      <c r="I906" s="16"/>
      <c r="J906"/>
      <c r="K906"/>
      <c r="L906"/>
      <c r="M906" s="17"/>
      <c r="N906"/>
      <c r="O906"/>
      <c r="P906" s="34"/>
      <c r="Q906"/>
    </row>
    <row r="907" spans="1:17" x14ac:dyDescent="0.25">
      <c r="A907" s="14"/>
      <c r="B907"/>
      <c r="C907" s="15"/>
      <c r="D907"/>
      <c r="E907"/>
      <c r="F907" s="16"/>
      <c r="G907"/>
      <c r="H907"/>
      <c r="I907" s="16"/>
      <c r="J907"/>
      <c r="K907"/>
      <c r="L907"/>
      <c r="M907" s="17"/>
      <c r="N907"/>
      <c r="O907"/>
      <c r="P907" s="34"/>
      <c r="Q907"/>
    </row>
    <row r="908" spans="1:17" x14ac:dyDescent="0.25">
      <c r="A908" s="14"/>
      <c r="B908"/>
      <c r="C908" s="15"/>
      <c r="D908"/>
      <c r="E908"/>
      <c r="F908" s="16"/>
      <c r="G908"/>
      <c r="H908"/>
      <c r="I908" s="16"/>
      <c r="J908"/>
      <c r="K908"/>
      <c r="L908"/>
      <c r="M908" s="17"/>
      <c r="N908"/>
      <c r="O908"/>
      <c r="P908" s="34"/>
      <c r="Q908"/>
    </row>
    <row r="909" spans="1:17" x14ac:dyDescent="0.25">
      <c r="A909" s="14"/>
      <c r="B909"/>
      <c r="C909" s="15"/>
      <c r="D909"/>
      <c r="E909"/>
      <c r="F909" s="16"/>
      <c r="G909"/>
      <c r="H909"/>
      <c r="I909" s="16"/>
      <c r="J909"/>
      <c r="K909"/>
      <c r="L909"/>
      <c r="M909" s="17"/>
      <c r="N909"/>
      <c r="O909"/>
      <c r="P909" s="34"/>
      <c r="Q909"/>
    </row>
    <row r="910" spans="1:17" x14ac:dyDescent="0.25">
      <c r="A910" s="14"/>
      <c r="B910"/>
      <c r="C910" s="15"/>
      <c r="D910"/>
      <c r="E910"/>
      <c r="F910" s="16"/>
      <c r="G910"/>
      <c r="H910"/>
      <c r="I910" s="16"/>
      <c r="J910"/>
      <c r="K910"/>
      <c r="L910"/>
      <c r="M910" s="17"/>
      <c r="N910"/>
      <c r="O910"/>
      <c r="P910" s="34"/>
      <c r="Q910"/>
    </row>
    <row r="911" spans="1:17" x14ac:dyDescent="0.25">
      <c r="A911" s="14"/>
      <c r="B911"/>
      <c r="C911" s="15"/>
      <c r="D911"/>
      <c r="E911"/>
      <c r="F911" s="16"/>
      <c r="G911"/>
      <c r="H911"/>
      <c r="I911" s="16"/>
      <c r="J911"/>
      <c r="K911"/>
      <c r="L911"/>
      <c r="M911" s="17"/>
      <c r="N911"/>
      <c r="O911"/>
      <c r="P911" s="34"/>
      <c r="Q911"/>
    </row>
    <row r="912" spans="1:17" x14ac:dyDescent="0.25">
      <c r="A912" s="14"/>
      <c r="B912"/>
      <c r="C912" s="15"/>
      <c r="D912"/>
      <c r="E912"/>
      <c r="F912" s="16"/>
      <c r="G912"/>
      <c r="H912"/>
      <c r="I912" s="16"/>
      <c r="J912"/>
      <c r="K912"/>
      <c r="L912"/>
      <c r="M912" s="17"/>
      <c r="N912"/>
      <c r="O912"/>
      <c r="P912" s="34"/>
      <c r="Q912"/>
    </row>
    <row r="913" spans="1:17" x14ac:dyDescent="0.25">
      <c r="A913" s="14"/>
      <c r="B913"/>
      <c r="C913" s="15"/>
      <c r="D913"/>
      <c r="E913"/>
      <c r="F913" s="16"/>
      <c r="G913"/>
      <c r="H913"/>
      <c r="I913" s="16"/>
      <c r="J913"/>
      <c r="K913"/>
      <c r="L913"/>
      <c r="M913" s="17"/>
      <c r="N913"/>
      <c r="O913"/>
      <c r="P913" s="34"/>
      <c r="Q913"/>
    </row>
    <row r="914" spans="1:17" x14ac:dyDescent="0.25">
      <c r="A914" s="14"/>
      <c r="B914"/>
      <c r="C914" s="15"/>
      <c r="D914"/>
      <c r="E914"/>
      <c r="F914" s="16"/>
      <c r="G914"/>
      <c r="H914"/>
      <c r="I914" s="16"/>
      <c r="J914"/>
      <c r="K914"/>
      <c r="L914"/>
      <c r="M914" s="17"/>
      <c r="N914"/>
      <c r="O914"/>
      <c r="P914" s="34"/>
      <c r="Q914"/>
    </row>
    <row r="915" spans="1:17" x14ac:dyDescent="0.25">
      <c r="A915" s="14"/>
      <c r="B915"/>
      <c r="C915" s="15"/>
      <c r="D915"/>
      <c r="E915"/>
      <c r="F915" s="16"/>
      <c r="G915"/>
      <c r="H915"/>
      <c r="I915" s="16"/>
      <c r="J915"/>
      <c r="K915"/>
      <c r="L915"/>
      <c r="M915" s="17"/>
      <c r="N915"/>
      <c r="O915"/>
      <c r="P915" s="34"/>
      <c r="Q915"/>
    </row>
    <row r="916" spans="1:17" x14ac:dyDescent="0.25">
      <c r="A916" s="14"/>
      <c r="B916"/>
      <c r="C916" s="15"/>
      <c r="D916"/>
      <c r="E916"/>
      <c r="F916" s="16"/>
      <c r="G916"/>
      <c r="H916"/>
      <c r="I916" s="16"/>
      <c r="J916"/>
      <c r="K916"/>
      <c r="L916"/>
      <c r="M916" s="17"/>
      <c r="N916"/>
      <c r="O916"/>
      <c r="P916" s="34"/>
      <c r="Q916"/>
    </row>
    <row r="917" spans="1:17" x14ac:dyDescent="0.25">
      <c r="A917" s="14"/>
      <c r="B917"/>
      <c r="C917" s="15"/>
      <c r="D917"/>
      <c r="E917"/>
      <c r="F917" s="16"/>
      <c r="G917"/>
      <c r="H917"/>
      <c r="I917" s="16"/>
      <c r="J917"/>
      <c r="K917"/>
      <c r="L917"/>
      <c r="M917" s="17"/>
      <c r="N917"/>
      <c r="O917"/>
      <c r="P917" s="34"/>
      <c r="Q917"/>
    </row>
    <row r="918" spans="1:17" x14ac:dyDescent="0.25">
      <c r="A918" s="14"/>
      <c r="B918"/>
      <c r="C918" s="15"/>
      <c r="D918"/>
      <c r="E918"/>
      <c r="F918" s="16"/>
      <c r="G918"/>
      <c r="H918"/>
      <c r="I918" s="16"/>
      <c r="J918"/>
      <c r="K918"/>
      <c r="L918"/>
      <c r="M918" s="17"/>
      <c r="N918"/>
      <c r="O918"/>
      <c r="P918" s="34"/>
      <c r="Q918"/>
    </row>
    <row r="919" spans="1:17" x14ac:dyDescent="0.25">
      <c r="A919" s="14"/>
      <c r="B919"/>
      <c r="C919" s="15"/>
      <c r="D919"/>
      <c r="E919"/>
      <c r="F919" s="16"/>
      <c r="G919"/>
      <c r="H919"/>
      <c r="I919" s="16"/>
      <c r="J919"/>
      <c r="K919"/>
      <c r="L919"/>
      <c r="M919" s="17"/>
      <c r="N919"/>
      <c r="O919"/>
      <c r="P919" s="34"/>
      <c r="Q919"/>
    </row>
    <row r="920" spans="1:17" x14ac:dyDescent="0.25">
      <c r="A920" s="14"/>
      <c r="B920"/>
      <c r="C920" s="15"/>
      <c r="D920"/>
      <c r="E920"/>
      <c r="F920" s="16"/>
      <c r="G920"/>
      <c r="H920"/>
      <c r="I920" s="16"/>
      <c r="J920"/>
      <c r="K920"/>
      <c r="L920"/>
      <c r="M920" s="17"/>
      <c r="N920"/>
      <c r="O920"/>
      <c r="P920" s="34"/>
      <c r="Q920"/>
    </row>
    <row r="921" spans="1:17" x14ac:dyDescent="0.25">
      <c r="A921" s="14"/>
      <c r="B921"/>
      <c r="C921" s="15"/>
      <c r="D921"/>
      <c r="E921"/>
      <c r="F921" s="16"/>
      <c r="G921"/>
      <c r="H921"/>
      <c r="I921" s="16"/>
      <c r="J921"/>
      <c r="K921"/>
      <c r="L921"/>
      <c r="M921" s="17"/>
      <c r="N921"/>
      <c r="O921"/>
      <c r="P921" s="34"/>
      <c r="Q921"/>
    </row>
    <row r="922" spans="1:17" x14ac:dyDescent="0.25">
      <c r="A922" s="14"/>
      <c r="B922"/>
      <c r="C922" s="15"/>
      <c r="D922"/>
      <c r="E922"/>
      <c r="F922" s="16"/>
      <c r="G922"/>
      <c r="H922"/>
      <c r="I922" s="16"/>
      <c r="J922"/>
      <c r="K922"/>
      <c r="L922"/>
      <c r="M922" s="17"/>
      <c r="N922"/>
      <c r="O922"/>
      <c r="P922" s="34"/>
      <c r="Q922"/>
    </row>
    <row r="923" spans="1:17" x14ac:dyDescent="0.25">
      <c r="A923" s="14"/>
      <c r="B923"/>
      <c r="C923" s="15"/>
      <c r="D923"/>
      <c r="E923"/>
      <c r="F923" s="16"/>
      <c r="G923"/>
      <c r="H923"/>
      <c r="I923" s="16"/>
      <c r="J923"/>
      <c r="K923"/>
      <c r="L923"/>
      <c r="M923" s="17"/>
      <c r="N923"/>
      <c r="O923"/>
      <c r="P923" s="34"/>
      <c r="Q923"/>
    </row>
    <row r="924" spans="1:17" x14ac:dyDescent="0.25">
      <c r="A924" s="14"/>
      <c r="B924"/>
      <c r="C924" s="15"/>
      <c r="D924"/>
      <c r="E924"/>
      <c r="F924" s="16"/>
      <c r="G924"/>
      <c r="H924"/>
      <c r="I924" s="16"/>
      <c r="J924"/>
      <c r="K924"/>
      <c r="L924"/>
      <c r="M924" s="17"/>
      <c r="N924"/>
      <c r="O924"/>
      <c r="P924" s="34"/>
      <c r="Q924"/>
    </row>
    <row r="925" spans="1:17" x14ac:dyDescent="0.25">
      <c r="A925" s="14"/>
      <c r="B925"/>
      <c r="C925" s="15"/>
      <c r="D925"/>
      <c r="E925"/>
      <c r="F925" s="16"/>
      <c r="G925"/>
      <c r="H925"/>
      <c r="I925" s="16"/>
      <c r="J925"/>
      <c r="K925"/>
      <c r="L925"/>
      <c r="M925" s="17"/>
      <c r="N925"/>
      <c r="O925"/>
      <c r="P925" s="34"/>
      <c r="Q925"/>
    </row>
    <row r="926" spans="1:17" x14ac:dyDescent="0.25">
      <c r="A926" s="14"/>
      <c r="B926"/>
      <c r="C926" s="15"/>
      <c r="D926"/>
      <c r="E926"/>
      <c r="F926" s="16"/>
      <c r="G926"/>
      <c r="H926"/>
      <c r="I926" s="16"/>
      <c r="J926"/>
      <c r="K926"/>
      <c r="L926"/>
      <c r="M926" s="17"/>
      <c r="N926"/>
      <c r="O926"/>
      <c r="P926" s="34"/>
      <c r="Q926"/>
    </row>
    <row r="927" spans="1:17" x14ac:dyDescent="0.25">
      <c r="A927" s="14"/>
      <c r="B927"/>
      <c r="C927" s="15"/>
      <c r="D927"/>
      <c r="E927"/>
      <c r="F927" s="16"/>
      <c r="G927"/>
      <c r="H927"/>
      <c r="I927" s="16"/>
      <c r="J927"/>
      <c r="K927"/>
      <c r="L927"/>
      <c r="M927" s="17"/>
      <c r="N927"/>
      <c r="O927"/>
      <c r="P927" s="34"/>
      <c r="Q927"/>
    </row>
    <row r="928" spans="1:17" x14ac:dyDescent="0.25">
      <c r="A928" s="14"/>
      <c r="B928"/>
      <c r="C928" s="15"/>
      <c r="D928"/>
      <c r="E928"/>
      <c r="F928" s="16"/>
      <c r="G928"/>
      <c r="H928"/>
      <c r="I928" s="16"/>
      <c r="J928"/>
      <c r="K928"/>
      <c r="L928"/>
      <c r="M928" s="17"/>
      <c r="N928"/>
      <c r="O928"/>
      <c r="P928" s="34"/>
      <c r="Q928"/>
    </row>
    <row r="929" spans="1:17" x14ac:dyDescent="0.25">
      <c r="A929" s="14"/>
      <c r="B929"/>
      <c r="C929" s="15"/>
      <c r="D929"/>
      <c r="E929"/>
      <c r="F929" s="16"/>
      <c r="G929"/>
      <c r="H929"/>
      <c r="I929" s="16"/>
      <c r="J929"/>
      <c r="K929"/>
      <c r="L929"/>
      <c r="M929" s="17"/>
      <c r="N929"/>
      <c r="O929"/>
      <c r="P929" s="34"/>
      <c r="Q929"/>
    </row>
    <row r="930" spans="1:17" x14ac:dyDescent="0.25">
      <c r="A930" s="14"/>
      <c r="B930"/>
      <c r="C930" s="15"/>
      <c r="D930"/>
      <c r="E930"/>
      <c r="F930" s="16"/>
      <c r="G930"/>
      <c r="H930"/>
      <c r="I930" s="16"/>
      <c r="J930"/>
      <c r="K930"/>
      <c r="L930"/>
      <c r="M930" s="17"/>
      <c r="N930"/>
      <c r="O930"/>
      <c r="P930" s="34"/>
      <c r="Q930"/>
    </row>
    <row r="931" spans="1:17" x14ac:dyDescent="0.25">
      <c r="A931" s="14"/>
      <c r="B931"/>
      <c r="C931" s="15"/>
      <c r="D931"/>
      <c r="E931"/>
      <c r="F931" s="16"/>
      <c r="G931"/>
      <c r="H931"/>
      <c r="I931" s="16"/>
      <c r="J931"/>
      <c r="K931"/>
      <c r="L931"/>
      <c r="M931" s="17"/>
      <c r="N931"/>
      <c r="O931"/>
      <c r="P931" s="34"/>
      <c r="Q931"/>
    </row>
    <row r="932" spans="1:17" x14ac:dyDescent="0.25">
      <c r="A932" s="14"/>
      <c r="B932"/>
      <c r="C932" s="15"/>
      <c r="D932"/>
      <c r="E932"/>
      <c r="F932" s="16"/>
      <c r="G932"/>
      <c r="H932"/>
      <c r="I932" s="16"/>
      <c r="J932"/>
      <c r="K932"/>
      <c r="L932"/>
      <c r="M932" s="17"/>
      <c r="N932"/>
      <c r="O932"/>
      <c r="P932" s="34"/>
      <c r="Q932"/>
    </row>
    <row r="933" spans="1:17" x14ac:dyDescent="0.25">
      <c r="A933" s="14"/>
      <c r="B933"/>
      <c r="C933" s="15"/>
      <c r="D933"/>
      <c r="E933"/>
      <c r="F933" s="16"/>
      <c r="G933"/>
      <c r="H933"/>
      <c r="I933" s="16"/>
      <c r="J933"/>
      <c r="K933"/>
      <c r="L933"/>
      <c r="M933" s="17"/>
      <c r="N933"/>
      <c r="O933"/>
      <c r="P933" s="34"/>
      <c r="Q933"/>
    </row>
    <row r="934" spans="1:17" x14ac:dyDescent="0.25">
      <c r="A934" s="14"/>
      <c r="B934"/>
      <c r="C934" s="15"/>
      <c r="D934"/>
      <c r="E934"/>
      <c r="F934" s="16"/>
      <c r="G934"/>
      <c r="H934"/>
      <c r="I934" s="16"/>
      <c r="J934"/>
      <c r="K934"/>
      <c r="L934"/>
      <c r="M934" s="17"/>
      <c r="N934"/>
      <c r="O934"/>
      <c r="P934" s="34"/>
      <c r="Q934"/>
    </row>
    <row r="935" spans="1:17" x14ac:dyDescent="0.25">
      <c r="A935" s="14"/>
      <c r="B935"/>
      <c r="C935" s="15"/>
      <c r="D935"/>
      <c r="E935"/>
      <c r="F935" s="16"/>
      <c r="G935"/>
      <c r="H935"/>
      <c r="I935" s="16"/>
      <c r="J935"/>
      <c r="K935"/>
      <c r="L935"/>
      <c r="M935" s="17"/>
      <c r="N935"/>
      <c r="O935"/>
      <c r="P935" s="34"/>
      <c r="Q935"/>
    </row>
    <row r="936" spans="1:17" x14ac:dyDescent="0.25">
      <c r="A936" s="14"/>
      <c r="B936"/>
      <c r="C936" s="15"/>
      <c r="D936"/>
      <c r="E936"/>
      <c r="F936" s="16"/>
      <c r="G936"/>
      <c r="H936"/>
      <c r="I936" s="16"/>
      <c r="J936"/>
      <c r="K936"/>
      <c r="L936"/>
      <c r="M936" s="17"/>
      <c r="N936"/>
      <c r="O936"/>
      <c r="P936" s="34"/>
      <c r="Q936"/>
    </row>
    <row r="937" spans="1:17" x14ac:dyDescent="0.25">
      <c r="A937" s="14"/>
      <c r="B937"/>
      <c r="C937" s="15"/>
      <c r="D937"/>
      <c r="E937"/>
      <c r="F937" s="16"/>
      <c r="G937"/>
      <c r="H937"/>
      <c r="I937" s="16"/>
      <c r="J937"/>
      <c r="K937"/>
      <c r="L937"/>
      <c r="M937" s="17"/>
      <c r="N937"/>
      <c r="O937"/>
      <c r="P937" s="34"/>
      <c r="Q937"/>
    </row>
    <row r="938" spans="1:17" x14ac:dyDescent="0.25">
      <c r="A938" s="14"/>
      <c r="B938"/>
      <c r="C938" s="15"/>
      <c r="D938"/>
      <c r="E938"/>
      <c r="F938" s="16"/>
      <c r="G938"/>
      <c r="H938"/>
      <c r="I938" s="16"/>
      <c r="J938"/>
      <c r="K938"/>
      <c r="L938"/>
      <c r="M938" s="17"/>
      <c r="N938"/>
      <c r="O938"/>
      <c r="P938" s="34"/>
      <c r="Q938"/>
    </row>
    <row r="939" spans="1:17" x14ac:dyDescent="0.25">
      <c r="A939" s="14"/>
      <c r="B939"/>
      <c r="C939" s="15"/>
      <c r="D939"/>
      <c r="E939"/>
      <c r="F939" s="16"/>
      <c r="G939"/>
      <c r="H939"/>
      <c r="I939" s="16"/>
      <c r="J939"/>
      <c r="K939"/>
      <c r="L939"/>
      <c r="M939" s="17"/>
      <c r="N939"/>
      <c r="O939"/>
      <c r="P939" s="34"/>
      <c r="Q939"/>
    </row>
    <row r="940" spans="1:17" x14ac:dyDescent="0.25">
      <c r="A940" s="14"/>
      <c r="B940"/>
      <c r="C940" s="15"/>
      <c r="D940"/>
      <c r="E940"/>
      <c r="F940" s="16"/>
      <c r="G940"/>
      <c r="H940"/>
      <c r="I940" s="16"/>
      <c r="J940"/>
      <c r="K940"/>
      <c r="L940"/>
      <c r="M940" s="17"/>
      <c r="N940"/>
      <c r="O940"/>
      <c r="P940" s="34"/>
      <c r="Q940"/>
    </row>
    <row r="941" spans="1:17" x14ac:dyDescent="0.25">
      <c r="A941" s="14"/>
      <c r="B941"/>
      <c r="C941" s="15"/>
      <c r="D941"/>
      <c r="E941"/>
      <c r="F941" s="16"/>
      <c r="G941"/>
      <c r="H941"/>
      <c r="I941" s="16"/>
      <c r="J941"/>
      <c r="K941"/>
      <c r="L941"/>
      <c r="M941" s="17"/>
      <c r="N941"/>
      <c r="O941"/>
      <c r="P941" s="34"/>
      <c r="Q941"/>
    </row>
    <row r="942" spans="1:17" x14ac:dyDescent="0.25">
      <c r="A942" s="14"/>
      <c r="B942"/>
      <c r="C942" s="15"/>
      <c r="D942"/>
      <c r="E942"/>
      <c r="F942" s="16"/>
      <c r="G942"/>
      <c r="H942"/>
      <c r="I942" s="16"/>
      <c r="J942"/>
      <c r="K942"/>
      <c r="L942"/>
      <c r="M942" s="17"/>
      <c r="N942"/>
      <c r="O942"/>
      <c r="P942" s="34"/>
      <c r="Q942"/>
    </row>
    <row r="943" spans="1:17" x14ac:dyDescent="0.25">
      <c r="A943" s="14"/>
      <c r="B943"/>
      <c r="C943" s="15"/>
      <c r="D943"/>
      <c r="E943"/>
      <c r="F943" s="16"/>
      <c r="G943"/>
      <c r="H943"/>
      <c r="I943" s="16"/>
      <c r="J943"/>
      <c r="K943"/>
      <c r="L943"/>
      <c r="M943" s="17"/>
      <c r="N943"/>
      <c r="O943"/>
      <c r="P943" s="34"/>
      <c r="Q943"/>
    </row>
    <row r="944" spans="1:17" x14ac:dyDescent="0.25">
      <c r="A944" s="14"/>
      <c r="B944"/>
      <c r="C944" s="15"/>
      <c r="D944"/>
      <c r="E944"/>
      <c r="F944" s="16"/>
      <c r="G944"/>
      <c r="H944"/>
      <c r="I944" s="16"/>
      <c r="J944"/>
      <c r="K944"/>
      <c r="L944"/>
      <c r="M944" s="17"/>
      <c r="N944"/>
      <c r="O944"/>
      <c r="P944" s="34"/>
      <c r="Q944"/>
    </row>
    <row r="945" spans="1:17" x14ac:dyDescent="0.25">
      <c r="A945" s="14"/>
      <c r="B945"/>
      <c r="C945" s="15"/>
      <c r="D945"/>
      <c r="E945"/>
      <c r="F945" s="16"/>
      <c r="G945"/>
      <c r="H945"/>
      <c r="I945" s="16"/>
      <c r="J945"/>
      <c r="K945"/>
      <c r="L945"/>
      <c r="M945" s="17"/>
      <c r="N945"/>
      <c r="O945"/>
      <c r="P945" s="34"/>
      <c r="Q945"/>
    </row>
    <row r="946" spans="1:17" x14ac:dyDescent="0.25">
      <c r="A946" s="14"/>
      <c r="B946"/>
      <c r="C946" s="15"/>
      <c r="D946"/>
      <c r="E946"/>
      <c r="F946" s="16"/>
      <c r="G946"/>
      <c r="H946"/>
      <c r="I946" s="16"/>
      <c r="J946"/>
      <c r="K946"/>
      <c r="L946"/>
      <c r="M946" s="17"/>
      <c r="N946"/>
      <c r="O946"/>
      <c r="P946" s="34"/>
      <c r="Q946"/>
    </row>
    <row r="947" spans="1:17" x14ac:dyDescent="0.25">
      <c r="A947" s="14"/>
      <c r="B947"/>
      <c r="C947" s="15"/>
      <c r="D947"/>
      <c r="E947"/>
      <c r="F947" s="16"/>
      <c r="G947"/>
      <c r="H947"/>
      <c r="I947" s="16"/>
      <c r="J947"/>
      <c r="K947"/>
      <c r="L947"/>
      <c r="M947" s="17"/>
      <c r="N947"/>
      <c r="O947"/>
      <c r="P947" s="34"/>
      <c r="Q947"/>
    </row>
    <row r="948" spans="1:17" x14ac:dyDescent="0.25">
      <c r="A948" s="14"/>
      <c r="B948"/>
      <c r="C948" s="15"/>
      <c r="D948"/>
      <c r="E948"/>
      <c r="F948" s="16"/>
      <c r="G948"/>
      <c r="H948"/>
      <c r="I948" s="16"/>
      <c r="J948"/>
      <c r="K948"/>
      <c r="L948"/>
      <c r="M948" s="17"/>
      <c r="N948"/>
      <c r="O948"/>
      <c r="P948" s="34"/>
      <c r="Q948"/>
    </row>
    <row r="949" spans="1:17" x14ac:dyDescent="0.25">
      <c r="A949" s="14"/>
      <c r="B949"/>
      <c r="C949" s="15"/>
      <c r="D949"/>
      <c r="E949"/>
      <c r="F949" s="16"/>
      <c r="G949"/>
      <c r="H949"/>
      <c r="I949" s="16"/>
      <c r="J949"/>
      <c r="K949"/>
      <c r="L949"/>
      <c r="M949" s="17"/>
      <c r="N949"/>
      <c r="O949"/>
      <c r="P949" s="34"/>
      <c r="Q949"/>
    </row>
    <row r="950" spans="1:17" x14ac:dyDescent="0.25">
      <c r="A950" s="14"/>
      <c r="B950"/>
      <c r="C950" s="15"/>
      <c r="D950"/>
      <c r="E950"/>
      <c r="F950" s="16"/>
      <c r="G950"/>
      <c r="H950"/>
      <c r="I950" s="16"/>
      <c r="J950"/>
      <c r="K950"/>
      <c r="L950"/>
      <c r="M950" s="17"/>
      <c r="N950"/>
      <c r="O950"/>
      <c r="P950" s="34"/>
      <c r="Q950"/>
    </row>
    <row r="951" spans="1:17" x14ac:dyDescent="0.25">
      <c r="A951" s="14"/>
      <c r="B951"/>
      <c r="C951" s="15"/>
      <c r="D951"/>
      <c r="E951"/>
      <c r="F951" s="16"/>
      <c r="G951"/>
      <c r="H951"/>
      <c r="I951" s="16"/>
      <c r="J951"/>
      <c r="K951"/>
      <c r="L951"/>
      <c r="M951" s="17"/>
      <c r="N951"/>
      <c r="O951"/>
      <c r="P951" s="34"/>
      <c r="Q951"/>
    </row>
    <row r="952" spans="1:17" x14ac:dyDescent="0.25">
      <c r="A952" s="14"/>
      <c r="B952"/>
      <c r="C952" s="15"/>
      <c r="D952"/>
      <c r="E952"/>
      <c r="F952" s="16"/>
      <c r="G952"/>
      <c r="H952"/>
      <c r="I952" s="16"/>
      <c r="J952"/>
      <c r="K952"/>
      <c r="L952"/>
      <c r="M952" s="17"/>
      <c r="N952"/>
      <c r="O952"/>
      <c r="P952" s="34"/>
      <c r="Q952"/>
    </row>
    <row r="953" spans="1:17" x14ac:dyDescent="0.25">
      <c r="A953" s="14"/>
      <c r="B953"/>
      <c r="C953" s="15"/>
      <c r="D953"/>
      <c r="E953"/>
      <c r="F953" s="16"/>
      <c r="G953"/>
      <c r="H953"/>
      <c r="I953" s="16"/>
      <c r="J953"/>
      <c r="K953"/>
      <c r="L953"/>
      <c r="M953" s="17"/>
      <c r="N953"/>
      <c r="O953"/>
      <c r="P953" s="34"/>
      <c r="Q953"/>
    </row>
    <row r="954" spans="1:17" x14ac:dyDescent="0.25">
      <c r="A954" s="14"/>
      <c r="B954"/>
      <c r="C954" s="15"/>
      <c r="D954"/>
      <c r="E954"/>
      <c r="F954" s="16"/>
      <c r="G954"/>
      <c r="H954"/>
      <c r="I954" s="16"/>
      <c r="J954"/>
      <c r="K954"/>
      <c r="L954"/>
      <c r="M954" s="17"/>
      <c r="N954"/>
      <c r="O954"/>
      <c r="P954" s="34"/>
      <c r="Q954"/>
    </row>
    <row r="955" spans="1:17" x14ac:dyDescent="0.25">
      <c r="A955" s="14"/>
      <c r="B955"/>
      <c r="C955" s="15"/>
      <c r="D955"/>
      <c r="E955"/>
      <c r="F955" s="16"/>
      <c r="G955"/>
      <c r="H955"/>
      <c r="I955" s="16"/>
      <c r="J955"/>
      <c r="K955"/>
      <c r="L955"/>
      <c r="M955" s="17"/>
      <c r="N955"/>
      <c r="O955"/>
      <c r="P955" s="34"/>
      <c r="Q955"/>
    </row>
    <row r="956" spans="1:17" x14ac:dyDescent="0.25">
      <c r="A956" s="14"/>
      <c r="B956"/>
      <c r="C956" s="15"/>
      <c r="D956"/>
      <c r="E956"/>
      <c r="F956" s="16"/>
      <c r="G956"/>
      <c r="H956"/>
      <c r="I956" s="16"/>
      <c r="J956"/>
      <c r="K956"/>
      <c r="L956"/>
      <c r="M956" s="17"/>
      <c r="N956"/>
      <c r="O956"/>
      <c r="P956" s="34"/>
      <c r="Q956"/>
    </row>
    <row r="957" spans="1:17" x14ac:dyDescent="0.25">
      <c r="A957" s="14"/>
      <c r="B957"/>
      <c r="C957" s="15"/>
      <c r="D957"/>
      <c r="E957"/>
      <c r="F957" s="16"/>
      <c r="G957"/>
      <c r="H957"/>
      <c r="I957" s="16"/>
      <c r="J957"/>
      <c r="K957"/>
      <c r="L957"/>
      <c r="M957" s="17"/>
      <c r="N957"/>
      <c r="O957"/>
      <c r="P957" s="34"/>
      <c r="Q957"/>
    </row>
    <row r="958" spans="1:17" x14ac:dyDescent="0.25">
      <c r="A958" s="14"/>
      <c r="B958"/>
      <c r="C958" s="15"/>
      <c r="D958"/>
      <c r="E958"/>
      <c r="F958" s="16"/>
      <c r="G958"/>
      <c r="H958"/>
      <c r="I958" s="16"/>
      <c r="J958"/>
      <c r="K958"/>
      <c r="L958"/>
      <c r="M958" s="17"/>
      <c r="N958"/>
      <c r="O958"/>
      <c r="P958" s="34"/>
      <c r="Q958"/>
    </row>
    <row r="959" spans="1:17" x14ac:dyDescent="0.25">
      <c r="A959" s="14"/>
      <c r="B959"/>
      <c r="C959" s="15"/>
      <c r="D959"/>
      <c r="E959"/>
      <c r="F959" s="16"/>
      <c r="G959"/>
      <c r="H959"/>
      <c r="I959" s="16"/>
      <c r="J959"/>
      <c r="K959"/>
      <c r="L959"/>
      <c r="M959" s="17"/>
      <c r="N959"/>
      <c r="O959"/>
      <c r="P959" s="34"/>
      <c r="Q959"/>
    </row>
    <row r="960" spans="1:17" x14ac:dyDescent="0.25">
      <c r="A960" s="14"/>
      <c r="B960"/>
      <c r="C960" s="15"/>
      <c r="D960"/>
      <c r="E960"/>
      <c r="F960" s="16"/>
      <c r="G960"/>
      <c r="H960"/>
      <c r="I960" s="16"/>
      <c r="J960"/>
      <c r="K960"/>
      <c r="L960"/>
      <c r="M960" s="17"/>
      <c r="N960"/>
      <c r="O960"/>
      <c r="P960" s="34"/>
      <c r="Q960"/>
    </row>
    <row r="961" spans="1:17" x14ac:dyDescent="0.25">
      <c r="A961" s="14"/>
      <c r="B961"/>
      <c r="C961" s="15"/>
      <c r="D961"/>
      <c r="E961"/>
      <c r="F961" s="16"/>
      <c r="G961"/>
      <c r="H961"/>
      <c r="I961" s="16"/>
      <c r="J961"/>
      <c r="K961"/>
      <c r="L961"/>
      <c r="M961" s="17"/>
      <c r="N961"/>
      <c r="O961"/>
      <c r="P961" s="34"/>
      <c r="Q961"/>
    </row>
    <row r="962" spans="1:17" x14ac:dyDescent="0.25">
      <c r="A962" s="14"/>
      <c r="B962"/>
      <c r="C962" s="15"/>
      <c r="D962"/>
      <c r="E962"/>
      <c r="F962" s="16"/>
      <c r="G962"/>
      <c r="H962"/>
      <c r="I962" s="16"/>
      <c r="J962"/>
      <c r="K962"/>
      <c r="L962"/>
      <c r="M962" s="17"/>
      <c r="N962"/>
      <c r="O962"/>
      <c r="P962" s="34"/>
      <c r="Q962"/>
    </row>
    <row r="963" spans="1:17" x14ac:dyDescent="0.25">
      <c r="A963" s="14"/>
      <c r="B963"/>
      <c r="C963" s="15"/>
      <c r="D963"/>
      <c r="E963"/>
      <c r="F963" s="16"/>
      <c r="G963"/>
      <c r="H963"/>
      <c r="I963" s="16"/>
      <c r="J963"/>
      <c r="K963"/>
      <c r="L963"/>
      <c r="M963" s="17"/>
      <c r="N963"/>
      <c r="O963"/>
      <c r="P963" s="34"/>
      <c r="Q963"/>
    </row>
    <row r="964" spans="1:17" x14ac:dyDescent="0.25">
      <c r="A964" s="14"/>
      <c r="B964"/>
      <c r="C964" s="15"/>
      <c r="D964"/>
      <c r="E964"/>
      <c r="F964" s="16"/>
      <c r="G964"/>
      <c r="H964"/>
      <c r="I964" s="16"/>
      <c r="J964"/>
      <c r="K964"/>
      <c r="L964"/>
      <c r="M964" s="17"/>
      <c r="N964"/>
      <c r="O964"/>
      <c r="P964" s="34"/>
      <c r="Q964"/>
    </row>
    <row r="965" spans="1:17" x14ac:dyDescent="0.25">
      <c r="A965" s="14"/>
      <c r="B965"/>
      <c r="C965" s="15"/>
      <c r="D965"/>
      <c r="E965"/>
      <c r="F965" s="16"/>
      <c r="G965"/>
      <c r="H965"/>
      <c r="I965" s="16"/>
      <c r="J965"/>
      <c r="K965"/>
      <c r="L965"/>
      <c r="M965" s="17"/>
      <c r="N965"/>
      <c r="O965"/>
      <c r="P965" s="34"/>
      <c r="Q965"/>
    </row>
    <row r="966" spans="1:17" x14ac:dyDescent="0.25">
      <c r="A966" s="14"/>
      <c r="B966"/>
      <c r="C966" s="15"/>
      <c r="D966"/>
      <c r="E966"/>
      <c r="F966" s="16"/>
      <c r="G966"/>
      <c r="H966"/>
      <c r="I966" s="16"/>
      <c r="J966"/>
      <c r="K966"/>
      <c r="L966"/>
      <c r="M966" s="17"/>
      <c r="N966"/>
      <c r="O966"/>
      <c r="P966" s="34"/>
      <c r="Q966"/>
    </row>
    <row r="967" spans="1:17" x14ac:dyDescent="0.25">
      <c r="A967" s="14"/>
      <c r="B967"/>
      <c r="C967" s="15"/>
      <c r="D967"/>
      <c r="E967"/>
      <c r="F967" s="16"/>
      <c r="G967"/>
      <c r="H967"/>
      <c r="I967" s="16"/>
      <c r="J967"/>
      <c r="K967"/>
      <c r="L967"/>
      <c r="M967" s="17"/>
      <c r="N967"/>
      <c r="O967"/>
      <c r="P967" s="34"/>
      <c r="Q967"/>
    </row>
    <row r="968" spans="1:17" x14ac:dyDescent="0.25">
      <c r="A968" s="14"/>
      <c r="B968"/>
      <c r="C968" s="15"/>
      <c r="D968"/>
      <c r="E968"/>
      <c r="F968" s="16"/>
      <c r="G968"/>
      <c r="H968"/>
      <c r="I968" s="16"/>
      <c r="J968"/>
      <c r="K968"/>
      <c r="L968"/>
      <c r="M968" s="17"/>
      <c r="N968"/>
      <c r="O968"/>
      <c r="P968" s="34"/>
      <c r="Q968"/>
    </row>
    <row r="969" spans="1:17" x14ac:dyDescent="0.25">
      <c r="A969" s="14"/>
      <c r="B969"/>
      <c r="C969" s="15"/>
      <c r="D969"/>
      <c r="E969"/>
      <c r="F969" s="16"/>
      <c r="G969"/>
      <c r="H969"/>
      <c r="I969" s="16"/>
      <c r="J969"/>
      <c r="K969"/>
      <c r="L969"/>
      <c r="M969" s="17"/>
      <c r="N969"/>
      <c r="O969"/>
      <c r="P969" s="34"/>
      <c r="Q969"/>
    </row>
    <row r="970" spans="1:17" x14ac:dyDescent="0.25">
      <c r="A970" s="14"/>
      <c r="B970"/>
      <c r="C970" s="15"/>
      <c r="D970"/>
      <c r="E970"/>
      <c r="F970" s="16"/>
      <c r="G970"/>
      <c r="H970"/>
      <c r="I970" s="16"/>
      <c r="J970"/>
      <c r="K970"/>
      <c r="L970"/>
      <c r="M970" s="17"/>
      <c r="N970"/>
      <c r="O970"/>
      <c r="P970" s="34"/>
      <c r="Q970"/>
    </row>
    <row r="971" spans="1:17" x14ac:dyDescent="0.25">
      <c r="A971" s="14"/>
      <c r="B971"/>
      <c r="C971" s="15"/>
      <c r="D971"/>
      <c r="E971"/>
      <c r="F971" s="16"/>
      <c r="G971"/>
      <c r="H971"/>
      <c r="I971" s="16"/>
      <c r="J971"/>
      <c r="K971"/>
      <c r="L971"/>
      <c r="M971" s="17"/>
      <c r="N971"/>
      <c r="O971"/>
      <c r="P971" s="34"/>
      <c r="Q971"/>
    </row>
    <row r="972" spans="1:17" x14ac:dyDescent="0.25">
      <c r="A972" s="14"/>
      <c r="B972"/>
      <c r="C972" s="15"/>
      <c r="D972"/>
      <c r="E972"/>
      <c r="F972" s="16"/>
      <c r="G972"/>
      <c r="H972"/>
      <c r="I972" s="16"/>
      <c r="J972"/>
      <c r="K972"/>
      <c r="L972"/>
      <c r="M972" s="17"/>
      <c r="N972"/>
      <c r="O972"/>
      <c r="P972" s="34"/>
      <c r="Q972"/>
    </row>
    <row r="973" spans="1:17" x14ac:dyDescent="0.25">
      <c r="A973" s="14"/>
      <c r="B973"/>
      <c r="C973" s="15"/>
      <c r="D973"/>
      <c r="E973"/>
      <c r="F973" s="16"/>
      <c r="G973"/>
      <c r="H973"/>
      <c r="I973" s="16"/>
      <c r="J973"/>
      <c r="K973"/>
      <c r="L973"/>
      <c r="M973" s="17"/>
      <c r="N973"/>
      <c r="O973"/>
      <c r="P973" s="34"/>
      <c r="Q973"/>
    </row>
    <row r="974" spans="1:17" x14ac:dyDescent="0.25">
      <c r="A974" s="14"/>
      <c r="B974"/>
      <c r="C974" s="15"/>
      <c r="D974"/>
      <c r="E974"/>
      <c r="F974" s="16"/>
      <c r="G974"/>
      <c r="H974"/>
      <c r="I974" s="16"/>
      <c r="J974"/>
      <c r="K974"/>
      <c r="L974"/>
      <c r="M974" s="17"/>
      <c r="N974"/>
      <c r="O974"/>
      <c r="P974" s="34"/>
      <c r="Q974"/>
    </row>
    <row r="975" spans="1:17" x14ac:dyDescent="0.25">
      <c r="A975" s="14"/>
      <c r="B975"/>
      <c r="C975" s="15"/>
      <c r="D975"/>
      <c r="E975"/>
      <c r="F975" s="16"/>
      <c r="G975"/>
      <c r="H975"/>
      <c r="I975" s="16"/>
      <c r="J975"/>
      <c r="K975"/>
      <c r="L975"/>
      <c r="M975" s="17"/>
      <c r="N975"/>
      <c r="O975"/>
      <c r="P975" s="34"/>
      <c r="Q975"/>
    </row>
    <row r="976" spans="1:17" x14ac:dyDescent="0.25">
      <c r="A976" s="14"/>
      <c r="B976"/>
      <c r="C976" s="15"/>
      <c r="D976"/>
      <c r="E976"/>
      <c r="F976" s="16"/>
      <c r="G976"/>
      <c r="H976"/>
      <c r="I976" s="16"/>
      <c r="J976"/>
      <c r="K976"/>
      <c r="L976"/>
      <c r="M976" s="17"/>
      <c r="N976"/>
      <c r="O976"/>
      <c r="P976" s="34"/>
      <c r="Q976"/>
    </row>
    <row r="977" spans="1:17" x14ac:dyDescent="0.25">
      <c r="A977" s="14"/>
      <c r="B977"/>
      <c r="C977" s="15"/>
      <c r="D977"/>
      <c r="E977"/>
      <c r="F977" s="16"/>
      <c r="G977"/>
      <c r="H977"/>
      <c r="I977" s="16"/>
      <c r="J977"/>
      <c r="K977"/>
      <c r="L977"/>
      <c r="M977" s="17"/>
      <c r="N977"/>
      <c r="O977"/>
      <c r="P977" s="34"/>
      <c r="Q977"/>
    </row>
    <row r="978" spans="1:17" x14ac:dyDescent="0.25">
      <c r="A978" s="14"/>
      <c r="B978"/>
      <c r="C978" s="15"/>
      <c r="D978"/>
      <c r="E978"/>
      <c r="F978" s="16"/>
      <c r="G978"/>
      <c r="H978"/>
      <c r="I978" s="16"/>
      <c r="J978"/>
      <c r="K978"/>
      <c r="L978"/>
      <c r="M978" s="17"/>
      <c r="N978"/>
      <c r="O978"/>
      <c r="P978" s="34"/>
      <c r="Q978"/>
    </row>
    <row r="979" spans="1:17" x14ac:dyDescent="0.25">
      <c r="A979" s="14"/>
      <c r="B979"/>
      <c r="C979" s="15"/>
      <c r="D979"/>
      <c r="E979"/>
      <c r="F979" s="16"/>
      <c r="G979"/>
      <c r="H979"/>
      <c r="I979" s="16"/>
      <c r="J979"/>
      <c r="K979"/>
      <c r="L979"/>
      <c r="M979" s="17"/>
      <c r="N979"/>
      <c r="O979"/>
      <c r="P979" s="34"/>
      <c r="Q979"/>
    </row>
    <row r="980" spans="1:17" x14ac:dyDescent="0.25">
      <c r="A980" s="14"/>
      <c r="B980"/>
      <c r="C980" s="15"/>
      <c r="D980"/>
      <c r="E980"/>
      <c r="F980" s="16"/>
      <c r="G980"/>
      <c r="H980"/>
      <c r="I980" s="16"/>
      <c r="J980"/>
      <c r="K980"/>
      <c r="L980"/>
      <c r="M980" s="17"/>
      <c r="N980"/>
      <c r="O980"/>
      <c r="P980" s="34"/>
      <c r="Q980"/>
    </row>
    <row r="981" spans="1:17" x14ac:dyDescent="0.25">
      <c r="A981" s="14"/>
      <c r="B981"/>
      <c r="C981" s="15"/>
      <c r="D981"/>
      <c r="E981"/>
      <c r="F981" s="16"/>
      <c r="G981"/>
      <c r="H981"/>
      <c r="I981" s="16"/>
      <c r="J981"/>
      <c r="K981"/>
      <c r="L981"/>
      <c r="M981" s="17"/>
      <c r="N981"/>
      <c r="O981"/>
      <c r="P981" s="34"/>
      <c r="Q981"/>
    </row>
    <row r="982" spans="1:17" x14ac:dyDescent="0.25">
      <c r="A982" s="14"/>
      <c r="B982"/>
      <c r="C982" s="15"/>
      <c r="D982"/>
      <c r="E982"/>
      <c r="F982" s="16"/>
      <c r="G982"/>
      <c r="H982"/>
      <c r="I982" s="16"/>
      <c r="J982"/>
      <c r="K982"/>
      <c r="L982"/>
      <c r="M982" s="17"/>
      <c r="N982"/>
      <c r="O982"/>
      <c r="P982" s="34"/>
      <c r="Q982"/>
    </row>
    <row r="983" spans="1:17" x14ac:dyDescent="0.25">
      <c r="A983" s="14"/>
      <c r="B983"/>
      <c r="C983" s="15"/>
      <c r="D983"/>
      <c r="E983"/>
      <c r="F983" s="16"/>
      <c r="G983"/>
      <c r="H983"/>
      <c r="I983" s="16"/>
      <c r="J983"/>
      <c r="K983"/>
      <c r="L983"/>
      <c r="M983" s="17"/>
      <c r="N983"/>
      <c r="O983"/>
      <c r="P983" s="34"/>
      <c r="Q983"/>
    </row>
    <row r="984" spans="1:17" x14ac:dyDescent="0.25">
      <c r="A984" s="14"/>
      <c r="B984"/>
      <c r="C984" s="15"/>
      <c r="D984"/>
      <c r="E984"/>
      <c r="F984" s="16"/>
      <c r="G984"/>
      <c r="H984"/>
      <c r="I984" s="16"/>
      <c r="J984"/>
      <c r="K984"/>
      <c r="L984"/>
      <c r="M984" s="17"/>
      <c r="N984"/>
      <c r="O984"/>
      <c r="P984" s="34"/>
      <c r="Q984"/>
    </row>
    <row r="985" spans="1:17" x14ac:dyDescent="0.25">
      <c r="A985" s="14"/>
      <c r="B985"/>
      <c r="C985" s="15"/>
      <c r="D985"/>
      <c r="E985"/>
      <c r="F985" s="16"/>
      <c r="G985"/>
      <c r="H985"/>
      <c r="I985" s="16"/>
      <c r="J985"/>
      <c r="K985"/>
      <c r="L985"/>
      <c r="M985" s="17"/>
      <c r="N985"/>
      <c r="O985"/>
      <c r="P985" s="34"/>
      <c r="Q985"/>
    </row>
    <row r="986" spans="1:17" x14ac:dyDescent="0.25">
      <c r="A986" s="14"/>
      <c r="B986"/>
      <c r="C986" s="15"/>
      <c r="D986"/>
      <c r="E986"/>
      <c r="F986" s="16"/>
      <c r="G986"/>
      <c r="H986"/>
      <c r="I986" s="16"/>
      <c r="J986"/>
      <c r="K986"/>
      <c r="L986"/>
      <c r="M986" s="17"/>
      <c r="N986"/>
      <c r="O986"/>
      <c r="P986" s="34"/>
      <c r="Q986"/>
    </row>
    <row r="987" spans="1:17" x14ac:dyDescent="0.25">
      <c r="A987" s="14"/>
      <c r="B987"/>
      <c r="C987" s="15"/>
      <c r="D987"/>
      <c r="E987"/>
      <c r="F987" s="16"/>
      <c r="G987"/>
      <c r="H987"/>
      <c r="I987" s="16"/>
      <c r="J987"/>
      <c r="K987"/>
      <c r="L987"/>
      <c r="M987" s="17"/>
      <c r="N987"/>
      <c r="O987"/>
      <c r="P987" s="34"/>
      <c r="Q987"/>
    </row>
    <row r="988" spans="1:17" x14ac:dyDescent="0.25">
      <c r="A988" s="14"/>
      <c r="B988"/>
      <c r="C988" s="15"/>
      <c r="D988"/>
      <c r="E988"/>
      <c r="F988" s="16"/>
      <c r="G988"/>
      <c r="H988"/>
      <c r="I988" s="16"/>
      <c r="J988"/>
      <c r="K988"/>
      <c r="L988"/>
      <c r="M988" s="17"/>
      <c r="N988"/>
      <c r="O988"/>
      <c r="P988" s="34"/>
      <c r="Q988"/>
    </row>
    <row r="989" spans="1:17" x14ac:dyDescent="0.25">
      <c r="A989" s="14"/>
      <c r="B989"/>
      <c r="C989" s="15"/>
      <c r="D989"/>
      <c r="E989"/>
      <c r="F989" s="16"/>
      <c r="G989"/>
      <c r="H989"/>
      <c r="I989" s="16"/>
      <c r="J989"/>
      <c r="K989"/>
      <c r="L989"/>
      <c r="M989" s="17"/>
      <c r="N989"/>
      <c r="O989"/>
      <c r="P989" s="34"/>
      <c r="Q989"/>
    </row>
    <row r="990" spans="1:17" x14ac:dyDescent="0.25">
      <c r="A990" s="14"/>
      <c r="B990"/>
      <c r="C990" s="15"/>
      <c r="D990"/>
      <c r="E990"/>
      <c r="F990" s="16"/>
      <c r="G990"/>
      <c r="H990"/>
      <c r="I990" s="16"/>
      <c r="J990"/>
      <c r="K990"/>
      <c r="L990"/>
      <c r="M990" s="17"/>
      <c r="N990"/>
      <c r="O990"/>
      <c r="P990" s="34"/>
      <c r="Q990"/>
    </row>
    <row r="991" spans="1:17" x14ac:dyDescent="0.25">
      <c r="A991" s="14"/>
      <c r="B991"/>
      <c r="C991" s="15"/>
      <c r="D991"/>
      <c r="E991"/>
      <c r="F991" s="16"/>
      <c r="G991"/>
      <c r="H991"/>
      <c r="I991" s="16"/>
      <c r="J991"/>
      <c r="K991"/>
      <c r="L991"/>
      <c r="M991" s="17"/>
      <c r="N991"/>
      <c r="O991"/>
      <c r="P991" s="34"/>
      <c r="Q991"/>
    </row>
    <row r="992" spans="1:17" x14ac:dyDescent="0.25">
      <c r="A992" s="14"/>
      <c r="B992"/>
      <c r="C992" s="15"/>
      <c r="D992"/>
      <c r="E992"/>
      <c r="F992" s="16"/>
      <c r="G992"/>
      <c r="H992"/>
      <c r="I992" s="16"/>
      <c r="J992"/>
      <c r="K992"/>
      <c r="L992"/>
      <c r="M992" s="17"/>
      <c r="N992"/>
      <c r="O992"/>
      <c r="P992" s="34"/>
      <c r="Q992"/>
    </row>
    <row r="993" spans="1:17" x14ac:dyDescent="0.25">
      <c r="A993" s="14"/>
      <c r="B993"/>
      <c r="C993" s="15"/>
      <c r="D993"/>
      <c r="E993"/>
      <c r="F993" s="16"/>
      <c r="G993"/>
      <c r="H993"/>
      <c r="I993" s="16"/>
      <c r="J993"/>
      <c r="K993"/>
      <c r="L993"/>
      <c r="M993" s="17"/>
      <c r="N993"/>
      <c r="O993"/>
      <c r="P993" s="34"/>
      <c r="Q993"/>
    </row>
    <row r="994" spans="1:17" x14ac:dyDescent="0.25">
      <c r="A994" s="14"/>
      <c r="B994"/>
      <c r="C994" s="15"/>
      <c r="D994"/>
      <c r="E994"/>
      <c r="F994" s="16"/>
      <c r="G994"/>
      <c r="H994"/>
      <c r="I994" s="16"/>
      <c r="J994"/>
      <c r="K994"/>
      <c r="L994"/>
      <c r="M994" s="17"/>
      <c r="N994"/>
      <c r="O994"/>
      <c r="P994" s="34"/>
      <c r="Q994"/>
    </row>
    <row r="995" spans="1:17" x14ac:dyDescent="0.25">
      <c r="A995" s="14"/>
      <c r="B995"/>
      <c r="C995" s="15"/>
      <c r="D995"/>
      <c r="E995"/>
      <c r="F995" s="16"/>
      <c r="G995"/>
      <c r="H995"/>
      <c r="I995" s="16"/>
      <c r="J995"/>
      <c r="K995"/>
      <c r="L995"/>
      <c r="M995" s="17"/>
      <c r="N995"/>
      <c r="O995"/>
      <c r="P995" s="34"/>
      <c r="Q995"/>
    </row>
    <row r="996" spans="1:17" x14ac:dyDescent="0.25">
      <c r="A996" s="14"/>
      <c r="B996"/>
      <c r="C996" s="15"/>
      <c r="D996"/>
      <c r="E996"/>
      <c r="F996" s="16"/>
      <c r="G996"/>
      <c r="H996"/>
      <c r="I996" s="16"/>
      <c r="J996"/>
      <c r="K996"/>
      <c r="L996"/>
      <c r="M996" s="17"/>
      <c r="N996"/>
      <c r="O996"/>
      <c r="P996" s="34"/>
      <c r="Q996"/>
    </row>
    <row r="997" spans="1:17" x14ac:dyDescent="0.25">
      <c r="A997" s="14"/>
      <c r="B997"/>
      <c r="C997" s="15"/>
      <c r="D997"/>
      <c r="E997"/>
      <c r="F997" s="16"/>
      <c r="G997"/>
      <c r="H997"/>
      <c r="I997" s="16"/>
      <c r="J997"/>
      <c r="K997"/>
      <c r="L997"/>
      <c r="M997" s="17"/>
      <c r="N997"/>
      <c r="O997"/>
      <c r="P997" s="34"/>
      <c r="Q997"/>
    </row>
    <row r="998" spans="1:17" x14ac:dyDescent="0.25">
      <c r="A998" s="14"/>
      <c r="B998"/>
      <c r="C998" s="15"/>
      <c r="D998"/>
      <c r="E998"/>
      <c r="F998" s="16"/>
      <c r="G998"/>
      <c r="H998"/>
      <c r="I998" s="16"/>
      <c r="J998"/>
      <c r="K998"/>
      <c r="L998"/>
      <c r="M998" s="17"/>
      <c r="N998"/>
      <c r="O998"/>
      <c r="P998" s="34"/>
      <c r="Q998"/>
    </row>
    <row r="999" spans="1:17" x14ac:dyDescent="0.25">
      <c r="A999" s="14"/>
      <c r="B999"/>
      <c r="C999" s="15"/>
      <c r="D999"/>
      <c r="E999"/>
      <c r="F999" s="16"/>
      <c r="G999"/>
      <c r="H999"/>
      <c r="I999" s="16"/>
      <c r="J999"/>
      <c r="K999"/>
      <c r="L999"/>
      <c r="M999" s="17"/>
      <c r="N999"/>
      <c r="O999"/>
      <c r="P999" s="34"/>
      <c r="Q999"/>
    </row>
    <row r="1000" spans="1:17" x14ac:dyDescent="0.25">
      <c r="A1000" s="14"/>
      <c r="B1000"/>
      <c r="C1000" s="15"/>
      <c r="D1000"/>
      <c r="E1000"/>
      <c r="F1000" s="16"/>
      <c r="G1000"/>
      <c r="H1000"/>
      <c r="I1000" s="16"/>
      <c r="J1000"/>
      <c r="K1000"/>
      <c r="L1000"/>
      <c r="M1000" s="17"/>
      <c r="N1000"/>
      <c r="O1000"/>
      <c r="P1000" s="34"/>
      <c r="Q1000"/>
    </row>
    <row r="1001" spans="1:17" x14ac:dyDescent="0.25">
      <c r="A1001" s="14"/>
      <c r="B1001"/>
      <c r="C1001" s="15"/>
      <c r="D1001"/>
      <c r="E1001"/>
      <c r="F1001" s="16"/>
      <c r="G1001"/>
      <c r="H1001"/>
      <c r="I1001" s="16"/>
      <c r="J1001"/>
      <c r="K1001"/>
      <c r="L1001"/>
      <c r="M1001" s="17"/>
      <c r="N1001"/>
      <c r="O1001"/>
      <c r="P1001" s="34"/>
      <c r="Q1001"/>
    </row>
    <row r="1002" spans="1:17" x14ac:dyDescent="0.25">
      <c r="A1002" s="14"/>
      <c r="B1002"/>
      <c r="C1002" s="15"/>
      <c r="D1002"/>
      <c r="E1002"/>
      <c r="F1002" s="16"/>
      <c r="G1002"/>
      <c r="H1002"/>
      <c r="I1002" s="16"/>
      <c r="J1002"/>
      <c r="K1002"/>
      <c r="L1002"/>
      <c r="M1002" s="17"/>
      <c r="N1002"/>
      <c r="O1002"/>
      <c r="P1002" s="34"/>
      <c r="Q1002"/>
    </row>
    <row r="1003" spans="1:17" x14ac:dyDescent="0.25">
      <c r="A1003" s="14"/>
      <c r="B1003"/>
      <c r="C1003" s="15"/>
      <c r="D1003"/>
      <c r="E1003"/>
      <c r="F1003" s="16"/>
      <c r="G1003"/>
      <c r="H1003"/>
      <c r="I1003" s="16"/>
      <c r="J1003"/>
      <c r="K1003"/>
      <c r="L1003"/>
      <c r="M1003" s="17"/>
      <c r="N1003"/>
      <c r="O1003"/>
      <c r="P1003" s="34"/>
      <c r="Q1003"/>
    </row>
    <row r="1004" spans="1:17" x14ac:dyDescent="0.25">
      <c r="A1004" s="14"/>
      <c r="B1004"/>
      <c r="C1004" s="15"/>
      <c r="D1004"/>
      <c r="E1004"/>
      <c r="F1004" s="16"/>
      <c r="G1004"/>
      <c r="H1004"/>
      <c r="I1004" s="16"/>
      <c r="J1004"/>
      <c r="K1004"/>
      <c r="L1004"/>
      <c r="M1004" s="17"/>
      <c r="N1004"/>
      <c r="O1004"/>
      <c r="P1004" s="34"/>
      <c r="Q1004"/>
    </row>
    <row r="1005" spans="1:17" x14ac:dyDescent="0.25">
      <c r="A1005" s="14"/>
      <c r="B1005"/>
      <c r="C1005" s="15"/>
      <c r="D1005"/>
      <c r="E1005"/>
      <c r="F1005" s="16"/>
      <c r="G1005"/>
      <c r="H1005"/>
      <c r="I1005" s="16"/>
      <c r="J1005"/>
      <c r="K1005"/>
      <c r="L1005"/>
      <c r="M1005" s="17"/>
      <c r="N1005"/>
      <c r="O1005"/>
      <c r="P1005" s="34"/>
      <c r="Q1005"/>
    </row>
    <row r="1006" spans="1:17" x14ac:dyDescent="0.25">
      <c r="A1006" s="14"/>
      <c r="B1006"/>
      <c r="C1006" s="15"/>
      <c r="D1006"/>
      <c r="E1006"/>
      <c r="F1006" s="16"/>
      <c r="G1006"/>
      <c r="H1006"/>
      <c r="I1006" s="16"/>
      <c r="J1006"/>
      <c r="K1006"/>
      <c r="L1006"/>
      <c r="M1006" s="17"/>
      <c r="N1006"/>
      <c r="O1006"/>
      <c r="P1006" s="34"/>
      <c r="Q1006"/>
    </row>
    <row r="1007" spans="1:17" x14ac:dyDescent="0.25">
      <c r="A1007" s="14"/>
      <c r="B1007"/>
      <c r="C1007" s="15"/>
      <c r="D1007"/>
      <c r="E1007"/>
      <c r="F1007" s="16"/>
      <c r="G1007"/>
      <c r="H1007"/>
      <c r="I1007" s="16"/>
      <c r="J1007"/>
      <c r="K1007"/>
      <c r="L1007"/>
      <c r="M1007" s="17"/>
      <c r="N1007"/>
      <c r="O1007"/>
      <c r="P1007" s="34"/>
      <c r="Q1007"/>
    </row>
    <row r="1008" spans="1:17" x14ac:dyDescent="0.25">
      <c r="A1008" s="14"/>
      <c r="B1008"/>
      <c r="C1008" s="15"/>
      <c r="D1008"/>
      <c r="E1008"/>
      <c r="F1008" s="16"/>
      <c r="G1008"/>
      <c r="H1008"/>
      <c r="I1008" s="16"/>
      <c r="J1008"/>
      <c r="K1008"/>
      <c r="L1008"/>
      <c r="M1008" s="17"/>
      <c r="N1008"/>
      <c r="O1008"/>
      <c r="P1008" s="34"/>
      <c r="Q1008"/>
    </row>
    <row r="1009" spans="1:17" x14ac:dyDescent="0.25">
      <c r="A1009" s="14"/>
      <c r="B1009"/>
      <c r="C1009" s="15"/>
      <c r="D1009"/>
      <c r="E1009"/>
      <c r="F1009" s="16"/>
      <c r="G1009"/>
      <c r="H1009"/>
      <c r="I1009" s="16"/>
      <c r="J1009"/>
      <c r="K1009"/>
      <c r="L1009"/>
      <c r="M1009" s="17"/>
      <c r="N1009"/>
      <c r="O1009"/>
      <c r="P1009" s="34"/>
      <c r="Q1009"/>
    </row>
    <row r="1010" spans="1:17" x14ac:dyDescent="0.25">
      <c r="A1010" s="14"/>
      <c r="B1010"/>
      <c r="C1010" s="15"/>
      <c r="D1010"/>
      <c r="E1010"/>
      <c r="F1010" s="16"/>
      <c r="G1010"/>
      <c r="H1010"/>
      <c r="I1010" s="16"/>
      <c r="J1010"/>
      <c r="K1010"/>
      <c r="L1010"/>
      <c r="M1010" s="17"/>
      <c r="N1010"/>
      <c r="O1010"/>
      <c r="P1010" s="34"/>
      <c r="Q1010"/>
    </row>
    <row r="1011" spans="1:17" x14ac:dyDescent="0.25">
      <c r="A1011" s="14"/>
      <c r="B1011"/>
      <c r="C1011" s="15"/>
      <c r="D1011"/>
      <c r="E1011"/>
      <c r="F1011" s="16"/>
      <c r="G1011"/>
      <c r="H1011"/>
      <c r="I1011" s="16"/>
      <c r="J1011"/>
      <c r="K1011"/>
      <c r="L1011"/>
      <c r="M1011" s="17"/>
      <c r="N1011"/>
      <c r="O1011"/>
      <c r="P1011" s="34"/>
      <c r="Q1011"/>
    </row>
    <row r="1012" spans="1:17" x14ac:dyDescent="0.25">
      <c r="A1012" s="14"/>
      <c r="B1012"/>
      <c r="C1012" s="15"/>
      <c r="D1012"/>
      <c r="E1012"/>
      <c r="F1012" s="16"/>
      <c r="G1012"/>
      <c r="H1012"/>
      <c r="I1012" s="16"/>
      <c r="J1012"/>
      <c r="K1012"/>
      <c r="L1012"/>
      <c r="M1012" s="17"/>
      <c r="N1012"/>
      <c r="O1012"/>
      <c r="P1012" s="34"/>
      <c r="Q1012"/>
    </row>
    <row r="1013" spans="1:17" x14ac:dyDescent="0.25">
      <c r="A1013" s="14"/>
      <c r="B1013"/>
      <c r="C1013" s="15"/>
      <c r="D1013"/>
      <c r="E1013"/>
      <c r="F1013" s="16"/>
      <c r="G1013"/>
      <c r="H1013"/>
      <c r="I1013" s="16"/>
      <c r="J1013"/>
      <c r="K1013"/>
      <c r="L1013"/>
      <c r="M1013" s="17"/>
      <c r="N1013"/>
      <c r="O1013"/>
      <c r="P1013" s="34"/>
      <c r="Q1013"/>
    </row>
    <row r="1014" spans="1:17" x14ac:dyDescent="0.25">
      <c r="A1014" s="14"/>
      <c r="B1014"/>
      <c r="C1014" s="15"/>
      <c r="D1014"/>
      <c r="E1014"/>
      <c r="F1014" s="16"/>
      <c r="G1014"/>
      <c r="H1014"/>
      <c r="I1014" s="16"/>
      <c r="J1014"/>
      <c r="K1014"/>
      <c r="L1014"/>
      <c r="M1014" s="17"/>
      <c r="N1014"/>
      <c r="O1014"/>
      <c r="P1014" s="34"/>
      <c r="Q1014"/>
    </row>
    <row r="1015" spans="1:17" x14ac:dyDescent="0.25">
      <c r="A1015" s="14"/>
      <c r="B1015"/>
      <c r="C1015" s="15"/>
      <c r="D1015"/>
      <c r="E1015"/>
      <c r="F1015" s="16"/>
      <c r="G1015"/>
      <c r="H1015"/>
      <c r="I1015" s="16"/>
      <c r="J1015"/>
      <c r="K1015"/>
      <c r="L1015"/>
      <c r="M1015" s="17"/>
      <c r="N1015"/>
      <c r="O1015"/>
      <c r="P1015" s="34"/>
      <c r="Q1015"/>
    </row>
    <row r="1016" spans="1:17" x14ac:dyDescent="0.25">
      <c r="A1016" s="14"/>
      <c r="B1016"/>
      <c r="C1016" s="15"/>
      <c r="D1016"/>
      <c r="E1016"/>
      <c r="F1016" s="16"/>
      <c r="G1016"/>
      <c r="H1016"/>
      <c r="I1016" s="16"/>
      <c r="J1016"/>
      <c r="K1016"/>
      <c r="L1016"/>
      <c r="M1016" s="17"/>
      <c r="N1016"/>
      <c r="O1016"/>
      <c r="P1016" s="34"/>
      <c r="Q1016"/>
    </row>
    <row r="1017" spans="1:17" x14ac:dyDescent="0.25">
      <c r="A1017" s="14"/>
      <c r="B1017"/>
      <c r="C1017" s="15"/>
      <c r="D1017"/>
      <c r="E1017"/>
      <c r="F1017" s="16"/>
      <c r="G1017"/>
      <c r="H1017"/>
      <c r="I1017" s="16"/>
      <c r="J1017"/>
      <c r="K1017"/>
      <c r="L1017"/>
      <c r="M1017" s="17"/>
      <c r="N1017"/>
      <c r="O1017"/>
      <c r="P1017" s="34"/>
      <c r="Q1017"/>
    </row>
    <row r="1018" spans="1:17" x14ac:dyDescent="0.25">
      <c r="A1018" s="14"/>
      <c r="B1018"/>
      <c r="C1018" s="15"/>
      <c r="D1018"/>
      <c r="E1018"/>
      <c r="F1018" s="16"/>
      <c r="G1018"/>
      <c r="H1018"/>
      <c r="I1018" s="16"/>
      <c r="J1018"/>
      <c r="K1018"/>
      <c r="L1018"/>
      <c r="M1018" s="17"/>
      <c r="N1018"/>
      <c r="O1018"/>
      <c r="P1018" s="34"/>
      <c r="Q1018"/>
    </row>
    <row r="1019" spans="1:17" x14ac:dyDescent="0.25">
      <c r="A1019" s="14"/>
      <c r="B1019"/>
      <c r="C1019" s="15"/>
      <c r="D1019"/>
      <c r="E1019"/>
      <c r="F1019" s="16"/>
      <c r="G1019"/>
      <c r="H1019"/>
      <c r="I1019" s="16"/>
      <c r="J1019"/>
      <c r="K1019"/>
      <c r="L1019"/>
      <c r="M1019" s="17"/>
      <c r="N1019"/>
      <c r="O1019"/>
      <c r="P1019" s="34"/>
      <c r="Q1019"/>
    </row>
    <row r="1020" spans="1:17" x14ac:dyDescent="0.25">
      <c r="A1020" s="14"/>
      <c r="B1020"/>
      <c r="C1020" s="15"/>
      <c r="D1020"/>
      <c r="E1020"/>
      <c r="F1020" s="16"/>
      <c r="G1020"/>
      <c r="H1020"/>
      <c r="I1020" s="16"/>
      <c r="J1020"/>
      <c r="K1020"/>
      <c r="L1020"/>
      <c r="M1020" s="17"/>
      <c r="N1020"/>
      <c r="O1020"/>
      <c r="P1020" s="34"/>
      <c r="Q1020"/>
    </row>
    <row r="1021" spans="1:17" x14ac:dyDescent="0.25">
      <c r="A1021" s="14"/>
      <c r="B1021"/>
      <c r="C1021" s="15"/>
      <c r="D1021"/>
      <c r="E1021"/>
      <c r="F1021" s="16"/>
      <c r="G1021"/>
      <c r="H1021"/>
      <c r="I1021" s="16"/>
      <c r="J1021"/>
      <c r="K1021"/>
      <c r="L1021"/>
      <c r="M1021" s="17"/>
      <c r="N1021"/>
      <c r="O1021"/>
      <c r="P1021" s="34"/>
      <c r="Q1021"/>
    </row>
    <row r="1022" spans="1:17" x14ac:dyDescent="0.25">
      <c r="A1022" s="14"/>
      <c r="B1022"/>
      <c r="C1022" s="15"/>
      <c r="D1022"/>
      <c r="E1022"/>
      <c r="F1022" s="16"/>
      <c r="G1022"/>
      <c r="H1022"/>
      <c r="I1022" s="16"/>
      <c r="J1022"/>
      <c r="K1022"/>
      <c r="L1022"/>
      <c r="M1022" s="17"/>
      <c r="N1022"/>
      <c r="O1022"/>
      <c r="P1022" s="34"/>
      <c r="Q1022"/>
    </row>
    <row r="1023" spans="1:17" x14ac:dyDescent="0.25">
      <c r="A1023" s="14"/>
      <c r="B1023"/>
      <c r="C1023" s="15"/>
      <c r="D1023"/>
      <c r="E1023"/>
      <c r="F1023" s="16"/>
      <c r="G1023"/>
      <c r="H1023"/>
      <c r="I1023" s="16"/>
      <c r="J1023"/>
      <c r="K1023"/>
      <c r="L1023"/>
      <c r="M1023" s="17"/>
      <c r="N1023"/>
      <c r="O1023"/>
      <c r="P1023" s="34"/>
      <c r="Q1023"/>
    </row>
    <row r="1024" spans="1:17" x14ac:dyDescent="0.25">
      <c r="A1024" s="14"/>
      <c r="B1024"/>
      <c r="C1024" s="15"/>
      <c r="D1024"/>
      <c r="E1024"/>
      <c r="F1024" s="16"/>
      <c r="G1024"/>
      <c r="H1024"/>
      <c r="I1024" s="16"/>
      <c r="J1024"/>
      <c r="K1024"/>
      <c r="L1024"/>
      <c r="M1024" s="17"/>
      <c r="N1024"/>
      <c r="O1024"/>
      <c r="P1024" s="34"/>
      <c r="Q1024"/>
    </row>
    <row r="1025" spans="1:17" x14ac:dyDescent="0.25">
      <c r="A1025" s="14"/>
      <c r="B1025"/>
      <c r="C1025" s="15"/>
      <c r="D1025"/>
      <c r="E1025"/>
      <c r="F1025" s="16"/>
      <c r="G1025"/>
      <c r="H1025"/>
      <c r="I1025" s="16"/>
      <c r="J1025"/>
      <c r="K1025"/>
      <c r="L1025"/>
      <c r="M1025" s="17"/>
      <c r="N1025"/>
      <c r="O1025"/>
      <c r="P1025" s="34"/>
      <c r="Q1025"/>
    </row>
    <row r="1026" spans="1:17" x14ac:dyDescent="0.25">
      <c r="A1026" s="14"/>
      <c r="B1026"/>
      <c r="C1026" s="15"/>
      <c r="D1026"/>
      <c r="E1026"/>
      <c r="F1026" s="16"/>
      <c r="G1026"/>
      <c r="H1026"/>
      <c r="I1026" s="16"/>
      <c r="J1026"/>
      <c r="K1026"/>
      <c r="L1026"/>
      <c r="M1026" s="17"/>
      <c r="N1026"/>
      <c r="O1026"/>
      <c r="P1026" s="34"/>
      <c r="Q1026"/>
    </row>
    <row r="1027" spans="1:17" x14ac:dyDescent="0.25">
      <c r="A1027" s="14"/>
      <c r="B1027"/>
      <c r="C1027" s="15"/>
      <c r="D1027"/>
      <c r="E1027"/>
      <c r="F1027" s="16"/>
      <c r="G1027"/>
      <c r="H1027"/>
      <c r="I1027" s="16"/>
      <c r="J1027"/>
      <c r="K1027"/>
      <c r="L1027"/>
      <c r="M1027" s="17"/>
      <c r="N1027"/>
      <c r="O1027"/>
      <c r="P1027" s="34"/>
      <c r="Q1027"/>
    </row>
    <row r="1028" spans="1:17" x14ac:dyDescent="0.25">
      <c r="A1028" s="14"/>
      <c r="B1028"/>
      <c r="C1028" s="15"/>
      <c r="D1028"/>
      <c r="E1028"/>
      <c r="F1028" s="16"/>
      <c r="G1028"/>
      <c r="H1028"/>
      <c r="I1028" s="16"/>
      <c r="J1028"/>
      <c r="K1028"/>
      <c r="L1028"/>
      <c r="M1028" s="17"/>
      <c r="N1028"/>
      <c r="O1028"/>
      <c r="P1028" s="34"/>
      <c r="Q1028"/>
    </row>
    <row r="1029" spans="1:17" x14ac:dyDescent="0.25">
      <c r="A1029" s="14"/>
      <c r="B1029"/>
      <c r="C1029" s="15"/>
      <c r="D1029"/>
      <c r="E1029"/>
      <c r="F1029" s="16"/>
      <c r="G1029"/>
      <c r="H1029"/>
      <c r="I1029" s="16"/>
      <c r="J1029"/>
      <c r="K1029"/>
      <c r="L1029"/>
      <c r="M1029" s="17"/>
      <c r="N1029"/>
      <c r="O1029"/>
      <c r="P1029" s="34"/>
      <c r="Q1029"/>
    </row>
    <row r="1030" spans="1:17" x14ac:dyDescent="0.25">
      <c r="A1030" s="14"/>
      <c r="B1030"/>
      <c r="C1030" s="15"/>
      <c r="D1030"/>
      <c r="E1030"/>
      <c r="F1030" s="16"/>
      <c r="G1030"/>
      <c r="H1030"/>
      <c r="I1030" s="16"/>
      <c r="J1030"/>
      <c r="K1030"/>
      <c r="L1030"/>
      <c r="M1030" s="17"/>
      <c r="N1030"/>
      <c r="O1030"/>
      <c r="P1030" s="34"/>
      <c r="Q1030"/>
    </row>
    <row r="1031" spans="1:17" x14ac:dyDescent="0.25">
      <c r="A1031" s="14"/>
      <c r="B1031"/>
      <c r="C1031" s="15"/>
      <c r="D1031"/>
      <c r="E1031"/>
      <c r="F1031" s="16"/>
      <c r="G1031"/>
      <c r="H1031"/>
      <c r="I1031" s="16"/>
      <c r="J1031"/>
      <c r="K1031"/>
      <c r="L1031"/>
      <c r="M1031" s="17"/>
      <c r="N1031"/>
      <c r="O1031"/>
      <c r="P1031" s="34"/>
      <c r="Q1031"/>
    </row>
    <row r="1032" spans="1:17" x14ac:dyDescent="0.25">
      <c r="A1032" s="14"/>
      <c r="B1032"/>
      <c r="C1032" s="15"/>
      <c r="D1032"/>
      <c r="E1032"/>
      <c r="F1032" s="16"/>
      <c r="G1032"/>
      <c r="H1032"/>
      <c r="I1032" s="16"/>
      <c r="J1032"/>
      <c r="K1032"/>
      <c r="L1032"/>
      <c r="M1032" s="17"/>
      <c r="N1032"/>
      <c r="O1032"/>
      <c r="P1032" s="34"/>
      <c r="Q1032"/>
    </row>
    <row r="1033" spans="1:17" x14ac:dyDescent="0.25">
      <c r="A1033" s="14"/>
      <c r="B1033"/>
      <c r="C1033" s="15"/>
      <c r="D1033"/>
      <c r="E1033"/>
      <c r="F1033" s="16"/>
      <c r="G1033"/>
      <c r="H1033"/>
      <c r="I1033" s="16"/>
      <c r="J1033"/>
      <c r="K1033"/>
      <c r="L1033"/>
      <c r="M1033" s="17"/>
      <c r="N1033"/>
      <c r="O1033"/>
      <c r="P1033" s="34"/>
      <c r="Q1033"/>
    </row>
    <row r="1034" spans="1:17" x14ac:dyDescent="0.25">
      <c r="A1034" s="14"/>
      <c r="B1034"/>
      <c r="C1034" s="15"/>
      <c r="D1034"/>
      <c r="E1034"/>
      <c r="F1034" s="16"/>
      <c r="G1034"/>
      <c r="H1034"/>
      <c r="I1034" s="16"/>
      <c r="J1034"/>
      <c r="K1034"/>
      <c r="L1034"/>
      <c r="M1034" s="17"/>
      <c r="N1034"/>
      <c r="O1034"/>
      <c r="P1034" s="34"/>
      <c r="Q1034"/>
    </row>
    <row r="1035" spans="1:17" x14ac:dyDescent="0.25">
      <c r="A1035" s="14"/>
      <c r="B1035"/>
      <c r="C1035" s="15"/>
      <c r="D1035"/>
      <c r="E1035"/>
      <c r="F1035" s="16"/>
      <c r="G1035"/>
      <c r="H1035"/>
      <c r="I1035" s="16"/>
      <c r="J1035"/>
      <c r="K1035"/>
      <c r="L1035"/>
      <c r="M1035" s="17"/>
      <c r="N1035"/>
      <c r="O1035"/>
      <c r="P1035" s="34"/>
      <c r="Q1035"/>
    </row>
    <row r="1036" spans="1:17" x14ac:dyDescent="0.25">
      <c r="A1036" s="14"/>
      <c r="B1036"/>
      <c r="C1036" s="15"/>
      <c r="D1036"/>
      <c r="E1036"/>
      <c r="F1036" s="16"/>
      <c r="G1036"/>
      <c r="H1036"/>
      <c r="I1036" s="16"/>
      <c r="J1036"/>
      <c r="K1036"/>
      <c r="L1036"/>
      <c r="M1036" s="17"/>
      <c r="N1036"/>
      <c r="O1036"/>
      <c r="P1036" s="34"/>
      <c r="Q1036"/>
    </row>
    <row r="1037" spans="1:17" x14ac:dyDescent="0.25">
      <c r="A1037" s="14"/>
      <c r="B1037"/>
      <c r="C1037" s="15"/>
      <c r="D1037"/>
      <c r="E1037"/>
      <c r="F1037" s="16"/>
      <c r="G1037"/>
      <c r="H1037"/>
      <c r="I1037" s="16"/>
      <c r="J1037"/>
      <c r="K1037"/>
      <c r="L1037"/>
      <c r="M1037" s="17"/>
      <c r="N1037"/>
      <c r="O1037"/>
      <c r="P1037" s="34"/>
      <c r="Q1037"/>
    </row>
    <row r="1038" spans="1:17" x14ac:dyDescent="0.25">
      <c r="A1038" s="14"/>
      <c r="B1038"/>
      <c r="C1038" s="15"/>
      <c r="D1038"/>
      <c r="E1038"/>
      <c r="F1038" s="16"/>
      <c r="G1038"/>
      <c r="H1038"/>
      <c r="I1038" s="16"/>
      <c r="J1038"/>
      <c r="K1038"/>
      <c r="L1038"/>
      <c r="M1038" s="17"/>
      <c r="N1038"/>
      <c r="O1038"/>
      <c r="P1038" s="34"/>
      <c r="Q1038"/>
    </row>
    <row r="1039" spans="1:17" x14ac:dyDescent="0.25">
      <c r="A1039" s="14"/>
      <c r="B1039"/>
      <c r="C1039" s="15"/>
      <c r="D1039"/>
      <c r="E1039"/>
      <c r="F1039" s="16"/>
      <c r="G1039"/>
      <c r="H1039"/>
      <c r="I1039" s="16"/>
      <c r="J1039"/>
      <c r="K1039"/>
      <c r="L1039"/>
      <c r="M1039" s="17"/>
      <c r="N1039"/>
      <c r="O1039"/>
      <c r="P1039" s="34"/>
      <c r="Q1039"/>
    </row>
    <row r="1040" spans="1:17" x14ac:dyDescent="0.25">
      <c r="A1040" s="14"/>
      <c r="B1040"/>
      <c r="C1040" s="15"/>
      <c r="D1040"/>
      <c r="E1040"/>
      <c r="F1040" s="16"/>
      <c r="G1040"/>
      <c r="H1040"/>
      <c r="I1040" s="16"/>
      <c r="J1040"/>
      <c r="K1040"/>
      <c r="L1040"/>
      <c r="M1040" s="17"/>
      <c r="N1040"/>
      <c r="O1040"/>
      <c r="P1040" s="34"/>
      <c r="Q1040"/>
    </row>
    <row r="1041" spans="1:17" x14ac:dyDescent="0.25">
      <c r="A1041" s="14"/>
      <c r="B1041"/>
      <c r="C1041" s="15"/>
      <c r="D1041"/>
      <c r="E1041"/>
      <c r="F1041" s="16"/>
      <c r="G1041"/>
      <c r="H1041"/>
      <c r="I1041" s="16"/>
      <c r="J1041"/>
      <c r="K1041"/>
      <c r="L1041"/>
      <c r="M1041" s="17"/>
      <c r="N1041"/>
      <c r="O1041"/>
      <c r="P1041" s="34"/>
      <c r="Q1041"/>
    </row>
    <row r="1042" spans="1:17" x14ac:dyDescent="0.25">
      <c r="A1042" s="14"/>
      <c r="B1042"/>
      <c r="C1042" s="15"/>
      <c r="D1042"/>
      <c r="E1042"/>
      <c r="F1042" s="16"/>
      <c r="G1042"/>
      <c r="H1042"/>
      <c r="I1042" s="16"/>
      <c r="J1042"/>
      <c r="K1042"/>
      <c r="L1042"/>
      <c r="M1042" s="17"/>
      <c r="N1042"/>
      <c r="O1042"/>
      <c r="P1042" s="34"/>
      <c r="Q1042"/>
    </row>
    <row r="1043" spans="1:17" x14ac:dyDescent="0.25">
      <c r="A1043" s="14"/>
      <c r="B1043"/>
      <c r="C1043" s="15"/>
      <c r="D1043"/>
      <c r="E1043"/>
      <c r="F1043" s="16"/>
      <c r="G1043"/>
      <c r="H1043"/>
      <c r="I1043" s="16"/>
      <c r="J1043"/>
      <c r="K1043"/>
      <c r="L1043"/>
      <c r="M1043" s="17"/>
      <c r="N1043"/>
      <c r="O1043"/>
      <c r="P1043" s="34"/>
      <c r="Q1043"/>
    </row>
    <row r="1044" spans="1:17" x14ac:dyDescent="0.25">
      <c r="A1044" s="14"/>
      <c r="B1044"/>
      <c r="C1044" s="15"/>
      <c r="D1044"/>
      <c r="E1044"/>
      <c r="F1044" s="16"/>
      <c r="G1044"/>
      <c r="H1044"/>
      <c r="I1044" s="16"/>
      <c r="J1044"/>
      <c r="K1044"/>
      <c r="L1044"/>
      <c r="M1044" s="17"/>
      <c r="N1044"/>
      <c r="O1044"/>
      <c r="P1044" s="34"/>
      <c r="Q1044"/>
    </row>
    <row r="1045" spans="1:17" x14ac:dyDescent="0.25">
      <c r="A1045" s="14"/>
      <c r="B1045"/>
      <c r="C1045" s="15"/>
      <c r="D1045"/>
      <c r="E1045"/>
      <c r="F1045" s="16"/>
      <c r="G1045"/>
      <c r="H1045"/>
      <c r="I1045" s="16"/>
      <c r="J1045"/>
      <c r="K1045"/>
      <c r="L1045"/>
      <c r="M1045" s="17"/>
      <c r="N1045"/>
      <c r="O1045"/>
      <c r="P1045" s="34"/>
      <c r="Q1045"/>
    </row>
    <row r="1046" spans="1:17" x14ac:dyDescent="0.25">
      <c r="A1046" s="14"/>
      <c r="B1046"/>
      <c r="C1046" s="15"/>
      <c r="D1046"/>
      <c r="E1046"/>
      <c r="F1046" s="16"/>
      <c r="G1046"/>
      <c r="H1046"/>
      <c r="I1046" s="16"/>
      <c r="J1046"/>
      <c r="K1046"/>
      <c r="L1046"/>
      <c r="M1046" s="17"/>
      <c r="N1046"/>
      <c r="O1046"/>
      <c r="P1046" s="34"/>
      <c r="Q1046"/>
    </row>
    <row r="1047" spans="1:17" x14ac:dyDescent="0.25">
      <c r="A1047" s="14"/>
      <c r="B1047"/>
      <c r="C1047" s="15"/>
      <c r="D1047"/>
      <c r="E1047"/>
      <c r="F1047" s="16"/>
      <c r="G1047"/>
      <c r="H1047"/>
      <c r="I1047" s="16"/>
      <c r="J1047"/>
      <c r="K1047"/>
      <c r="L1047"/>
      <c r="M1047" s="17"/>
      <c r="N1047"/>
      <c r="O1047"/>
      <c r="P1047" s="34"/>
      <c r="Q1047"/>
    </row>
    <row r="1048" spans="1:17" x14ac:dyDescent="0.25">
      <c r="A1048" s="14"/>
      <c r="B1048"/>
      <c r="C1048" s="15"/>
      <c r="D1048"/>
      <c r="E1048"/>
      <c r="F1048" s="16"/>
      <c r="G1048"/>
      <c r="H1048"/>
      <c r="I1048" s="16"/>
      <c r="J1048"/>
      <c r="K1048"/>
      <c r="L1048"/>
      <c r="M1048" s="17"/>
      <c r="N1048"/>
      <c r="O1048"/>
      <c r="P1048" s="34"/>
      <c r="Q1048"/>
    </row>
    <row r="1049" spans="1:17" x14ac:dyDescent="0.25">
      <c r="A1049" s="14"/>
      <c r="B1049"/>
      <c r="C1049" s="15"/>
      <c r="D1049"/>
      <c r="E1049"/>
      <c r="F1049" s="16"/>
      <c r="G1049"/>
      <c r="H1049"/>
      <c r="I1049" s="16"/>
      <c r="J1049"/>
      <c r="K1049"/>
      <c r="L1049"/>
      <c r="M1049" s="17"/>
      <c r="N1049"/>
      <c r="O1049"/>
      <c r="P1049" s="34"/>
      <c r="Q1049"/>
    </row>
    <row r="1050" spans="1:17" x14ac:dyDescent="0.25">
      <c r="A1050" s="14"/>
      <c r="B1050"/>
      <c r="C1050" s="15"/>
      <c r="D1050"/>
      <c r="E1050"/>
      <c r="F1050" s="16"/>
      <c r="G1050"/>
      <c r="H1050"/>
      <c r="I1050" s="16"/>
      <c r="J1050"/>
      <c r="K1050"/>
      <c r="L1050"/>
      <c r="M1050" s="17"/>
      <c r="N1050"/>
      <c r="O1050"/>
      <c r="P1050" s="34"/>
      <c r="Q1050"/>
    </row>
    <row r="1051" spans="1:17" x14ac:dyDescent="0.25">
      <c r="A1051" s="14"/>
      <c r="B1051"/>
      <c r="C1051" s="15"/>
      <c r="D1051"/>
      <c r="E1051"/>
      <c r="F1051" s="16"/>
      <c r="G1051"/>
      <c r="H1051"/>
      <c r="I1051" s="16"/>
      <c r="J1051"/>
      <c r="K1051"/>
      <c r="L1051"/>
      <c r="M1051" s="17"/>
      <c r="N1051"/>
      <c r="O1051"/>
      <c r="P1051" s="34"/>
      <c r="Q1051"/>
    </row>
    <row r="1052" spans="1:17" x14ac:dyDescent="0.25">
      <c r="A1052" s="14"/>
      <c r="B1052"/>
      <c r="C1052" s="15"/>
      <c r="D1052"/>
      <c r="E1052"/>
      <c r="F1052" s="16"/>
      <c r="G1052"/>
      <c r="H1052"/>
      <c r="I1052" s="16"/>
      <c r="J1052"/>
      <c r="K1052"/>
      <c r="L1052"/>
      <c r="M1052" s="17"/>
      <c r="N1052"/>
      <c r="O1052"/>
      <c r="P1052" s="34"/>
      <c r="Q1052"/>
    </row>
    <row r="1053" spans="1:17" x14ac:dyDescent="0.25">
      <c r="A1053" s="14"/>
      <c r="B1053"/>
      <c r="C1053" s="15"/>
      <c r="D1053"/>
      <c r="E1053"/>
      <c r="F1053" s="16"/>
      <c r="G1053"/>
      <c r="H1053"/>
      <c r="I1053" s="16"/>
      <c r="J1053"/>
      <c r="K1053"/>
      <c r="L1053"/>
      <c r="M1053" s="17"/>
      <c r="N1053"/>
      <c r="O1053"/>
      <c r="P1053" s="34"/>
      <c r="Q1053"/>
    </row>
    <row r="1054" spans="1:17" x14ac:dyDescent="0.25">
      <c r="A1054" s="14"/>
      <c r="B1054"/>
      <c r="C1054" s="15"/>
      <c r="D1054"/>
      <c r="E1054"/>
      <c r="F1054" s="16"/>
      <c r="G1054"/>
      <c r="H1054"/>
      <c r="I1054" s="16"/>
      <c r="J1054"/>
      <c r="K1054"/>
      <c r="L1054"/>
      <c r="M1054" s="17"/>
      <c r="N1054"/>
      <c r="O1054"/>
      <c r="P1054" s="34"/>
      <c r="Q1054"/>
    </row>
    <row r="1055" spans="1:17" x14ac:dyDescent="0.25">
      <c r="A1055" s="14"/>
      <c r="B1055"/>
      <c r="C1055" s="15"/>
      <c r="D1055"/>
      <c r="E1055"/>
      <c r="F1055" s="16"/>
      <c r="G1055"/>
      <c r="H1055"/>
      <c r="I1055" s="16"/>
      <c r="J1055"/>
      <c r="K1055"/>
      <c r="L1055"/>
      <c r="M1055" s="17"/>
      <c r="N1055"/>
      <c r="O1055"/>
      <c r="P1055" s="34"/>
      <c r="Q1055"/>
    </row>
    <row r="1056" spans="1:17" x14ac:dyDescent="0.25">
      <c r="A1056" s="14"/>
      <c r="B1056"/>
      <c r="C1056" s="15"/>
      <c r="D1056"/>
      <c r="E1056"/>
      <c r="F1056" s="16"/>
      <c r="G1056"/>
      <c r="H1056"/>
      <c r="I1056" s="16"/>
      <c r="J1056"/>
      <c r="K1056"/>
      <c r="L1056"/>
      <c r="M1056" s="17"/>
      <c r="N1056"/>
      <c r="O1056"/>
      <c r="P1056" s="34"/>
      <c r="Q1056"/>
    </row>
    <row r="1057" spans="1:17" x14ac:dyDescent="0.25">
      <c r="A1057" s="14"/>
      <c r="B1057"/>
      <c r="C1057" s="15"/>
      <c r="D1057"/>
      <c r="E1057"/>
      <c r="F1057" s="16"/>
      <c r="G1057"/>
      <c r="H1057"/>
      <c r="I1057" s="16"/>
      <c r="J1057"/>
      <c r="K1057"/>
      <c r="L1057"/>
      <c r="M1057" s="17"/>
      <c r="N1057"/>
      <c r="O1057"/>
      <c r="P1057" s="34"/>
      <c r="Q1057"/>
    </row>
    <row r="1058" spans="1:17" x14ac:dyDescent="0.25">
      <c r="A1058" s="14"/>
      <c r="B1058"/>
      <c r="C1058" s="15"/>
      <c r="D1058"/>
      <c r="E1058"/>
      <c r="F1058" s="16"/>
      <c r="G1058"/>
      <c r="H1058"/>
      <c r="I1058" s="16"/>
      <c r="J1058"/>
      <c r="K1058"/>
      <c r="L1058"/>
      <c r="M1058" s="17"/>
      <c r="N1058"/>
      <c r="O1058"/>
      <c r="P1058" s="34"/>
      <c r="Q1058"/>
    </row>
    <row r="1059" spans="1:17" x14ac:dyDescent="0.25">
      <c r="A1059" s="14"/>
      <c r="B1059"/>
      <c r="C1059" s="15"/>
      <c r="D1059"/>
      <c r="E1059"/>
      <c r="F1059" s="16"/>
      <c r="G1059"/>
      <c r="H1059"/>
      <c r="I1059" s="16"/>
      <c r="J1059"/>
      <c r="K1059"/>
      <c r="L1059"/>
      <c r="M1059" s="17"/>
      <c r="N1059"/>
      <c r="O1059"/>
      <c r="P1059" s="34"/>
      <c r="Q1059"/>
    </row>
    <row r="1060" spans="1:17" x14ac:dyDescent="0.25">
      <c r="A1060" s="14"/>
      <c r="B1060"/>
      <c r="C1060" s="15"/>
      <c r="D1060"/>
      <c r="E1060"/>
      <c r="F1060" s="16"/>
      <c r="G1060"/>
      <c r="H1060"/>
      <c r="I1060" s="16"/>
      <c r="J1060"/>
      <c r="K1060"/>
      <c r="L1060"/>
      <c r="M1060" s="17"/>
      <c r="N1060"/>
      <c r="O1060"/>
      <c r="P1060" s="34"/>
      <c r="Q1060"/>
    </row>
    <row r="1061" spans="1:17" x14ac:dyDescent="0.25">
      <c r="A1061" s="14"/>
      <c r="B1061"/>
      <c r="C1061" s="15"/>
      <c r="D1061"/>
      <c r="E1061"/>
      <c r="F1061" s="16"/>
      <c r="G1061"/>
      <c r="H1061"/>
      <c r="I1061" s="16"/>
      <c r="J1061"/>
      <c r="K1061"/>
      <c r="L1061"/>
      <c r="M1061" s="17"/>
      <c r="N1061"/>
      <c r="O1061"/>
      <c r="P1061" s="34"/>
      <c r="Q1061"/>
    </row>
    <row r="1062" spans="1:17" x14ac:dyDescent="0.25">
      <c r="A1062" s="14"/>
      <c r="B1062"/>
      <c r="C1062" s="15"/>
      <c r="D1062"/>
      <c r="E1062"/>
      <c r="F1062" s="16"/>
      <c r="G1062"/>
      <c r="H1062"/>
      <c r="I1062" s="16"/>
      <c r="J1062"/>
      <c r="K1062"/>
      <c r="L1062"/>
      <c r="M1062" s="17"/>
      <c r="N1062"/>
      <c r="O1062"/>
      <c r="P1062" s="34"/>
      <c r="Q1062"/>
    </row>
    <row r="1063" spans="1:17" x14ac:dyDescent="0.25">
      <c r="A1063" s="14"/>
      <c r="B1063"/>
      <c r="C1063" s="15"/>
      <c r="D1063"/>
      <c r="E1063"/>
      <c r="F1063" s="16"/>
      <c r="G1063"/>
      <c r="H1063"/>
      <c r="I1063" s="16"/>
      <c r="J1063"/>
      <c r="K1063"/>
      <c r="L1063"/>
      <c r="M1063" s="17"/>
      <c r="N1063"/>
      <c r="O1063"/>
      <c r="P1063" s="34"/>
      <c r="Q1063"/>
    </row>
    <row r="1064" spans="1:17" x14ac:dyDescent="0.25">
      <c r="A1064" s="14"/>
      <c r="B1064"/>
      <c r="C1064" s="15"/>
      <c r="D1064"/>
      <c r="E1064"/>
      <c r="F1064" s="16"/>
      <c r="G1064"/>
      <c r="H1064"/>
      <c r="I1064" s="16"/>
      <c r="J1064"/>
      <c r="K1064"/>
      <c r="L1064"/>
      <c r="M1064" s="17"/>
      <c r="N1064"/>
      <c r="O1064"/>
      <c r="P1064" s="34"/>
      <c r="Q1064"/>
    </row>
    <row r="1065" spans="1:17" x14ac:dyDescent="0.25">
      <c r="A1065" s="14"/>
      <c r="B1065"/>
      <c r="C1065" s="15"/>
      <c r="D1065"/>
      <c r="E1065"/>
      <c r="F1065" s="16"/>
      <c r="G1065"/>
      <c r="H1065"/>
      <c r="I1065" s="16"/>
      <c r="J1065"/>
      <c r="K1065"/>
      <c r="L1065"/>
      <c r="M1065" s="17"/>
      <c r="N1065"/>
      <c r="O1065"/>
      <c r="P1065" s="34"/>
      <c r="Q1065"/>
    </row>
    <row r="1066" spans="1:17" x14ac:dyDescent="0.25">
      <c r="A1066" s="14"/>
      <c r="B1066"/>
      <c r="C1066" s="15"/>
      <c r="D1066"/>
      <c r="E1066"/>
      <c r="F1066" s="16"/>
      <c r="G1066"/>
      <c r="H1066"/>
      <c r="I1066" s="16"/>
      <c r="J1066"/>
      <c r="K1066"/>
      <c r="L1066"/>
      <c r="M1066" s="17"/>
      <c r="N1066"/>
      <c r="O1066"/>
      <c r="P1066" s="34"/>
      <c r="Q1066"/>
    </row>
    <row r="1067" spans="1:17" x14ac:dyDescent="0.25">
      <c r="A1067" s="14"/>
      <c r="B1067"/>
      <c r="C1067" s="15"/>
      <c r="D1067"/>
      <c r="E1067"/>
      <c r="F1067" s="16"/>
      <c r="G1067"/>
      <c r="H1067"/>
      <c r="I1067" s="16"/>
      <c r="J1067"/>
      <c r="K1067"/>
      <c r="L1067"/>
      <c r="M1067" s="17"/>
      <c r="N1067"/>
      <c r="O1067"/>
      <c r="P1067" s="34"/>
      <c r="Q1067"/>
    </row>
    <row r="1068" spans="1:17" x14ac:dyDescent="0.25">
      <c r="A1068" s="14"/>
      <c r="B1068"/>
      <c r="C1068" s="15"/>
      <c r="D1068"/>
      <c r="E1068"/>
      <c r="F1068" s="16"/>
      <c r="G1068"/>
      <c r="H1068"/>
      <c r="I1068" s="16"/>
      <c r="J1068"/>
      <c r="K1068"/>
      <c r="L1068"/>
      <c r="M1068" s="17"/>
      <c r="N1068"/>
      <c r="O1068"/>
      <c r="P1068" s="34"/>
      <c r="Q1068"/>
    </row>
    <row r="1069" spans="1:17" x14ac:dyDescent="0.25">
      <c r="A1069" s="14"/>
      <c r="B1069"/>
      <c r="C1069" s="15"/>
      <c r="D1069"/>
      <c r="E1069"/>
      <c r="F1069" s="16"/>
      <c r="G1069"/>
      <c r="H1069"/>
      <c r="I1069" s="16"/>
      <c r="J1069"/>
      <c r="K1069"/>
      <c r="L1069"/>
      <c r="M1069" s="17"/>
      <c r="N1069"/>
      <c r="O1069"/>
      <c r="P1069" s="34"/>
      <c r="Q1069"/>
    </row>
    <row r="1070" spans="1:17" x14ac:dyDescent="0.25">
      <c r="A1070" s="14"/>
      <c r="B1070"/>
      <c r="C1070" s="15"/>
      <c r="D1070"/>
      <c r="E1070"/>
      <c r="F1070" s="16"/>
      <c r="G1070"/>
      <c r="H1070"/>
      <c r="I1070" s="16"/>
      <c r="J1070"/>
      <c r="K1070"/>
      <c r="L1070"/>
      <c r="M1070" s="17"/>
      <c r="N1070"/>
      <c r="O1070"/>
      <c r="P1070" s="34"/>
      <c r="Q1070"/>
    </row>
    <row r="1071" spans="1:17" x14ac:dyDescent="0.25">
      <c r="A1071" s="14"/>
      <c r="B1071"/>
      <c r="C1071" s="15"/>
      <c r="D1071"/>
      <c r="E1071"/>
      <c r="F1071" s="16"/>
      <c r="G1071"/>
      <c r="H1071"/>
      <c r="I1071" s="16"/>
      <c r="J1071"/>
      <c r="K1071"/>
      <c r="L1071"/>
      <c r="M1071" s="17"/>
      <c r="N1071"/>
      <c r="O1071"/>
      <c r="P1071" s="34"/>
      <c r="Q1071"/>
    </row>
    <row r="1072" spans="1:17" x14ac:dyDescent="0.25">
      <c r="A1072" s="14"/>
      <c r="B1072"/>
      <c r="C1072" s="15"/>
      <c r="D1072"/>
      <c r="E1072"/>
      <c r="F1072" s="16"/>
      <c r="G1072"/>
      <c r="H1072"/>
      <c r="I1072" s="16"/>
      <c r="J1072"/>
      <c r="K1072"/>
      <c r="L1072"/>
      <c r="M1072" s="17"/>
      <c r="N1072"/>
      <c r="O1072"/>
      <c r="P1072" s="34"/>
      <c r="Q1072"/>
    </row>
    <row r="1073" spans="1:17" x14ac:dyDescent="0.25">
      <c r="A1073" s="14"/>
      <c r="B1073"/>
      <c r="C1073" s="15"/>
      <c r="D1073"/>
      <c r="E1073"/>
      <c r="F1073" s="16"/>
      <c r="G1073"/>
      <c r="H1073"/>
      <c r="I1073" s="16"/>
      <c r="J1073"/>
      <c r="K1073"/>
      <c r="L1073"/>
      <c r="M1073" s="17"/>
      <c r="N1073"/>
      <c r="O1073"/>
      <c r="P1073" s="34"/>
      <c r="Q1073"/>
    </row>
    <row r="1074" spans="1:17" x14ac:dyDescent="0.25">
      <c r="A1074" s="14"/>
      <c r="B1074"/>
      <c r="C1074" s="15"/>
      <c r="D1074"/>
      <c r="E1074"/>
      <c r="F1074" s="16"/>
      <c r="G1074"/>
      <c r="H1074"/>
      <c r="I1074" s="16"/>
      <c r="J1074"/>
      <c r="K1074"/>
      <c r="L1074"/>
      <c r="M1074" s="17"/>
      <c r="N1074"/>
      <c r="O1074"/>
      <c r="P1074" s="34"/>
      <c r="Q1074"/>
    </row>
    <row r="1075" spans="1:17" x14ac:dyDescent="0.25">
      <c r="A1075" s="14"/>
      <c r="B1075"/>
      <c r="C1075" s="15"/>
      <c r="D1075"/>
      <c r="E1075"/>
      <c r="F1075" s="16"/>
      <c r="G1075"/>
      <c r="H1075"/>
      <c r="I1075" s="16"/>
      <c r="J1075"/>
      <c r="K1075"/>
      <c r="L1075"/>
      <c r="M1075" s="17"/>
      <c r="N1075"/>
      <c r="O1075"/>
      <c r="P1075" s="34"/>
      <c r="Q1075"/>
    </row>
    <row r="1076" spans="1:17" x14ac:dyDescent="0.25">
      <c r="A1076" s="14"/>
      <c r="B1076"/>
      <c r="C1076" s="15"/>
      <c r="D1076"/>
      <c r="E1076"/>
      <c r="F1076" s="16"/>
      <c r="G1076"/>
      <c r="H1076"/>
      <c r="I1076" s="16"/>
      <c r="J1076"/>
      <c r="K1076"/>
      <c r="L1076"/>
      <c r="M1076" s="17"/>
      <c r="N1076"/>
      <c r="O1076"/>
      <c r="P1076" s="34"/>
      <c r="Q1076"/>
    </row>
    <row r="1077" spans="1:17" x14ac:dyDescent="0.25">
      <c r="A1077" s="14"/>
      <c r="B1077"/>
      <c r="C1077" s="15"/>
      <c r="D1077"/>
      <c r="E1077"/>
      <c r="F1077" s="16"/>
      <c r="G1077"/>
      <c r="H1077"/>
      <c r="I1077" s="16"/>
      <c r="J1077"/>
      <c r="K1077"/>
      <c r="L1077"/>
      <c r="M1077" s="17"/>
      <c r="N1077"/>
      <c r="O1077"/>
      <c r="P1077" s="34"/>
      <c r="Q1077"/>
    </row>
    <row r="1078" spans="1:17" x14ac:dyDescent="0.25">
      <c r="A1078" s="14"/>
      <c r="B1078"/>
      <c r="C1078" s="15"/>
      <c r="D1078"/>
      <c r="E1078"/>
      <c r="F1078" s="16"/>
      <c r="G1078"/>
      <c r="H1078"/>
      <c r="I1078" s="16"/>
      <c r="J1078"/>
      <c r="K1078"/>
      <c r="L1078"/>
      <c r="M1078" s="17"/>
      <c r="N1078"/>
      <c r="O1078"/>
      <c r="P1078" s="34"/>
      <c r="Q1078"/>
    </row>
    <row r="1079" spans="1:17" x14ac:dyDescent="0.25">
      <c r="A1079" s="14"/>
      <c r="B1079"/>
      <c r="C1079" s="15"/>
      <c r="D1079"/>
      <c r="E1079"/>
      <c r="F1079" s="16"/>
      <c r="G1079"/>
      <c r="H1079"/>
      <c r="I1079" s="16"/>
      <c r="J1079"/>
      <c r="K1079"/>
      <c r="L1079"/>
      <c r="M1079" s="17"/>
      <c r="N1079"/>
      <c r="O1079"/>
      <c r="P1079" s="34"/>
      <c r="Q1079"/>
    </row>
    <row r="1080" spans="1:17" x14ac:dyDescent="0.25">
      <c r="A1080" s="14"/>
      <c r="B1080"/>
      <c r="C1080" s="15"/>
      <c r="D1080"/>
      <c r="E1080"/>
      <c r="F1080" s="16"/>
      <c r="G1080"/>
      <c r="H1080"/>
      <c r="I1080" s="16"/>
      <c r="J1080"/>
      <c r="K1080"/>
      <c r="L1080"/>
      <c r="M1080" s="17"/>
      <c r="N1080"/>
      <c r="O1080"/>
      <c r="P1080" s="34"/>
      <c r="Q1080"/>
    </row>
    <row r="1081" spans="1:17" x14ac:dyDescent="0.25">
      <c r="A1081" s="14"/>
      <c r="B1081"/>
      <c r="C1081" s="15"/>
      <c r="D1081"/>
      <c r="E1081"/>
      <c r="F1081" s="16"/>
      <c r="G1081"/>
      <c r="H1081"/>
      <c r="I1081" s="16"/>
      <c r="J1081"/>
      <c r="K1081"/>
      <c r="L1081"/>
      <c r="M1081" s="17"/>
      <c r="N1081"/>
      <c r="O1081"/>
      <c r="P1081" s="34"/>
      <c r="Q1081"/>
    </row>
    <row r="1082" spans="1:17" x14ac:dyDescent="0.25">
      <c r="A1082" s="14"/>
      <c r="B1082"/>
      <c r="C1082" s="15"/>
      <c r="D1082"/>
      <c r="E1082"/>
      <c r="F1082" s="16"/>
      <c r="G1082"/>
      <c r="H1082"/>
      <c r="I1082" s="16"/>
      <c r="J1082"/>
      <c r="K1082"/>
      <c r="L1082"/>
      <c r="M1082" s="17"/>
      <c r="N1082"/>
      <c r="O1082"/>
      <c r="P1082" s="34"/>
      <c r="Q1082"/>
    </row>
    <row r="1083" spans="1:17" x14ac:dyDescent="0.25">
      <c r="A1083" s="14"/>
      <c r="B1083"/>
      <c r="C1083" s="15"/>
      <c r="D1083"/>
      <c r="E1083"/>
      <c r="F1083" s="16"/>
      <c r="G1083"/>
      <c r="H1083"/>
      <c r="I1083" s="16"/>
      <c r="J1083"/>
      <c r="K1083"/>
      <c r="L1083"/>
      <c r="M1083" s="17"/>
      <c r="N1083"/>
      <c r="O1083"/>
      <c r="P1083" s="34"/>
      <c r="Q1083"/>
    </row>
    <row r="1084" spans="1:17" x14ac:dyDescent="0.25">
      <c r="A1084" s="14"/>
      <c r="B1084"/>
      <c r="C1084" s="15"/>
      <c r="D1084"/>
      <c r="E1084"/>
      <c r="F1084" s="16"/>
      <c r="G1084"/>
      <c r="H1084"/>
      <c r="I1084" s="16"/>
      <c r="J1084"/>
      <c r="K1084"/>
      <c r="L1084"/>
      <c r="M1084" s="17"/>
      <c r="N1084"/>
      <c r="O1084"/>
      <c r="P1084" s="34"/>
      <c r="Q1084"/>
    </row>
    <row r="1085" spans="1:17" x14ac:dyDescent="0.25">
      <c r="A1085" s="14"/>
      <c r="B1085"/>
      <c r="C1085" s="15"/>
      <c r="D1085"/>
      <c r="E1085"/>
      <c r="F1085" s="16"/>
      <c r="G1085"/>
      <c r="H1085"/>
      <c r="I1085" s="16"/>
      <c r="J1085"/>
      <c r="K1085"/>
      <c r="L1085"/>
      <c r="M1085" s="17"/>
      <c r="N1085"/>
      <c r="O1085"/>
      <c r="P1085" s="34"/>
      <c r="Q1085"/>
    </row>
    <row r="1086" spans="1:17" x14ac:dyDescent="0.25">
      <c r="A1086" s="14"/>
      <c r="B1086"/>
      <c r="C1086" s="15"/>
      <c r="D1086"/>
      <c r="E1086"/>
      <c r="F1086" s="16"/>
      <c r="G1086"/>
      <c r="H1086"/>
      <c r="I1086" s="16"/>
      <c r="J1086"/>
      <c r="K1086"/>
      <c r="L1086"/>
      <c r="M1086" s="17"/>
      <c r="N1086"/>
      <c r="O1086"/>
      <c r="P1086" s="34"/>
      <c r="Q1086"/>
    </row>
    <row r="1087" spans="1:17" x14ac:dyDescent="0.25">
      <c r="A1087" s="14"/>
      <c r="B1087"/>
      <c r="C1087" s="15"/>
      <c r="D1087"/>
      <c r="E1087"/>
      <c r="F1087" s="16"/>
      <c r="G1087"/>
      <c r="H1087"/>
      <c r="I1087" s="16"/>
      <c r="J1087"/>
      <c r="K1087"/>
      <c r="L1087"/>
      <c r="M1087" s="17"/>
      <c r="N1087"/>
      <c r="O1087"/>
      <c r="P1087" s="34"/>
      <c r="Q1087"/>
    </row>
    <row r="1088" spans="1:17" x14ac:dyDescent="0.25">
      <c r="A1088" s="14"/>
      <c r="B1088"/>
      <c r="C1088" s="15"/>
      <c r="D1088"/>
      <c r="E1088"/>
      <c r="F1088" s="16"/>
      <c r="G1088"/>
      <c r="H1088"/>
      <c r="I1088" s="16"/>
      <c r="J1088"/>
      <c r="K1088"/>
      <c r="L1088"/>
      <c r="M1088" s="17"/>
      <c r="N1088"/>
      <c r="O1088"/>
      <c r="P1088" s="34"/>
      <c r="Q1088"/>
    </row>
    <row r="1089" spans="1:17" x14ac:dyDescent="0.25">
      <c r="A1089" s="14"/>
      <c r="B1089"/>
      <c r="C1089" s="15"/>
      <c r="D1089"/>
      <c r="E1089"/>
      <c r="F1089" s="16"/>
      <c r="G1089"/>
      <c r="H1089"/>
      <c r="I1089" s="16"/>
      <c r="J1089"/>
      <c r="K1089"/>
      <c r="L1089"/>
      <c r="M1089" s="17"/>
      <c r="N1089"/>
      <c r="O1089"/>
      <c r="P1089" s="34"/>
      <c r="Q1089"/>
    </row>
    <row r="1090" spans="1:17" x14ac:dyDescent="0.25">
      <c r="A1090" s="14"/>
      <c r="B1090"/>
      <c r="C1090" s="15"/>
      <c r="D1090"/>
      <c r="E1090"/>
      <c r="F1090" s="16"/>
      <c r="G1090"/>
      <c r="H1090"/>
      <c r="I1090" s="16"/>
      <c r="J1090"/>
      <c r="K1090"/>
      <c r="L1090"/>
      <c r="M1090" s="17"/>
      <c r="N1090"/>
      <c r="O1090"/>
      <c r="P1090" s="34"/>
      <c r="Q1090"/>
    </row>
    <row r="1091" spans="1:17" x14ac:dyDescent="0.25">
      <c r="A1091" s="14"/>
      <c r="B1091"/>
      <c r="C1091" s="15"/>
      <c r="D1091"/>
      <c r="E1091"/>
      <c r="F1091" s="16"/>
      <c r="G1091"/>
      <c r="H1091"/>
      <c r="I1091" s="16"/>
      <c r="J1091"/>
      <c r="K1091"/>
      <c r="L1091"/>
      <c r="M1091" s="17"/>
      <c r="N1091"/>
      <c r="O1091"/>
      <c r="P1091" s="34"/>
      <c r="Q1091"/>
    </row>
    <row r="1092" spans="1:17" x14ac:dyDescent="0.25">
      <c r="A1092" s="14"/>
      <c r="B1092"/>
      <c r="C1092" s="15"/>
      <c r="D1092"/>
      <c r="E1092"/>
      <c r="F1092" s="16"/>
      <c r="G1092"/>
      <c r="H1092"/>
      <c r="I1092" s="16"/>
      <c r="J1092"/>
      <c r="K1092"/>
      <c r="L1092"/>
      <c r="M1092" s="17"/>
      <c r="N1092"/>
      <c r="O1092"/>
      <c r="P1092" s="34"/>
      <c r="Q1092"/>
    </row>
    <row r="1093" spans="1:17" x14ac:dyDescent="0.25">
      <c r="A1093" s="14"/>
      <c r="B1093"/>
      <c r="C1093" s="15"/>
      <c r="D1093"/>
      <c r="E1093"/>
      <c r="F1093" s="16"/>
      <c r="G1093"/>
      <c r="H1093"/>
      <c r="I1093" s="16"/>
      <c r="J1093"/>
      <c r="K1093"/>
      <c r="L1093"/>
      <c r="M1093" s="17"/>
      <c r="N1093"/>
      <c r="O1093"/>
      <c r="P1093" s="34"/>
      <c r="Q1093"/>
    </row>
    <row r="1094" spans="1:17" x14ac:dyDescent="0.25">
      <c r="A1094" s="14"/>
      <c r="B1094"/>
      <c r="C1094" s="15"/>
      <c r="D1094"/>
      <c r="E1094"/>
      <c r="F1094" s="16"/>
      <c r="G1094"/>
      <c r="H1094"/>
      <c r="I1094" s="16"/>
      <c r="J1094"/>
      <c r="K1094"/>
      <c r="L1094"/>
      <c r="M1094" s="17"/>
      <c r="N1094"/>
      <c r="O1094"/>
      <c r="P1094" s="34"/>
      <c r="Q1094"/>
    </row>
    <row r="1095" spans="1:17" x14ac:dyDescent="0.25">
      <c r="A1095" s="14"/>
      <c r="B1095"/>
      <c r="C1095" s="15"/>
      <c r="D1095"/>
      <c r="E1095"/>
      <c r="F1095" s="16"/>
      <c r="G1095"/>
      <c r="H1095"/>
      <c r="I1095" s="16"/>
      <c r="J1095"/>
      <c r="K1095"/>
      <c r="L1095"/>
      <c r="M1095" s="17"/>
      <c r="N1095"/>
      <c r="O1095"/>
      <c r="P1095" s="34"/>
      <c r="Q1095"/>
    </row>
    <row r="1096" spans="1:17" x14ac:dyDescent="0.25">
      <c r="A1096" s="14"/>
      <c r="B1096"/>
      <c r="C1096" s="15"/>
      <c r="D1096"/>
      <c r="E1096"/>
      <c r="F1096" s="16"/>
      <c r="G1096"/>
      <c r="H1096"/>
      <c r="I1096" s="16"/>
      <c r="J1096"/>
      <c r="K1096"/>
      <c r="L1096"/>
      <c r="M1096" s="17"/>
      <c r="N1096"/>
      <c r="O1096"/>
      <c r="P1096" s="34"/>
      <c r="Q1096"/>
    </row>
    <row r="1097" spans="1:17" x14ac:dyDescent="0.25">
      <c r="A1097" s="14"/>
      <c r="B1097"/>
      <c r="C1097" s="15"/>
      <c r="D1097"/>
      <c r="E1097"/>
      <c r="F1097" s="16"/>
      <c r="G1097"/>
      <c r="H1097"/>
      <c r="I1097" s="16"/>
      <c r="J1097"/>
      <c r="K1097"/>
      <c r="L1097"/>
      <c r="M1097" s="17"/>
      <c r="N1097"/>
      <c r="O1097"/>
      <c r="P1097" s="34"/>
      <c r="Q1097"/>
    </row>
    <row r="1098" spans="1:17" x14ac:dyDescent="0.25">
      <c r="A1098" s="14"/>
      <c r="B1098"/>
      <c r="C1098" s="15"/>
      <c r="D1098"/>
      <c r="E1098"/>
      <c r="F1098" s="16"/>
      <c r="G1098"/>
      <c r="H1098"/>
      <c r="I1098" s="16"/>
      <c r="J1098"/>
      <c r="K1098"/>
      <c r="L1098"/>
      <c r="M1098" s="17"/>
      <c r="N1098"/>
      <c r="O1098"/>
      <c r="P1098" s="34"/>
      <c r="Q1098"/>
    </row>
    <row r="1099" spans="1:17" x14ac:dyDescent="0.25">
      <c r="A1099" s="14"/>
      <c r="B1099"/>
      <c r="C1099" s="15"/>
      <c r="D1099"/>
      <c r="E1099"/>
      <c r="F1099" s="16"/>
      <c r="G1099"/>
      <c r="H1099"/>
      <c r="I1099" s="16"/>
      <c r="J1099"/>
      <c r="K1099"/>
      <c r="L1099"/>
      <c r="M1099" s="17"/>
      <c r="N1099"/>
      <c r="O1099"/>
      <c r="P1099" s="34"/>
      <c r="Q1099"/>
    </row>
    <row r="1100" spans="1:17" x14ac:dyDescent="0.25">
      <c r="A1100" s="14"/>
      <c r="B1100"/>
      <c r="C1100" s="15"/>
      <c r="D1100"/>
      <c r="E1100"/>
      <c r="F1100" s="16"/>
      <c r="G1100"/>
      <c r="H1100"/>
      <c r="I1100" s="16"/>
      <c r="J1100"/>
      <c r="K1100"/>
      <c r="L1100"/>
      <c r="M1100" s="17"/>
      <c r="N1100"/>
      <c r="O1100"/>
      <c r="P1100" s="34"/>
      <c r="Q1100"/>
    </row>
    <row r="1101" spans="1:17" x14ac:dyDescent="0.25">
      <c r="A1101" s="14"/>
      <c r="B1101"/>
      <c r="C1101" s="15"/>
      <c r="D1101"/>
      <c r="E1101"/>
      <c r="F1101" s="16"/>
      <c r="G1101"/>
      <c r="H1101"/>
      <c r="I1101" s="16"/>
      <c r="J1101"/>
      <c r="K1101"/>
      <c r="L1101"/>
      <c r="M1101" s="17"/>
      <c r="N1101"/>
      <c r="O1101"/>
      <c r="P1101" s="34"/>
      <c r="Q1101"/>
    </row>
    <row r="1102" spans="1:17" x14ac:dyDescent="0.25">
      <c r="A1102" s="14"/>
      <c r="B1102"/>
      <c r="C1102" s="15"/>
      <c r="D1102"/>
      <c r="E1102"/>
      <c r="F1102" s="16"/>
      <c r="G1102"/>
      <c r="H1102"/>
      <c r="I1102" s="16"/>
      <c r="J1102"/>
      <c r="K1102"/>
      <c r="L1102"/>
      <c r="M1102" s="17"/>
      <c r="N1102"/>
      <c r="O1102"/>
      <c r="P1102" s="34"/>
      <c r="Q1102"/>
    </row>
    <row r="1103" spans="1:17" x14ac:dyDescent="0.25">
      <c r="A1103" s="14"/>
      <c r="B1103"/>
      <c r="C1103" s="15"/>
      <c r="D1103"/>
      <c r="E1103"/>
      <c r="F1103" s="16"/>
      <c r="G1103"/>
      <c r="H1103"/>
      <c r="I1103" s="16"/>
      <c r="J1103"/>
      <c r="K1103"/>
      <c r="L1103"/>
      <c r="M1103" s="17"/>
      <c r="N1103"/>
      <c r="O1103"/>
      <c r="P1103" s="34"/>
      <c r="Q1103"/>
    </row>
    <row r="1104" spans="1:17" x14ac:dyDescent="0.25">
      <c r="A1104" s="14"/>
      <c r="B1104"/>
      <c r="C1104" s="15"/>
      <c r="D1104"/>
      <c r="E1104"/>
      <c r="F1104" s="16"/>
      <c r="G1104"/>
      <c r="H1104"/>
      <c r="I1104" s="16"/>
      <c r="J1104"/>
      <c r="K1104"/>
      <c r="L1104"/>
      <c r="M1104" s="17"/>
      <c r="N1104"/>
      <c r="O1104"/>
      <c r="P1104" s="34"/>
      <c r="Q1104"/>
    </row>
    <row r="1105" spans="1:17" x14ac:dyDescent="0.25">
      <c r="A1105" s="14"/>
      <c r="B1105"/>
      <c r="C1105" s="15"/>
      <c r="D1105"/>
      <c r="E1105"/>
      <c r="F1105" s="16"/>
      <c r="G1105"/>
      <c r="H1105"/>
      <c r="I1105" s="16"/>
      <c r="J1105"/>
      <c r="K1105"/>
      <c r="L1105"/>
      <c r="M1105" s="17"/>
      <c r="N1105"/>
      <c r="O1105"/>
      <c r="P1105" s="34"/>
      <c r="Q1105"/>
    </row>
    <row r="1106" spans="1:17" x14ac:dyDescent="0.25">
      <c r="A1106" s="14"/>
      <c r="B1106"/>
      <c r="C1106" s="15"/>
      <c r="D1106"/>
      <c r="E1106"/>
      <c r="F1106" s="16"/>
      <c r="G1106"/>
      <c r="H1106"/>
      <c r="I1106" s="16"/>
      <c r="J1106"/>
      <c r="K1106"/>
      <c r="L1106"/>
      <c r="M1106" s="17"/>
      <c r="N1106"/>
      <c r="O1106"/>
      <c r="P1106" s="34"/>
      <c r="Q1106"/>
    </row>
    <row r="1107" spans="1:17" x14ac:dyDescent="0.25">
      <c r="A1107" s="14"/>
      <c r="B1107"/>
      <c r="C1107" s="15"/>
      <c r="D1107"/>
      <c r="E1107"/>
      <c r="F1107" s="16"/>
      <c r="G1107"/>
      <c r="H1107"/>
      <c r="I1107" s="16"/>
      <c r="J1107"/>
      <c r="K1107"/>
      <c r="L1107"/>
      <c r="M1107" s="17"/>
      <c r="N1107"/>
      <c r="O1107"/>
      <c r="P1107" s="34"/>
      <c r="Q1107"/>
    </row>
    <row r="1108" spans="1:17" x14ac:dyDescent="0.25">
      <c r="A1108" s="14"/>
      <c r="B1108"/>
      <c r="C1108" s="15"/>
      <c r="D1108"/>
      <c r="E1108"/>
      <c r="F1108" s="16"/>
      <c r="G1108"/>
      <c r="H1108"/>
      <c r="I1108" s="16"/>
      <c r="J1108"/>
      <c r="K1108"/>
      <c r="L1108"/>
      <c r="M1108" s="17"/>
      <c r="N1108"/>
      <c r="O1108"/>
      <c r="P1108" s="34"/>
      <c r="Q1108"/>
    </row>
    <row r="1109" spans="1:17" x14ac:dyDescent="0.25">
      <c r="A1109" s="14"/>
      <c r="B1109"/>
      <c r="C1109" s="15"/>
      <c r="D1109"/>
      <c r="E1109"/>
      <c r="F1109" s="16"/>
      <c r="G1109"/>
      <c r="H1109"/>
      <c r="I1109" s="16"/>
      <c r="J1109"/>
      <c r="K1109"/>
      <c r="L1109"/>
      <c r="M1109" s="17"/>
      <c r="N1109"/>
      <c r="O1109"/>
      <c r="P1109" s="34"/>
      <c r="Q1109"/>
    </row>
    <row r="1110" spans="1:17" x14ac:dyDescent="0.25">
      <c r="A1110" s="14"/>
      <c r="B1110"/>
      <c r="C1110" s="15"/>
      <c r="D1110"/>
      <c r="E1110"/>
      <c r="F1110" s="16"/>
      <c r="G1110"/>
      <c r="H1110"/>
      <c r="I1110" s="16"/>
      <c r="J1110"/>
      <c r="K1110"/>
      <c r="L1110"/>
      <c r="M1110" s="17"/>
      <c r="N1110"/>
      <c r="O1110"/>
      <c r="P1110" s="34"/>
      <c r="Q1110"/>
    </row>
    <row r="1111" spans="1:17" x14ac:dyDescent="0.25">
      <c r="A1111" s="14"/>
      <c r="B1111"/>
      <c r="C1111" s="15"/>
      <c r="D1111"/>
      <c r="E1111"/>
      <c r="F1111" s="16"/>
      <c r="G1111"/>
      <c r="H1111"/>
      <c r="I1111" s="16"/>
      <c r="J1111"/>
      <c r="K1111"/>
      <c r="L1111"/>
      <c r="M1111" s="17"/>
      <c r="N1111"/>
      <c r="O1111"/>
      <c r="P1111" s="34"/>
      <c r="Q1111"/>
    </row>
    <row r="1112" spans="1:17" x14ac:dyDescent="0.25">
      <c r="A1112" s="14"/>
      <c r="B1112"/>
      <c r="C1112" s="15"/>
      <c r="D1112"/>
      <c r="E1112"/>
      <c r="F1112" s="16"/>
      <c r="G1112"/>
      <c r="H1112"/>
      <c r="I1112" s="16"/>
      <c r="J1112"/>
      <c r="K1112"/>
      <c r="L1112"/>
      <c r="M1112" s="17"/>
      <c r="N1112"/>
      <c r="O1112"/>
      <c r="P1112" s="34"/>
      <c r="Q1112"/>
    </row>
    <row r="1113" spans="1:17" x14ac:dyDescent="0.25">
      <c r="A1113" s="14"/>
      <c r="B1113"/>
      <c r="C1113" s="15"/>
      <c r="D1113"/>
      <c r="E1113"/>
      <c r="F1113" s="16"/>
      <c r="G1113"/>
      <c r="H1113"/>
      <c r="I1113" s="16"/>
      <c r="J1113"/>
      <c r="K1113"/>
      <c r="L1113"/>
      <c r="M1113" s="17"/>
      <c r="N1113"/>
      <c r="O1113"/>
      <c r="P1113" s="34"/>
      <c r="Q1113"/>
    </row>
    <row r="1114" spans="1:17" x14ac:dyDescent="0.25">
      <c r="A1114" s="14"/>
      <c r="B1114"/>
      <c r="C1114" s="15"/>
      <c r="D1114"/>
      <c r="E1114"/>
      <c r="F1114" s="16"/>
      <c r="G1114"/>
      <c r="H1114"/>
      <c r="I1114" s="16"/>
      <c r="J1114"/>
      <c r="K1114"/>
      <c r="L1114"/>
      <c r="M1114" s="17"/>
      <c r="N1114"/>
      <c r="O1114"/>
      <c r="P1114" s="34"/>
      <c r="Q1114"/>
    </row>
    <row r="1115" spans="1:17" x14ac:dyDescent="0.25">
      <c r="A1115" s="14"/>
      <c r="B1115"/>
      <c r="C1115" s="15"/>
      <c r="D1115"/>
      <c r="E1115"/>
      <c r="F1115" s="16"/>
      <c r="G1115"/>
      <c r="H1115"/>
      <c r="I1115" s="16"/>
      <c r="J1115"/>
      <c r="K1115"/>
      <c r="L1115"/>
      <c r="M1115" s="17"/>
      <c r="N1115"/>
      <c r="O1115"/>
      <c r="P1115" s="34"/>
      <c r="Q1115"/>
    </row>
    <row r="1116" spans="1:17" x14ac:dyDescent="0.25">
      <c r="A1116" s="14"/>
      <c r="B1116"/>
      <c r="C1116" s="15"/>
      <c r="D1116"/>
      <c r="E1116"/>
      <c r="F1116" s="16"/>
      <c r="G1116"/>
      <c r="H1116"/>
      <c r="I1116" s="16"/>
      <c r="J1116"/>
      <c r="K1116"/>
      <c r="L1116"/>
      <c r="M1116" s="17"/>
      <c r="N1116"/>
      <c r="O1116"/>
      <c r="P1116" s="34"/>
      <c r="Q1116"/>
    </row>
    <row r="1117" spans="1:17" x14ac:dyDescent="0.25">
      <c r="A1117" s="14"/>
      <c r="B1117"/>
      <c r="C1117" s="15"/>
      <c r="D1117"/>
      <c r="E1117"/>
      <c r="F1117" s="16"/>
      <c r="G1117"/>
      <c r="H1117"/>
      <c r="I1117" s="16"/>
      <c r="J1117"/>
      <c r="K1117"/>
      <c r="L1117"/>
      <c r="M1117" s="17"/>
      <c r="N1117"/>
      <c r="O1117"/>
      <c r="P1117" s="34"/>
      <c r="Q1117"/>
    </row>
    <row r="1118" spans="1:17" x14ac:dyDescent="0.25">
      <c r="A1118" s="14"/>
      <c r="B1118"/>
      <c r="C1118" s="15"/>
      <c r="D1118"/>
      <c r="E1118"/>
      <c r="F1118" s="16"/>
      <c r="G1118"/>
      <c r="H1118"/>
      <c r="I1118" s="16"/>
      <c r="J1118"/>
      <c r="K1118"/>
      <c r="L1118"/>
      <c r="M1118" s="17"/>
      <c r="N1118"/>
      <c r="O1118"/>
      <c r="P1118" s="34"/>
      <c r="Q1118"/>
    </row>
    <row r="1119" spans="1:17" x14ac:dyDescent="0.25">
      <c r="A1119" s="14"/>
      <c r="B1119"/>
      <c r="C1119" s="15"/>
      <c r="D1119"/>
      <c r="E1119"/>
      <c r="F1119" s="16"/>
      <c r="G1119"/>
      <c r="H1119"/>
      <c r="I1119" s="16"/>
      <c r="J1119"/>
      <c r="K1119"/>
      <c r="L1119"/>
      <c r="M1119" s="17"/>
      <c r="N1119"/>
      <c r="O1119"/>
      <c r="P1119" s="34"/>
      <c r="Q1119"/>
    </row>
    <row r="1120" spans="1:17" x14ac:dyDescent="0.25">
      <c r="A1120" s="14"/>
      <c r="B1120"/>
      <c r="C1120" s="15"/>
      <c r="D1120"/>
      <c r="E1120"/>
      <c r="F1120" s="16"/>
      <c r="G1120"/>
      <c r="H1120"/>
      <c r="I1120" s="16"/>
      <c r="J1120"/>
      <c r="K1120"/>
      <c r="L1120"/>
      <c r="M1120" s="17"/>
      <c r="N1120"/>
      <c r="O1120"/>
      <c r="P1120" s="34"/>
      <c r="Q1120"/>
    </row>
    <row r="1121" spans="1:17" x14ac:dyDescent="0.25">
      <c r="A1121" s="14"/>
      <c r="B1121"/>
      <c r="C1121" s="15"/>
      <c r="D1121"/>
      <c r="E1121"/>
      <c r="F1121" s="16"/>
      <c r="G1121"/>
      <c r="H1121"/>
      <c r="I1121" s="16"/>
      <c r="J1121"/>
      <c r="K1121"/>
      <c r="L1121"/>
      <c r="M1121" s="17"/>
      <c r="N1121"/>
      <c r="O1121"/>
      <c r="P1121" s="34"/>
      <c r="Q1121"/>
    </row>
    <row r="1122" spans="1:17" x14ac:dyDescent="0.25">
      <c r="A1122" s="14"/>
      <c r="B1122"/>
      <c r="C1122" s="15"/>
      <c r="D1122"/>
      <c r="E1122"/>
      <c r="F1122" s="16"/>
      <c r="G1122"/>
      <c r="H1122"/>
      <c r="I1122" s="16"/>
      <c r="J1122"/>
      <c r="K1122"/>
      <c r="L1122"/>
      <c r="M1122" s="17"/>
      <c r="N1122"/>
      <c r="O1122"/>
      <c r="P1122" s="34"/>
      <c r="Q1122"/>
    </row>
    <row r="1123" spans="1:17" x14ac:dyDescent="0.25">
      <c r="A1123" s="14"/>
      <c r="B1123"/>
      <c r="C1123" s="15"/>
      <c r="D1123"/>
      <c r="E1123"/>
      <c r="F1123" s="16"/>
      <c r="G1123"/>
      <c r="H1123"/>
      <c r="I1123" s="16"/>
      <c r="J1123"/>
      <c r="K1123"/>
      <c r="L1123"/>
      <c r="M1123" s="17"/>
      <c r="N1123"/>
      <c r="O1123"/>
      <c r="P1123" s="34"/>
      <c r="Q1123"/>
    </row>
    <row r="1124" spans="1:17" x14ac:dyDescent="0.25">
      <c r="A1124" s="14"/>
      <c r="B1124"/>
      <c r="C1124" s="15"/>
      <c r="D1124"/>
      <c r="E1124"/>
      <c r="F1124" s="16"/>
      <c r="G1124"/>
      <c r="H1124"/>
      <c r="I1124" s="16"/>
      <c r="J1124"/>
      <c r="K1124"/>
      <c r="L1124"/>
      <c r="M1124" s="17"/>
      <c r="N1124"/>
      <c r="O1124"/>
      <c r="P1124" s="34"/>
      <c r="Q1124"/>
    </row>
    <row r="1125" spans="1:17" x14ac:dyDescent="0.25">
      <c r="A1125" s="14"/>
      <c r="B1125"/>
      <c r="C1125" s="15"/>
      <c r="D1125"/>
      <c r="E1125"/>
      <c r="F1125" s="16"/>
      <c r="G1125"/>
      <c r="H1125"/>
      <c r="I1125" s="16"/>
      <c r="J1125"/>
      <c r="K1125"/>
      <c r="L1125"/>
      <c r="M1125" s="17"/>
      <c r="N1125"/>
      <c r="O1125"/>
      <c r="P1125" s="34"/>
      <c r="Q1125"/>
    </row>
    <row r="1126" spans="1:17" x14ac:dyDescent="0.25">
      <c r="A1126" s="14"/>
      <c r="B1126"/>
      <c r="C1126" s="15"/>
      <c r="D1126"/>
      <c r="E1126"/>
      <c r="F1126" s="16"/>
      <c r="G1126"/>
      <c r="H1126"/>
      <c r="I1126" s="16"/>
      <c r="J1126"/>
      <c r="K1126"/>
      <c r="L1126"/>
      <c r="M1126" s="17"/>
      <c r="N1126"/>
      <c r="O1126"/>
      <c r="P1126" s="34"/>
      <c r="Q1126"/>
    </row>
    <row r="1127" spans="1:17" x14ac:dyDescent="0.25">
      <c r="A1127" s="14"/>
      <c r="B1127"/>
      <c r="C1127" s="15"/>
      <c r="D1127"/>
      <c r="E1127"/>
      <c r="F1127" s="16"/>
      <c r="G1127"/>
      <c r="H1127"/>
      <c r="I1127" s="16"/>
      <c r="J1127"/>
      <c r="K1127"/>
      <c r="L1127"/>
      <c r="M1127" s="17"/>
      <c r="N1127"/>
      <c r="O1127"/>
      <c r="P1127" s="34"/>
      <c r="Q1127"/>
    </row>
    <row r="1128" spans="1:17" x14ac:dyDescent="0.25">
      <c r="A1128" s="14"/>
      <c r="B1128"/>
      <c r="C1128" s="15"/>
      <c r="D1128"/>
      <c r="E1128"/>
      <c r="F1128" s="16"/>
      <c r="G1128"/>
      <c r="H1128"/>
      <c r="I1128" s="16"/>
      <c r="J1128"/>
      <c r="K1128"/>
      <c r="L1128"/>
      <c r="M1128" s="17"/>
      <c r="N1128"/>
      <c r="O1128"/>
      <c r="P1128" s="34"/>
      <c r="Q1128"/>
    </row>
    <row r="1129" spans="1:17" x14ac:dyDescent="0.25">
      <c r="A1129" s="14"/>
      <c r="B1129"/>
      <c r="C1129" s="15"/>
      <c r="D1129"/>
      <c r="E1129"/>
      <c r="F1129" s="16"/>
      <c r="G1129"/>
      <c r="H1129"/>
      <c r="I1129" s="16"/>
      <c r="J1129"/>
      <c r="K1129"/>
      <c r="L1129"/>
      <c r="M1129" s="17"/>
      <c r="N1129"/>
      <c r="O1129"/>
      <c r="P1129" s="34"/>
      <c r="Q1129"/>
    </row>
    <row r="1130" spans="1:17" x14ac:dyDescent="0.25">
      <c r="A1130" s="14"/>
      <c r="B1130"/>
      <c r="C1130" s="15"/>
      <c r="D1130"/>
      <c r="E1130"/>
      <c r="F1130" s="16"/>
      <c r="G1130"/>
      <c r="H1130"/>
      <c r="I1130" s="16"/>
      <c r="J1130"/>
      <c r="K1130"/>
      <c r="L1130"/>
      <c r="M1130" s="17"/>
      <c r="N1130"/>
      <c r="O1130"/>
      <c r="P1130" s="34"/>
      <c r="Q1130"/>
    </row>
    <row r="1131" spans="1:17" x14ac:dyDescent="0.25">
      <c r="A1131" s="14"/>
      <c r="B1131"/>
      <c r="C1131" s="15"/>
      <c r="D1131"/>
      <c r="E1131"/>
      <c r="F1131" s="16"/>
      <c r="G1131"/>
      <c r="H1131"/>
      <c r="I1131" s="16"/>
      <c r="J1131"/>
      <c r="K1131"/>
      <c r="L1131"/>
      <c r="M1131" s="17"/>
      <c r="N1131"/>
      <c r="O1131"/>
      <c r="P1131" s="34"/>
      <c r="Q1131"/>
    </row>
    <row r="1132" spans="1:17" x14ac:dyDescent="0.25">
      <c r="A1132" s="14"/>
      <c r="B1132"/>
      <c r="C1132" s="15"/>
      <c r="D1132"/>
      <c r="E1132"/>
      <c r="F1132" s="16"/>
      <c r="G1132"/>
      <c r="H1132"/>
      <c r="I1132" s="16"/>
      <c r="J1132"/>
      <c r="K1132"/>
      <c r="L1132"/>
      <c r="M1132" s="17"/>
      <c r="N1132"/>
      <c r="O1132"/>
      <c r="P1132" s="34"/>
      <c r="Q1132"/>
    </row>
    <row r="1133" spans="1:17" x14ac:dyDescent="0.25">
      <c r="A1133" s="14"/>
      <c r="B1133"/>
      <c r="C1133" s="15"/>
      <c r="D1133"/>
      <c r="E1133"/>
      <c r="F1133" s="16"/>
      <c r="G1133"/>
      <c r="H1133"/>
      <c r="I1133" s="16"/>
      <c r="J1133"/>
      <c r="K1133"/>
      <c r="L1133"/>
      <c r="M1133" s="17"/>
      <c r="N1133"/>
      <c r="O1133"/>
      <c r="P1133" s="34"/>
      <c r="Q1133"/>
    </row>
    <row r="1134" spans="1:17" x14ac:dyDescent="0.25">
      <c r="A1134" s="14"/>
      <c r="B1134"/>
      <c r="C1134" s="15"/>
      <c r="D1134"/>
      <c r="E1134"/>
      <c r="F1134" s="16"/>
      <c r="G1134"/>
      <c r="H1134"/>
      <c r="I1134" s="16"/>
      <c r="J1134"/>
      <c r="K1134"/>
      <c r="L1134"/>
      <c r="M1134" s="17"/>
      <c r="N1134"/>
      <c r="O1134"/>
      <c r="P1134" s="34"/>
      <c r="Q1134"/>
    </row>
    <row r="1135" spans="1:17" x14ac:dyDescent="0.25">
      <c r="A1135" s="14"/>
      <c r="B1135"/>
      <c r="C1135" s="15"/>
      <c r="D1135"/>
      <c r="E1135"/>
      <c r="F1135" s="16"/>
      <c r="G1135"/>
      <c r="H1135"/>
      <c r="I1135" s="16"/>
      <c r="J1135"/>
      <c r="K1135"/>
      <c r="L1135"/>
      <c r="M1135" s="17"/>
      <c r="N1135"/>
      <c r="O1135"/>
      <c r="P1135" s="34"/>
      <c r="Q1135"/>
    </row>
    <row r="1136" spans="1:17" x14ac:dyDescent="0.25">
      <c r="A1136" s="14"/>
      <c r="B1136"/>
      <c r="C1136" s="15"/>
      <c r="D1136"/>
      <c r="E1136"/>
      <c r="F1136" s="16"/>
      <c r="G1136"/>
      <c r="H1136"/>
      <c r="I1136" s="16"/>
      <c r="J1136"/>
      <c r="K1136"/>
      <c r="L1136"/>
      <c r="M1136" s="17"/>
      <c r="N1136"/>
      <c r="O1136"/>
      <c r="P1136" s="34"/>
      <c r="Q1136"/>
    </row>
    <row r="1137" spans="1:17" x14ac:dyDescent="0.25">
      <c r="A1137" s="14"/>
      <c r="B1137"/>
      <c r="C1137" s="15"/>
      <c r="D1137"/>
      <c r="E1137"/>
      <c r="F1137" s="16"/>
      <c r="G1137"/>
      <c r="H1137"/>
      <c r="I1137" s="16"/>
      <c r="J1137"/>
      <c r="K1137"/>
      <c r="L1137"/>
      <c r="M1137" s="17"/>
      <c r="N1137"/>
      <c r="O1137"/>
      <c r="P1137" s="34"/>
      <c r="Q1137"/>
    </row>
    <row r="1138" spans="1:17" x14ac:dyDescent="0.25">
      <c r="A1138" s="14"/>
      <c r="B1138"/>
      <c r="C1138" s="15"/>
      <c r="D1138"/>
      <c r="E1138"/>
      <c r="F1138" s="16"/>
      <c r="G1138"/>
      <c r="H1138"/>
      <c r="I1138" s="16"/>
      <c r="J1138"/>
      <c r="K1138"/>
      <c r="L1138"/>
      <c r="M1138" s="17"/>
      <c r="N1138"/>
      <c r="O1138"/>
      <c r="P1138" s="34"/>
      <c r="Q1138"/>
    </row>
    <row r="1139" spans="1:17" x14ac:dyDescent="0.25">
      <c r="A1139" s="14"/>
      <c r="B1139"/>
      <c r="C1139" s="15"/>
      <c r="D1139"/>
      <c r="E1139"/>
      <c r="F1139" s="16"/>
      <c r="G1139"/>
      <c r="H1139"/>
      <c r="I1139" s="16"/>
      <c r="J1139"/>
      <c r="K1139"/>
      <c r="L1139"/>
      <c r="M1139" s="17"/>
      <c r="N1139"/>
      <c r="O1139"/>
      <c r="P1139" s="34"/>
      <c r="Q1139"/>
    </row>
    <row r="1140" spans="1:17" x14ac:dyDescent="0.25">
      <c r="A1140" s="14"/>
      <c r="B1140"/>
      <c r="C1140" s="15"/>
      <c r="D1140"/>
      <c r="E1140"/>
      <c r="F1140" s="16"/>
      <c r="G1140"/>
      <c r="H1140"/>
      <c r="I1140" s="16"/>
      <c r="J1140"/>
      <c r="K1140"/>
      <c r="L1140"/>
      <c r="M1140" s="17"/>
      <c r="N1140"/>
      <c r="O1140"/>
      <c r="P1140" s="34"/>
      <c r="Q1140"/>
    </row>
    <row r="1141" spans="1:17" x14ac:dyDescent="0.25">
      <c r="A1141" s="14"/>
      <c r="B1141"/>
      <c r="C1141" s="15"/>
      <c r="D1141"/>
      <c r="E1141"/>
      <c r="F1141" s="16"/>
      <c r="G1141"/>
      <c r="H1141"/>
      <c r="I1141" s="16"/>
      <c r="J1141"/>
      <c r="K1141"/>
      <c r="L1141"/>
      <c r="M1141" s="17"/>
      <c r="N1141"/>
      <c r="O1141"/>
      <c r="P1141" s="34"/>
      <c r="Q1141"/>
    </row>
    <row r="1142" spans="1:17" x14ac:dyDescent="0.25">
      <c r="A1142" s="14"/>
      <c r="B1142"/>
      <c r="C1142" s="15"/>
      <c r="D1142"/>
      <c r="E1142"/>
      <c r="F1142" s="16"/>
      <c r="G1142"/>
      <c r="H1142"/>
      <c r="I1142" s="16"/>
      <c r="J1142"/>
      <c r="K1142"/>
      <c r="L1142"/>
      <c r="M1142" s="17"/>
      <c r="N1142"/>
      <c r="O1142"/>
      <c r="P1142" s="34"/>
      <c r="Q1142"/>
    </row>
    <row r="1143" spans="1:17" x14ac:dyDescent="0.25">
      <c r="A1143" s="14"/>
      <c r="B1143"/>
      <c r="C1143" s="15"/>
      <c r="D1143"/>
      <c r="E1143"/>
      <c r="F1143" s="16"/>
      <c r="G1143"/>
      <c r="H1143"/>
      <c r="I1143" s="16"/>
      <c r="J1143"/>
      <c r="K1143"/>
      <c r="L1143"/>
      <c r="M1143" s="17"/>
      <c r="N1143"/>
      <c r="O1143"/>
      <c r="P1143" s="34"/>
      <c r="Q1143"/>
    </row>
    <row r="1144" spans="1:17" x14ac:dyDescent="0.25">
      <c r="A1144" s="14"/>
      <c r="B1144"/>
      <c r="C1144" s="15"/>
      <c r="D1144"/>
      <c r="E1144"/>
      <c r="F1144" s="16"/>
      <c r="G1144"/>
      <c r="H1144"/>
      <c r="I1144" s="16"/>
      <c r="J1144"/>
      <c r="K1144"/>
      <c r="L1144"/>
      <c r="M1144" s="17"/>
      <c r="N1144"/>
      <c r="O1144"/>
      <c r="P1144" s="34"/>
      <c r="Q1144"/>
    </row>
    <row r="1145" spans="1:17" x14ac:dyDescent="0.25">
      <c r="A1145" s="14"/>
      <c r="B1145"/>
      <c r="C1145" s="15"/>
      <c r="D1145"/>
      <c r="E1145"/>
      <c r="F1145" s="16"/>
      <c r="G1145"/>
      <c r="H1145"/>
      <c r="I1145" s="16"/>
      <c r="J1145"/>
      <c r="K1145"/>
      <c r="L1145"/>
      <c r="M1145" s="17"/>
      <c r="N1145"/>
      <c r="O1145"/>
      <c r="P1145" s="34"/>
      <c r="Q1145"/>
    </row>
    <row r="1146" spans="1:17" x14ac:dyDescent="0.25">
      <c r="A1146" s="14"/>
      <c r="B1146"/>
      <c r="C1146" s="15"/>
      <c r="D1146"/>
      <c r="E1146"/>
      <c r="F1146" s="16"/>
      <c r="G1146"/>
      <c r="H1146"/>
      <c r="I1146" s="16"/>
      <c r="J1146"/>
      <c r="K1146"/>
      <c r="L1146"/>
      <c r="M1146" s="17"/>
      <c r="N1146"/>
      <c r="O1146"/>
      <c r="P1146" s="34"/>
      <c r="Q1146"/>
    </row>
    <row r="1147" spans="1:17" x14ac:dyDescent="0.25">
      <c r="A1147" s="14"/>
      <c r="B1147"/>
      <c r="C1147" s="15"/>
      <c r="D1147"/>
      <c r="E1147"/>
      <c r="F1147" s="16"/>
      <c r="G1147"/>
      <c r="H1147"/>
      <c r="I1147" s="16"/>
      <c r="J1147"/>
      <c r="K1147"/>
      <c r="L1147"/>
      <c r="M1147" s="17"/>
      <c r="N1147"/>
      <c r="O1147"/>
      <c r="P1147" s="34"/>
      <c r="Q1147"/>
    </row>
    <row r="1148" spans="1:17" x14ac:dyDescent="0.25">
      <c r="A1148" s="14"/>
      <c r="B1148"/>
      <c r="C1148" s="15"/>
      <c r="D1148"/>
      <c r="E1148"/>
      <c r="F1148" s="16"/>
      <c r="G1148"/>
      <c r="H1148"/>
      <c r="I1148" s="16"/>
      <c r="J1148"/>
      <c r="K1148"/>
      <c r="L1148"/>
      <c r="M1148" s="17"/>
      <c r="N1148"/>
      <c r="O1148"/>
      <c r="P1148" s="34"/>
      <c r="Q1148"/>
    </row>
    <row r="1149" spans="1:17" x14ac:dyDescent="0.25">
      <c r="A1149" s="14"/>
      <c r="B1149"/>
      <c r="C1149" s="15"/>
      <c r="D1149"/>
      <c r="E1149"/>
      <c r="F1149" s="16"/>
      <c r="G1149"/>
      <c r="H1149"/>
      <c r="I1149" s="16"/>
      <c r="J1149"/>
      <c r="K1149"/>
      <c r="L1149"/>
      <c r="M1149" s="17"/>
      <c r="N1149"/>
      <c r="O1149"/>
      <c r="P1149" s="34"/>
      <c r="Q1149"/>
    </row>
    <row r="1150" spans="1:17" x14ac:dyDescent="0.25">
      <c r="A1150" s="14"/>
      <c r="B1150"/>
      <c r="C1150" s="15"/>
      <c r="D1150"/>
      <c r="E1150"/>
      <c r="F1150" s="16"/>
      <c r="G1150"/>
      <c r="H1150"/>
      <c r="I1150" s="16"/>
      <c r="J1150"/>
      <c r="K1150"/>
      <c r="L1150"/>
      <c r="M1150" s="17"/>
      <c r="N1150"/>
      <c r="O1150"/>
      <c r="P1150" s="34"/>
      <c r="Q1150"/>
    </row>
    <row r="1151" spans="1:17" x14ac:dyDescent="0.25">
      <c r="A1151" s="14"/>
      <c r="B1151"/>
      <c r="C1151" s="15"/>
      <c r="D1151"/>
      <c r="E1151"/>
      <c r="F1151" s="16"/>
      <c r="G1151"/>
      <c r="H1151"/>
      <c r="I1151" s="16"/>
      <c r="J1151"/>
      <c r="K1151"/>
      <c r="L1151"/>
      <c r="M1151" s="17"/>
      <c r="N1151"/>
      <c r="O1151"/>
      <c r="P1151" s="34"/>
      <c r="Q1151"/>
    </row>
    <row r="1152" spans="1:17" x14ac:dyDescent="0.25">
      <c r="A1152" s="14"/>
      <c r="B1152"/>
      <c r="C1152" s="15"/>
      <c r="D1152"/>
      <c r="E1152"/>
      <c r="F1152" s="16"/>
      <c r="G1152"/>
      <c r="H1152"/>
      <c r="I1152" s="16"/>
      <c r="J1152"/>
      <c r="K1152"/>
      <c r="L1152"/>
      <c r="M1152" s="17"/>
      <c r="N1152"/>
      <c r="O1152"/>
      <c r="P1152" s="34"/>
      <c r="Q1152"/>
    </row>
    <row r="1153" spans="1:17" x14ac:dyDescent="0.25">
      <c r="A1153" s="14"/>
      <c r="B1153"/>
      <c r="C1153" s="15"/>
      <c r="D1153"/>
      <c r="E1153"/>
      <c r="F1153" s="16"/>
      <c r="G1153"/>
      <c r="H1153"/>
      <c r="I1153" s="16"/>
      <c r="J1153"/>
      <c r="K1153"/>
      <c r="L1153"/>
      <c r="M1153" s="17"/>
      <c r="N1153"/>
      <c r="O1153"/>
      <c r="P1153" s="34"/>
      <c r="Q1153"/>
    </row>
    <row r="1154" spans="1:17" x14ac:dyDescent="0.25">
      <c r="A1154" s="14"/>
      <c r="B1154"/>
      <c r="C1154" s="15"/>
      <c r="D1154"/>
      <c r="E1154"/>
      <c r="F1154" s="16"/>
      <c r="G1154"/>
      <c r="H1154"/>
      <c r="I1154" s="16"/>
      <c r="J1154"/>
      <c r="K1154"/>
      <c r="L1154"/>
      <c r="M1154" s="17"/>
      <c r="N1154"/>
      <c r="O1154"/>
      <c r="P1154" s="34"/>
      <c r="Q1154"/>
    </row>
    <row r="1155" spans="1:17" x14ac:dyDescent="0.25">
      <c r="A1155" s="14"/>
      <c r="B1155"/>
      <c r="C1155" s="15"/>
      <c r="D1155"/>
      <c r="E1155"/>
      <c r="F1155" s="16"/>
      <c r="G1155"/>
      <c r="H1155"/>
      <c r="I1155" s="16"/>
      <c r="J1155"/>
      <c r="K1155"/>
      <c r="L1155"/>
      <c r="M1155" s="17"/>
      <c r="N1155"/>
      <c r="O1155"/>
      <c r="P1155" s="34"/>
      <c r="Q1155"/>
    </row>
    <row r="1156" spans="1:17" x14ac:dyDescent="0.25">
      <c r="A1156" s="14"/>
      <c r="B1156"/>
      <c r="C1156" s="15"/>
      <c r="D1156"/>
      <c r="E1156"/>
      <c r="F1156" s="16"/>
      <c r="G1156"/>
      <c r="H1156"/>
      <c r="I1156" s="16"/>
      <c r="J1156"/>
      <c r="K1156"/>
      <c r="L1156"/>
      <c r="M1156" s="17"/>
      <c r="N1156"/>
      <c r="O1156"/>
      <c r="P1156" s="34"/>
      <c r="Q1156"/>
    </row>
    <row r="1157" spans="1:17" x14ac:dyDescent="0.25">
      <c r="A1157" s="14"/>
      <c r="B1157"/>
      <c r="C1157" s="15"/>
      <c r="D1157"/>
      <c r="E1157"/>
      <c r="F1157" s="16"/>
      <c r="G1157"/>
      <c r="H1157"/>
      <c r="I1157" s="16"/>
      <c r="J1157"/>
      <c r="K1157"/>
      <c r="L1157"/>
      <c r="M1157" s="17"/>
      <c r="N1157"/>
      <c r="O1157"/>
      <c r="P1157" s="34"/>
      <c r="Q1157"/>
    </row>
    <row r="1158" spans="1:17" x14ac:dyDescent="0.25">
      <c r="A1158" s="14"/>
      <c r="B1158"/>
      <c r="C1158" s="15"/>
      <c r="D1158"/>
      <c r="E1158"/>
      <c r="F1158" s="16"/>
      <c r="G1158"/>
      <c r="H1158"/>
      <c r="I1158" s="16"/>
      <c r="J1158"/>
      <c r="K1158"/>
      <c r="L1158"/>
      <c r="M1158" s="17"/>
      <c r="N1158"/>
      <c r="O1158"/>
      <c r="P1158" s="34"/>
      <c r="Q1158"/>
    </row>
    <row r="1159" spans="1:17" x14ac:dyDescent="0.25">
      <c r="A1159" s="14"/>
      <c r="B1159"/>
      <c r="C1159" s="15"/>
      <c r="D1159"/>
      <c r="E1159"/>
      <c r="F1159" s="16"/>
      <c r="G1159"/>
      <c r="H1159"/>
      <c r="I1159" s="16"/>
      <c r="J1159"/>
      <c r="K1159"/>
      <c r="L1159"/>
      <c r="M1159" s="17"/>
      <c r="N1159"/>
      <c r="O1159"/>
      <c r="P1159" s="34"/>
      <c r="Q1159"/>
    </row>
    <row r="1160" spans="1:17" x14ac:dyDescent="0.25">
      <c r="A1160" s="14"/>
      <c r="B1160"/>
      <c r="C1160" s="15"/>
      <c r="D1160"/>
      <c r="E1160"/>
      <c r="F1160" s="16"/>
      <c r="G1160"/>
      <c r="H1160"/>
      <c r="I1160" s="16"/>
      <c r="J1160"/>
      <c r="K1160"/>
      <c r="L1160"/>
      <c r="M1160" s="17"/>
      <c r="N1160"/>
      <c r="O1160"/>
      <c r="P1160" s="34"/>
      <c r="Q1160"/>
    </row>
    <row r="1161" spans="1:17" x14ac:dyDescent="0.25">
      <c r="A1161" s="14"/>
      <c r="B1161"/>
      <c r="C1161" s="15"/>
      <c r="D1161"/>
      <c r="E1161"/>
      <c r="F1161" s="16"/>
      <c r="G1161"/>
      <c r="H1161"/>
      <c r="I1161" s="16"/>
      <c r="J1161"/>
      <c r="K1161"/>
      <c r="L1161"/>
      <c r="M1161" s="17"/>
      <c r="N1161"/>
      <c r="O1161"/>
      <c r="P1161" s="34"/>
      <c r="Q1161"/>
    </row>
    <row r="1162" spans="1:17" x14ac:dyDescent="0.25">
      <c r="A1162" s="14"/>
      <c r="B1162"/>
      <c r="C1162" s="15"/>
      <c r="D1162"/>
      <c r="E1162"/>
      <c r="F1162" s="16"/>
      <c r="G1162"/>
      <c r="H1162"/>
      <c r="I1162" s="16"/>
      <c r="J1162"/>
      <c r="K1162"/>
      <c r="L1162"/>
      <c r="M1162" s="17"/>
      <c r="N1162"/>
      <c r="O1162"/>
      <c r="P1162" s="34"/>
      <c r="Q1162"/>
    </row>
    <row r="1163" spans="1:17" x14ac:dyDescent="0.25">
      <c r="A1163" s="14"/>
      <c r="B1163"/>
      <c r="C1163" s="15"/>
      <c r="D1163"/>
      <c r="E1163"/>
      <c r="F1163" s="16"/>
      <c r="G1163"/>
      <c r="H1163"/>
      <c r="I1163" s="16"/>
      <c r="J1163"/>
      <c r="K1163"/>
      <c r="L1163"/>
      <c r="M1163" s="17"/>
      <c r="N1163"/>
      <c r="O1163"/>
      <c r="P1163" s="34"/>
      <c r="Q1163"/>
    </row>
    <row r="1164" spans="1:17" x14ac:dyDescent="0.25">
      <c r="A1164" s="14"/>
      <c r="B1164"/>
      <c r="C1164" s="15"/>
      <c r="D1164"/>
      <c r="E1164"/>
      <c r="F1164" s="16"/>
      <c r="G1164"/>
      <c r="H1164"/>
      <c r="I1164" s="16"/>
      <c r="J1164"/>
      <c r="K1164"/>
      <c r="L1164"/>
      <c r="M1164" s="17"/>
      <c r="N1164"/>
      <c r="O1164"/>
      <c r="P1164" s="34"/>
      <c r="Q1164"/>
    </row>
    <row r="1165" spans="1:17" x14ac:dyDescent="0.25">
      <c r="A1165" s="14"/>
      <c r="B1165"/>
      <c r="C1165" s="15"/>
      <c r="D1165"/>
      <c r="E1165"/>
      <c r="F1165" s="16"/>
      <c r="G1165"/>
      <c r="H1165"/>
      <c r="I1165" s="16"/>
      <c r="J1165"/>
      <c r="K1165"/>
      <c r="L1165"/>
      <c r="M1165" s="17"/>
      <c r="N1165"/>
      <c r="O1165"/>
      <c r="P1165" s="34"/>
      <c r="Q1165"/>
    </row>
    <row r="1166" spans="1:17" x14ac:dyDescent="0.25">
      <c r="A1166" s="14"/>
      <c r="B1166"/>
      <c r="C1166" s="15"/>
      <c r="D1166"/>
      <c r="E1166"/>
      <c r="F1166" s="16"/>
      <c r="G1166"/>
      <c r="H1166"/>
      <c r="I1166" s="16"/>
      <c r="J1166"/>
      <c r="K1166"/>
      <c r="L1166"/>
      <c r="M1166" s="17"/>
      <c r="N1166"/>
      <c r="O1166"/>
      <c r="P1166" s="34"/>
      <c r="Q1166"/>
    </row>
    <row r="1167" spans="1:17" x14ac:dyDescent="0.25">
      <c r="A1167" s="14"/>
      <c r="B1167"/>
      <c r="C1167" s="15"/>
      <c r="D1167"/>
      <c r="E1167"/>
      <c r="F1167" s="16"/>
      <c r="G1167"/>
      <c r="H1167"/>
      <c r="I1167" s="16"/>
      <c r="J1167"/>
      <c r="K1167"/>
      <c r="L1167"/>
      <c r="M1167" s="17"/>
      <c r="N1167"/>
      <c r="O1167"/>
      <c r="P1167" s="34"/>
      <c r="Q1167"/>
    </row>
    <row r="1168" spans="1:17" x14ac:dyDescent="0.25">
      <c r="A1168" s="14"/>
      <c r="B1168"/>
      <c r="C1168" s="15"/>
      <c r="D1168"/>
      <c r="E1168"/>
      <c r="F1168" s="16"/>
      <c r="G1168"/>
      <c r="H1168"/>
      <c r="I1168" s="16"/>
      <c r="J1168"/>
      <c r="K1168"/>
      <c r="L1168"/>
      <c r="M1168" s="17"/>
      <c r="N1168"/>
      <c r="O1168"/>
      <c r="P1168" s="34"/>
      <c r="Q1168"/>
    </row>
    <row r="1169" spans="1:17" x14ac:dyDescent="0.25">
      <c r="A1169" s="14"/>
      <c r="B1169"/>
      <c r="C1169" s="15"/>
      <c r="D1169"/>
      <c r="E1169"/>
      <c r="F1169" s="16"/>
      <c r="G1169"/>
      <c r="H1169"/>
      <c r="I1169" s="16"/>
      <c r="J1169"/>
      <c r="K1169"/>
      <c r="L1169"/>
      <c r="M1169" s="17"/>
      <c r="N1169"/>
      <c r="O1169"/>
      <c r="P1169" s="34"/>
      <c r="Q1169"/>
    </row>
    <row r="1170" spans="1:17" x14ac:dyDescent="0.25">
      <c r="A1170" s="14"/>
      <c r="B1170"/>
      <c r="C1170" s="15"/>
      <c r="D1170"/>
      <c r="E1170"/>
      <c r="F1170" s="16"/>
      <c r="G1170"/>
      <c r="H1170"/>
      <c r="I1170" s="16"/>
      <c r="J1170"/>
      <c r="K1170"/>
      <c r="L1170"/>
      <c r="M1170" s="17"/>
      <c r="N1170"/>
      <c r="O1170"/>
      <c r="P1170" s="34"/>
      <c r="Q1170"/>
    </row>
    <row r="1171" spans="1:17" x14ac:dyDescent="0.25">
      <c r="A1171" s="14"/>
      <c r="B1171"/>
      <c r="C1171" s="15"/>
      <c r="D1171"/>
      <c r="E1171"/>
      <c r="F1171" s="16"/>
      <c r="G1171"/>
      <c r="H1171"/>
      <c r="I1171" s="16"/>
      <c r="J1171"/>
      <c r="K1171"/>
      <c r="L1171"/>
      <c r="M1171" s="17"/>
      <c r="N1171"/>
      <c r="O1171"/>
      <c r="P1171" s="34"/>
      <c r="Q1171"/>
    </row>
    <row r="1172" spans="1:17" x14ac:dyDescent="0.25">
      <c r="A1172" s="14"/>
      <c r="B1172"/>
      <c r="C1172" s="15"/>
      <c r="D1172"/>
      <c r="E1172"/>
      <c r="F1172" s="16"/>
      <c r="G1172"/>
      <c r="H1172"/>
      <c r="I1172" s="16"/>
      <c r="J1172"/>
      <c r="K1172"/>
      <c r="L1172"/>
      <c r="M1172" s="17"/>
      <c r="N1172"/>
      <c r="O1172"/>
      <c r="P1172" s="34"/>
      <c r="Q1172"/>
    </row>
    <row r="1173" spans="1:17" x14ac:dyDescent="0.25">
      <c r="A1173" s="14"/>
      <c r="B1173"/>
      <c r="C1173" s="15"/>
      <c r="D1173"/>
      <c r="E1173"/>
      <c r="F1173" s="16"/>
      <c r="G1173"/>
      <c r="H1173"/>
      <c r="I1173" s="16"/>
      <c r="J1173"/>
      <c r="K1173"/>
      <c r="L1173"/>
      <c r="M1173" s="17"/>
      <c r="N1173"/>
      <c r="O1173"/>
      <c r="P1173" s="34"/>
      <c r="Q1173"/>
    </row>
    <row r="1174" spans="1:17" x14ac:dyDescent="0.25">
      <c r="A1174" s="14"/>
      <c r="B1174"/>
      <c r="C1174" s="15"/>
      <c r="D1174"/>
      <c r="E1174"/>
      <c r="F1174" s="16"/>
      <c r="G1174"/>
      <c r="H1174"/>
      <c r="I1174" s="16"/>
      <c r="J1174"/>
      <c r="K1174"/>
      <c r="L1174"/>
      <c r="M1174" s="17"/>
      <c r="N1174"/>
      <c r="O1174"/>
      <c r="P1174" s="34"/>
      <c r="Q1174"/>
    </row>
    <row r="1175" spans="1:17" x14ac:dyDescent="0.25">
      <c r="A1175" s="14"/>
      <c r="B1175"/>
      <c r="C1175" s="15"/>
      <c r="D1175"/>
      <c r="E1175"/>
      <c r="F1175" s="16"/>
      <c r="G1175"/>
      <c r="H1175"/>
      <c r="I1175" s="16"/>
      <c r="J1175"/>
      <c r="K1175"/>
      <c r="L1175"/>
      <c r="M1175" s="17"/>
      <c r="N1175"/>
      <c r="O1175"/>
      <c r="P1175" s="34"/>
      <c r="Q1175"/>
    </row>
    <row r="1176" spans="1:17" x14ac:dyDescent="0.25">
      <c r="A1176" s="14"/>
      <c r="B1176"/>
      <c r="C1176" s="15"/>
      <c r="D1176"/>
      <c r="E1176"/>
      <c r="F1176" s="16"/>
      <c r="G1176"/>
      <c r="H1176"/>
      <c r="I1176" s="16"/>
      <c r="J1176"/>
      <c r="K1176"/>
      <c r="L1176"/>
      <c r="M1176" s="17"/>
      <c r="N1176"/>
      <c r="O1176"/>
      <c r="P1176" s="34"/>
      <c r="Q1176"/>
    </row>
    <row r="1177" spans="1:17" x14ac:dyDescent="0.25">
      <c r="A1177" s="14"/>
      <c r="B1177"/>
      <c r="C1177" s="15"/>
      <c r="D1177"/>
      <c r="E1177"/>
      <c r="F1177" s="16"/>
      <c r="G1177"/>
      <c r="H1177"/>
      <c r="I1177" s="16"/>
      <c r="J1177"/>
      <c r="K1177"/>
      <c r="L1177"/>
      <c r="M1177" s="17"/>
      <c r="N1177"/>
      <c r="O1177"/>
      <c r="P1177" s="34"/>
      <c r="Q1177"/>
    </row>
    <row r="1178" spans="1:17" x14ac:dyDescent="0.25">
      <c r="A1178" s="14"/>
      <c r="B1178"/>
      <c r="C1178" s="15"/>
      <c r="D1178"/>
      <c r="E1178"/>
      <c r="F1178" s="16"/>
      <c r="G1178"/>
      <c r="H1178"/>
      <c r="I1178" s="16"/>
      <c r="J1178"/>
      <c r="K1178"/>
      <c r="L1178"/>
      <c r="M1178" s="17"/>
      <c r="N1178"/>
      <c r="O1178"/>
      <c r="P1178" s="34"/>
      <c r="Q1178"/>
    </row>
    <row r="1179" spans="1:17" x14ac:dyDescent="0.25">
      <c r="A1179" s="14"/>
      <c r="B1179"/>
      <c r="C1179" s="15"/>
      <c r="D1179"/>
      <c r="E1179"/>
      <c r="F1179" s="16"/>
      <c r="G1179"/>
      <c r="H1179"/>
      <c r="I1179" s="16"/>
      <c r="J1179"/>
      <c r="K1179"/>
      <c r="L1179"/>
      <c r="M1179" s="17"/>
      <c r="N1179"/>
      <c r="O1179"/>
      <c r="P1179" s="34"/>
      <c r="Q1179"/>
    </row>
    <row r="1180" spans="1:17" x14ac:dyDescent="0.25">
      <c r="A1180" s="14"/>
      <c r="B1180"/>
      <c r="C1180" s="15"/>
      <c r="D1180"/>
      <c r="E1180"/>
      <c r="F1180" s="16"/>
      <c r="G1180"/>
      <c r="H1180"/>
      <c r="I1180" s="16"/>
      <c r="J1180"/>
      <c r="K1180"/>
      <c r="L1180"/>
      <c r="M1180" s="17"/>
      <c r="N1180"/>
      <c r="O1180"/>
      <c r="P1180" s="34"/>
      <c r="Q1180"/>
    </row>
    <row r="1181" spans="1:17" x14ac:dyDescent="0.25">
      <c r="A1181" s="14"/>
      <c r="B1181"/>
      <c r="C1181" s="15"/>
      <c r="D1181"/>
      <c r="E1181"/>
      <c r="F1181" s="16"/>
      <c r="G1181"/>
      <c r="H1181"/>
      <c r="I1181" s="16"/>
      <c r="J1181"/>
      <c r="K1181"/>
      <c r="L1181"/>
      <c r="M1181" s="17"/>
      <c r="N1181"/>
      <c r="O1181"/>
      <c r="P1181" s="34"/>
      <c r="Q1181"/>
    </row>
    <row r="1182" spans="1:17" x14ac:dyDescent="0.25">
      <c r="A1182" s="14"/>
      <c r="B1182"/>
      <c r="C1182" s="15"/>
      <c r="D1182"/>
      <c r="E1182"/>
      <c r="F1182" s="16"/>
      <c r="G1182"/>
      <c r="H1182"/>
      <c r="I1182" s="16"/>
      <c r="J1182"/>
      <c r="K1182"/>
      <c r="L1182"/>
      <c r="M1182" s="17"/>
      <c r="N1182"/>
      <c r="O1182"/>
      <c r="P1182" s="34"/>
      <c r="Q1182"/>
    </row>
    <row r="1183" spans="1:17" x14ac:dyDescent="0.25">
      <c r="A1183" s="14"/>
      <c r="B1183"/>
      <c r="C1183" s="15"/>
      <c r="D1183"/>
      <c r="E1183"/>
      <c r="F1183" s="16"/>
      <c r="G1183"/>
      <c r="H1183"/>
      <c r="I1183" s="16"/>
      <c r="J1183"/>
      <c r="K1183"/>
      <c r="L1183"/>
      <c r="M1183" s="17"/>
      <c r="N1183"/>
      <c r="O1183"/>
      <c r="P1183" s="34"/>
      <c r="Q1183"/>
    </row>
    <row r="1184" spans="1:17" x14ac:dyDescent="0.25">
      <c r="A1184" s="14"/>
      <c r="B1184"/>
      <c r="C1184" s="15"/>
      <c r="D1184"/>
      <c r="E1184"/>
      <c r="F1184" s="16"/>
      <c r="G1184"/>
      <c r="H1184"/>
      <c r="I1184" s="16"/>
      <c r="J1184"/>
      <c r="K1184"/>
      <c r="L1184"/>
      <c r="M1184" s="17"/>
      <c r="N1184"/>
      <c r="O1184"/>
      <c r="P1184" s="34"/>
      <c r="Q1184"/>
    </row>
    <row r="1185" spans="1:17" x14ac:dyDescent="0.25">
      <c r="A1185" s="14"/>
      <c r="B1185"/>
      <c r="C1185" s="15"/>
      <c r="D1185"/>
      <c r="E1185"/>
      <c r="F1185" s="16"/>
      <c r="G1185"/>
      <c r="H1185"/>
      <c r="I1185" s="16"/>
      <c r="J1185"/>
      <c r="K1185"/>
      <c r="L1185"/>
      <c r="M1185" s="17"/>
      <c r="N1185"/>
      <c r="O1185"/>
      <c r="P1185" s="34"/>
      <c r="Q1185"/>
    </row>
    <row r="1186" spans="1:17" x14ac:dyDescent="0.25">
      <c r="A1186" s="14"/>
      <c r="B1186"/>
      <c r="C1186" s="15"/>
      <c r="D1186"/>
      <c r="E1186"/>
      <c r="F1186" s="16"/>
      <c r="G1186"/>
      <c r="H1186"/>
      <c r="I1186" s="16"/>
      <c r="J1186"/>
      <c r="K1186"/>
      <c r="L1186"/>
      <c r="M1186" s="17"/>
      <c r="N1186"/>
      <c r="O1186"/>
      <c r="P1186" s="34"/>
      <c r="Q1186"/>
    </row>
    <row r="1187" spans="1:17" x14ac:dyDescent="0.25">
      <c r="A1187" s="14"/>
      <c r="B1187"/>
      <c r="C1187" s="15"/>
      <c r="D1187"/>
      <c r="E1187"/>
      <c r="F1187" s="16"/>
      <c r="G1187"/>
      <c r="H1187"/>
      <c r="I1187" s="16"/>
      <c r="J1187"/>
      <c r="K1187"/>
      <c r="L1187"/>
      <c r="M1187" s="17"/>
      <c r="N1187"/>
      <c r="O1187"/>
      <c r="P1187" s="34"/>
      <c r="Q1187"/>
    </row>
    <row r="1188" spans="1:17" x14ac:dyDescent="0.25">
      <c r="A1188" s="14"/>
      <c r="B1188"/>
      <c r="C1188" s="15"/>
      <c r="D1188"/>
      <c r="E1188"/>
      <c r="F1188" s="16"/>
      <c r="G1188"/>
      <c r="H1188"/>
      <c r="I1188" s="16"/>
      <c r="J1188"/>
      <c r="K1188"/>
      <c r="L1188"/>
      <c r="M1188" s="17"/>
      <c r="N1188"/>
      <c r="O1188"/>
      <c r="P1188" s="34"/>
      <c r="Q1188"/>
    </row>
    <row r="1189" spans="1:17" x14ac:dyDescent="0.25">
      <c r="A1189" s="14"/>
      <c r="B1189"/>
      <c r="C1189" s="15"/>
      <c r="D1189"/>
      <c r="E1189"/>
      <c r="F1189" s="16"/>
      <c r="G1189"/>
      <c r="H1189"/>
      <c r="I1189" s="16"/>
      <c r="J1189"/>
      <c r="K1189"/>
      <c r="L1189"/>
      <c r="M1189" s="17"/>
      <c r="N1189"/>
      <c r="O1189"/>
      <c r="P1189" s="34"/>
      <c r="Q1189"/>
    </row>
    <row r="1190" spans="1:17" x14ac:dyDescent="0.25">
      <c r="A1190" s="14"/>
      <c r="B1190"/>
      <c r="C1190" s="15"/>
      <c r="D1190"/>
      <c r="E1190"/>
      <c r="F1190" s="16"/>
      <c r="G1190"/>
      <c r="H1190"/>
      <c r="I1190" s="16"/>
      <c r="J1190"/>
      <c r="K1190"/>
      <c r="L1190"/>
      <c r="M1190" s="17"/>
      <c r="N1190"/>
      <c r="O1190"/>
      <c r="P1190" s="34"/>
      <c r="Q1190"/>
    </row>
    <row r="1191" spans="1:17" x14ac:dyDescent="0.25">
      <c r="A1191" s="14"/>
      <c r="B1191"/>
      <c r="C1191" s="15"/>
      <c r="D1191"/>
      <c r="E1191"/>
      <c r="F1191" s="16"/>
      <c r="G1191"/>
      <c r="H1191"/>
      <c r="I1191" s="16"/>
      <c r="J1191"/>
      <c r="K1191"/>
      <c r="L1191"/>
      <c r="M1191" s="17"/>
      <c r="N1191"/>
      <c r="O1191"/>
      <c r="P1191" s="34"/>
      <c r="Q1191"/>
    </row>
    <row r="1192" spans="1:17" x14ac:dyDescent="0.25">
      <c r="A1192" s="14"/>
      <c r="B1192"/>
      <c r="C1192" s="15"/>
      <c r="D1192"/>
      <c r="E1192"/>
      <c r="F1192" s="16"/>
      <c r="G1192"/>
      <c r="H1192"/>
      <c r="I1192" s="16"/>
      <c r="J1192"/>
      <c r="K1192"/>
      <c r="L1192"/>
      <c r="M1192" s="17"/>
      <c r="N1192"/>
      <c r="O1192"/>
      <c r="P1192" s="34"/>
      <c r="Q1192"/>
    </row>
    <row r="1193" spans="1:17" x14ac:dyDescent="0.25">
      <c r="A1193" s="14"/>
      <c r="B1193"/>
      <c r="C1193" s="15"/>
      <c r="D1193"/>
      <c r="E1193"/>
      <c r="F1193" s="16"/>
      <c r="G1193"/>
      <c r="H1193"/>
      <c r="I1193" s="16"/>
      <c r="J1193"/>
      <c r="K1193"/>
      <c r="L1193"/>
      <c r="M1193" s="17"/>
      <c r="N1193"/>
      <c r="O1193"/>
      <c r="P1193" s="34"/>
      <c r="Q1193"/>
    </row>
    <row r="1194" spans="1:17" x14ac:dyDescent="0.25">
      <c r="A1194" s="14"/>
      <c r="B1194"/>
      <c r="C1194" s="15"/>
      <c r="D1194"/>
      <c r="E1194"/>
      <c r="F1194" s="16"/>
      <c r="G1194"/>
      <c r="H1194"/>
      <c r="I1194" s="16"/>
      <c r="J1194"/>
      <c r="K1194"/>
      <c r="L1194"/>
      <c r="M1194" s="17"/>
      <c r="N1194"/>
      <c r="O1194"/>
      <c r="P1194" s="34"/>
      <c r="Q1194"/>
    </row>
    <row r="1195" spans="1:17" x14ac:dyDescent="0.25">
      <c r="A1195" s="14"/>
      <c r="B1195"/>
      <c r="C1195" s="15"/>
      <c r="D1195"/>
      <c r="E1195"/>
      <c r="F1195" s="16"/>
      <c r="G1195"/>
      <c r="H1195"/>
      <c r="I1195" s="16"/>
      <c r="J1195"/>
      <c r="K1195"/>
      <c r="L1195"/>
      <c r="M1195" s="17"/>
      <c r="N1195"/>
      <c r="O1195"/>
      <c r="P1195" s="34"/>
      <c r="Q1195"/>
    </row>
    <row r="1196" spans="1:17" x14ac:dyDescent="0.25">
      <c r="A1196" s="14"/>
      <c r="B1196"/>
      <c r="C1196" s="15"/>
      <c r="D1196"/>
      <c r="E1196"/>
      <c r="F1196" s="16"/>
      <c r="G1196"/>
      <c r="H1196"/>
      <c r="I1196" s="16"/>
      <c r="J1196"/>
      <c r="K1196"/>
      <c r="L1196"/>
      <c r="M1196" s="17"/>
      <c r="N1196"/>
      <c r="O1196"/>
      <c r="P1196" s="34"/>
      <c r="Q1196"/>
    </row>
    <row r="1197" spans="1:17" x14ac:dyDescent="0.25">
      <c r="A1197" s="14"/>
      <c r="B1197"/>
      <c r="C1197" s="15"/>
      <c r="D1197"/>
      <c r="E1197"/>
      <c r="F1197" s="16"/>
      <c r="G1197"/>
      <c r="H1197"/>
      <c r="I1197" s="16"/>
      <c r="J1197"/>
      <c r="K1197"/>
      <c r="L1197"/>
      <c r="M1197" s="17"/>
      <c r="N1197"/>
      <c r="O1197"/>
      <c r="P1197" s="34"/>
      <c r="Q1197"/>
    </row>
    <row r="1198" spans="1:17" x14ac:dyDescent="0.25">
      <c r="A1198" s="14"/>
      <c r="B1198"/>
      <c r="C1198" s="15"/>
      <c r="D1198"/>
      <c r="E1198"/>
      <c r="F1198" s="16"/>
      <c r="G1198"/>
      <c r="H1198"/>
      <c r="I1198" s="16"/>
      <c r="J1198"/>
      <c r="K1198"/>
      <c r="L1198"/>
      <c r="M1198" s="17"/>
      <c r="N1198"/>
      <c r="O1198"/>
      <c r="P1198" s="34"/>
      <c r="Q1198"/>
    </row>
    <row r="1199" spans="1:17" x14ac:dyDescent="0.25">
      <c r="A1199" s="14"/>
      <c r="B1199"/>
      <c r="C1199" s="15"/>
      <c r="D1199"/>
      <c r="E1199"/>
      <c r="F1199" s="16"/>
      <c r="G1199"/>
      <c r="H1199"/>
      <c r="I1199" s="16"/>
      <c r="J1199"/>
      <c r="K1199"/>
      <c r="L1199"/>
      <c r="M1199" s="17"/>
      <c r="N1199"/>
      <c r="O1199"/>
      <c r="P1199" s="34"/>
      <c r="Q1199"/>
    </row>
    <row r="1200" spans="1:17" x14ac:dyDescent="0.25">
      <c r="A1200" s="14"/>
      <c r="B1200"/>
      <c r="C1200" s="15"/>
      <c r="D1200"/>
      <c r="E1200"/>
      <c r="F1200" s="16"/>
      <c r="G1200"/>
      <c r="H1200"/>
      <c r="I1200" s="16"/>
      <c r="J1200"/>
      <c r="K1200"/>
      <c r="L1200"/>
      <c r="M1200" s="17"/>
      <c r="N1200"/>
      <c r="O1200"/>
      <c r="P1200" s="34"/>
      <c r="Q1200"/>
    </row>
    <row r="1201" spans="1:17" x14ac:dyDescent="0.25">
      <c r="A1201" s="14"/>
      <c r="B1201"/>
      <c r="C1201" s="15"/>
      <c r="D1201"/>
      <c r="E1201"/>
      <c r="F1201" s="16"/>
      <c r="G1201"/>
      <c r="H1201"/>
      <c r="I1201" s="16"/>
      <c r="J1201"/>
      <c r="K1201"/>
      <c r="L1201"/>
      <c r="M1201" s="17"/>
      <c r="N1201"/>
      <c r="O1201"/>
      <c r="P1201" s="34"/>
      <c r="Q1201"/>
    </row>
    <row r="1202" spans="1:17" x14ac:dyDescent="0.25">
      <c r="A1202" s="14"/>
      <c r="B1202"/>
      <c r="C1202" s="15"/>
      <c r="D1202"/>
      <c r="E1202"/>
      <c r="F1202" s="16"/>
      <c r="G1202"/>
      <c r="H1202"/>
      <c r="I1202" s="16"/>
      <c r="J1202"/>
      <c r="K1202"/>
      <c r="L1202"/>
      <c r="M1202" s="17"/>
      <c r="N1202"/>
      <c r="O1202"/>
      <c r="P1202" s="34"/>
      <c r="Q1202"/>
    </row>
    <row r="1203" spans="1:17" x14ac:dyDescent="0.25">
      <c r="A1203" s="14"/>
      <c r="B1203"/>
      <c r="C1203" s="15"/>
      <c r="D1203"/>
      <c r="E1203"/>
      <c r="F1203" s="16"/>
      <c r="G1203"/>
      <c r="H1203"/>
      <c r="I1203" s="16"/>
      <c r="J1203"/>
      <c r="K1203"/>
      <c r="L1203"/>
      <c r="M1203" s="17"/>
      <c r="N1203"/>
      <c r="O1203"/>
      <c r="P1203" s="34"/>
      <c r="Q1203"/>
    </row>
    <row r="1204" spans="1:17" x14ac:dyDescent="0.25">
      <c r="A1204" s="14"/>
      <c r="B1204"/>
      <c r="C1204" s="15"/>
      <c r="D1204"/>
      <c r="E1204"/>
      <c r="F1204" s="16"/>
      <c r="G1204"/>
      <c r="H1204"/>
      <c r="I1204" s="16"/>
      <c r="J1204"/>
      <c r="K1204"/>
      <c r="L1204"/>
      <c r="M1204" s="17"/>
      <c r="N1204"/>
      <c r="O1204"/>
      <c r="P1204" s="34"/>
      <c r="Q1204"/>
    </row>
    <row r="1205" spans="1:17" x14ac:dyDescent="0.25">
      <c r="A1205" s="14"/>
      <c r="B1205"/>
      <c r="C1205" s="15"/>
      <c r="D1205"/>
      <c r="E1205"/>
      <c r="F1205" s="16"/>
      <c r="G1205"/>
      <c r="H1205"/>
      <c r="I1205" s="16"/>
      <c r="J1205"/>
      <c r="K1205"/>
      <c r="L1205"/>
      <c r="M1205" s="17"/>
      <c r="N1205"/>
      <c r="O1205"/>
      <c r="P1205" s="34"/>
      <c r="Q1205"/>
    </row>
    <row r="1206" spans="1:17" x14ac:dyDescent="0.25">
      <c r="A1206" s="14"/>
      <c r="B1206"/>
      <c r="C1206" s="15"/>
      <c r="D1206"/>
      <c r="E1206"/>
      <c r="F1206" s="16"/>
      <c r="G1206"/>
      <c r="H1206"/>
      <c r="I1206" s="16"/>
      <c r="J1206"/>
      <c r="K1206"/>
      <c r="L1206"/>
      <c r="M1206" s="17"/>
      <c r="N1206"/>
      <c r="O1206"/>
      <c r="P1206" s="34"/>
      <c r="Q1206"/>
    </row>
    <row r="1207" spans="1:17" x14ac:dyDescent="0.25">
      <c r="A1207" s="14"/>
      <c r="B1207"/>
      <c r="C1207" s="15"/>
      <c r="D1207"/>
      <c r="E1207"/>
      <c r="F1207" s="16"/>
      <c r="G1207"/>
      <c r="H1207"/>
      <c r="I1207" s="16"/>
      <c r="J1207"/>
      <c r="K1207"/>
      <c r="L1207"/>
      <c r="M1207" s="17"/>
      <c r="N1207"/>
      <c r="O1207"/>
      <c r="P1207" s="34"/>
      <c r="Q1207"/>
    </row>
    <row r="1208" spans="1:17" x14ac:dyDescent="0.25">
      <c r="A1208" s="14"/>
      <c r="B1208"/>
      <c r="C1208" s="15"/>
      <c r="D1208"/>
      <c r="E1208"/>
      <c r="F1208" s="16"/>
      <c r="G1208"/>
      <c r="H1208"/>
      <c r="I1208" s="16"/>
      <c r="J1208"/>
      <c r="K1208"/>
      <c r="L1208"/>
      <c r="M1208" s="17"/>
      <c r="N1208"/>
      <c r="O1208"/>
      <c r="P1208" s="34"/>
      <c r="Q1208"/>
    </row>
    <row r="1209" spans="1:17" x14ac:dyDescent="0.25">
      <c r="A1209" s="14"/>
      <c r="B1209"/>
      <c r="C1209" s="15"/>
      <c r="D1209"/>
      <c r="E1209"/>
      <c r="F1209" s="16"/>
      <c r="G1209"/>
      <c r="H1209"/>
      <c r="I1209" s="16"/>
      <c r="J1209"/>
      <c r="K1209"/>
      <c r="L1209"/>
      <c r="M1209" s="17"/>
      <c r="N1209"/>
      <c r="O1209"/>
      <c r="P1209" s="34"/>
      <c r="Q1209"/>
    </row>
    <row r="1210" spans="1:17" x14ac:dyDescent="0.25">
      <c r="A1210" s="14"/>
      <c r="B1210"/>
      <c r="C1210" s="15"/>
      <c r="D1210"/>
      <c r="E1210"/>
      <c r="F1210" s="16"/>
      <c r="G1210"/>
      <c r="H1210"/>
      <c r="I1210" s="16"/>
      <c r="J1210"/>
      <c r="K1210"/>
      <c r="L1210"/>
      <c r="M1210" s="17"/>
      <c r="N1210"/>
      <c r="O1210"/>
      <c r="P1210" s="34"/>
      <c r="Q1210"/>
    </row>
    <row r="1211" spans="1:17" x14ac:dyDescent="0.25">
      <c r="A1211" s="14"/>
      <c r="B1211"/>
      <c r="C1211" s="15"/>
      <c r="D1211"/>
      <c r="E1211"/>
      <c r="F1211" s="16"/>
      <c r="G1211"/>
      <c r="H1211"/>
      <c r="I1211" s="16"/>
      <c r="J1211"/>
      <c r="K1211"/>
      <c r="L1211"/>
      <c r="M1211" s="17"/>
      <c r="N1211"/>
      <c r="O1211"/>
      <c r="P1211" s="34"/>
      <c r="Q1211"/>
    </row>
    <row r="1212" spans="1:17" x14ac:dyDescent="0.25">
      <c r="A1212" s="14"/>
      <c r="B1212"/>
      <c r="C1212" s="15"/>
      <c r="D1212"/>
      <c r="E1212"/>
      <c r="F1212" s="16"/>
      <c r="G1212"/>
      <c r="H1212"/>
      <c r="I1212" s="16"/>
      <c r="J1212"/>
      <c r="K1212"/>
      <c r="L1212"/>
      <c r="M1212" s="17"/>
      <c r="N1212"/>
      <c r="O1212"/>
      <c r="P1212" s="34"/>
      <c r="Q1212"/>
    </row>
    <row r="1213" spans="1:17" x14ac:dyDescent="0.25">
      <c r="A1213" s="14"/>
      <c r="B1213"/>
      <c r="C1213" s="15"/>
      <c r="D1213"/>
      <c r="E1213"/>
      <c r="F1213" s="16"/>
      <c r="G1213"/>
      <c r="H1213"/>
      <c r="I1213" s="16"/>
      <c r="J1213"/>
      <c r="K1213"/>
      <c r="L1213"/>
      <c r="M1213" s="17"/>
      <c r="N1213"/>
      <c r="O1213"/>
      <c r="P1213" s="34"/>
      <c r="Q1213"/>
    </row>
    <row r="1214" spans="1:17" x14ac:dyDescent="0.25">
      <c r="A1214" s="14"/>
      <c r="B1214"/>
      <c r="C1214" s="15"/>
      <c r="D1214"/>
      <c r="E1214"/>
      <c r="F1214" s="16"/>
      <c r="G1214"/>
      <c r="H1214"/>
      <c r="I1214" s="16"/>
      <c r="J1214"/>
      <c r="K1214"/>
      <c r="L1214"/>
      <c r="M1214" s="17"/>
      <c r="N1214"/>
      <c r="O1214"/>
      <c r="P1214" s="34"/>
      <c r="Q1214"/>
    </row>
    <row r="1215" spans="1:17" x14ac:dyDescent="0.25">
      <c r="A1215" s="14"/>
      <c r="B1215"/>
      <c r="C1215" s="15"/>
      <c r="D1215"/>
      <c r="E1215"/>
      <c r="F1215" s="16"/>
      <c r="G1215"/>
      <c r="H1215"/>
      <c r="I1215" s="16"/>
      <c r="J1215"/>
      <c r="K1215"/>
      <c r="L1215"/>
      <c r="M1215" s="17"/>
      <c r="N1215"/>
      <c r="O1215"/>
      <c r="P1215" s="34"/>
      <c r="Q1215"/>
    </row>
    <row r="1216" spans="1:17" x14ac:dyDescent="0.25">
      <c r="A1216" s="14"/>
      <c r="B1216"/>
      <c r="C1216" s="15"/>
      <c r="D1216"/>
      <c r="E1216"/>
      <c r="F1216" s="16"/>
      <c r="G1216"/>
      <c r="H1216"/>
      <c r="I1216" s="16"/>
      <c r="J1216"/>
      <c r="K1216"/>
      <c r="L1216"/>
      <c r="M1216" s="17"/>
      <c r="N1216"/>
      <c r="O1216"/>
      <c r="P1216" s="34"/>
      <c r="Q1216"/>
    </row>
    <row r="1217" spans="1:17" x14ac:dyDescent="0.25">
      <c r="A1217" s="14"/>
      <c r="B1217"/>
      <c r="C1217" s="15"/>
      <c r="D1217"/>
      <c r="E1217"/>
      <c r="F1217" s="16"/>
      <c r="G1217"/>
      <c r="H1217"/>
      <c r="I1217" s="16"/>
      <c r="J1217"/>
      <c r="K1217"/>
      <c r="L1217"/>
      <c r="M1217" s="17"/>
      <c r="N1217"/>
      <c r="O1217"/>
      <c r="P1217" s="34"/>
      <c r="Q1217"/>
    </row>
    <row r="1218" spans="1:17" x14ac:dyDescent="0.25">
      <c r="A1218" s="14"/>
      <c r="B1218"/>
      <c r="C1218" s="15"/>
      <c r="D1218"/>
      <c r="E1218"/>
      <c r="F1218" s="16"/>
      <c r="G1218"/>
      <c r="H1218"/>
      <c r="I1218" s="16"/>
      <c r="J1218"/>
      <c r="K1218"/>
      <c r="L1218"/>
      <c r="M1218" s="17"/>
      <c r="N1218"/>
      <c r="O1218"/>
      <c r="P1218" s="34"/>
      <c r="Q1218"/>
    </row>
    <row r="1219" spans="1:17" x14ac:dyDescent="0.25">
      <c r="A1219" s="14"/>
      <c r="B1219"/>
      <c r="C1219" s="15"/>
      <c r="D1219"/>
      <c r="E1219"/>
      <c r="F1219" s="16"/>
      <c r="G1219"/>
      <c r="H1219"/>
      <c r="I1219" s="16"/>
      <c r="J1219"/>
      <c r="K1219"/>
      <c r="L1219"/>
      <c r="M1219" s="17"/>
      <c r="N1219"/>
      <c r="O1219"/>
      <c r="P1219" s="34"/>
      <c r="Q1219"/>
    </row>
    <row r="1220" spans="1:17" x14ac:dyDescent="0.25">
      <c r="A1220" s="14"/>
      <c r="B1220"/>
      <c r="C1220" s="15"/>
      <c r="D1220"/>
      <c r="E1220"/>
      <c r="F1220" s="16"/>
      <c r="G1220"/>
      <c r="H1220"/>
      <c r="I1220" s="16"/>
      <c r="J1220"/>
      <c r="K1220"/>
      <c r="L1220"/>
      <c r="M1220" s="17"/>
      <c r="N1220"/>
      <c r="O1220"/>
      <c r="P1220" s="34"/>
      <c r="Q1220"/>
    </row>
    <row r="1221" spans="1:17" x14ac:dyDescent="0.25">
      <c r="A1221" s="14"/>
      <c r="B1221"/>
      <c r="C1221" s="15"/>
      <c r="D1221"/>
      <c r="E1221"/>
      <c r="F1221" s="16"/>
      <c r="G1221"/>
      <c r="H1221"/>
      <c r="I1221" s="16"/>
      <c r="J1221"/>
      <c r="K1221"/>
      <c r="L1221"/>
      <c r="M1221" s="17"/>
      <c r="N1221"/>
      <c r="O1221"/>
      <c r="P1221" s="34"/>
      <c r="Q1221"/>
    </row>
    <row r="1222" spans="1:17" x14ac:dyDescent="0.25">
      <c r="A1222" s="14"/>
      <c r="B1222"/>
      <c r="C1222" s="15"/>
      <c r="D1222"/>
      <c r="E1222"/>
      <c r="F1222" s="16"/>
      <c r="G1222"/>
      <c r="H1222"/>
      <c r="I1222" s="16"/>
      <c r="J1222"/>
      <c r="K1222"/>
      <c r="L1222"/>
      <c r="M1222" s="17"/>
      <c r="N1222"/>
      <c r="O1222"/>
      <c r="P1222" s="34"/>
      <c r="Q1222"/>
    </row>
    <row r="1223" spans="1:17" x14ac:dyDescent="0.25">
      <c r="A1223" s="14"/>
      <c r="B1223"/>
      <c r="C1223" s="15"/>
      <c r="D1223"/>
      <c r="E1223"/>
      <c r="F1223" s="16"/>
      <c r="G1223"/>
      <c r="H1223"/>
      <c r="I1223" s="16"/>
      <c r="J1223"/>
      <c r="K1223"/>
      <c r="L1223"/>
      <c r="M1223" s="17"/>
      <c r="N1223"/>
      <c r="O1223"/>
      <c r="P1223" s="34"/>
      <c r="Q1223"/>
    </row>
    <row r="1224" spans="1:17" x14ac:dyDescent="0.25">
      <c r="A1224" s="14"/>
      <c r="B1224"/>
      <c r="C1224" s="15"/>
      <c r="D1224"/>
      <c r="E1224"/>
      <c r="F1224" s="16"/>
      <c r="G1224"/>
      <c r="H1224"/>
      <c r="I1224" s="16"/>
      <c r="J1224"/>
      <c r="K1224"/>
      <c r="L1224"/>
      <c r="M1224" s="17"/>
      <c r="N1224"/>
      <c r="O1224"/>
      <c r="P1224" s="34"/>
      <c r="Q1224"/>
    </row>
    <row r="1225" spans="1:17" x14ac:dyDescent="0.25">
      <c r="A1225" s="14"/>
      <c r="B1225"/>
      <c r="C1225" s="15"/>
      <c r="D1225"/>
      <c r="E1225"/>
      <c r="F1225" s="16"/>
      <c r="G1225"/>
      <c r="H1225"/>
      <c r="I1225" s="16"/>
      <c r="J1225"/>
      <c r="K1225"/>
      <c r="L1225"/>
      <c r="M1225" s="17"/>
      <c r="N1225"/>
      <c r="O1225"/>
      <c r="P1225" s="34"/>
      <c r="Q1225"/>
    </row>
    <row r="1226" spans="1:17" x14ac:dyDescent="0.25">
      <c r="A1226" s="14"/>
      <c r="B1226"/>
      <c r="C1226" s="15"/>
      <c r="D1226"/>
      <c r="E1226"/>
      <c r="F1226" s="16"/>
      <c r="G1226"/>
      <c r="H1226"/>
      <c r="I1226" s="16"/>
      <c r="J1226"/>
      <c r="K1226"/>
      <c r="L1226"/>
      <c r="M1226" s="17"/>
      <c r="N1226"/>
      <c r="O1226"/>
      <c r="P1226" s="34"/>
      <c r="Q1226"/>
    </row>
    <row r="1227" spans="1:17" x14ac:dyDescent="0.25">
      <c r="A1227" s="14"/>
      <c r="B1227"/>
      <c r="C1227" s="15"/>
      <c r="D1227"/>
      <c r="E1227"/>
      <c r="F1227" s="16"/>
      <c r="G1227"/>
      <c r="H1227"/>
      <c r="I1227" s="16"/>
      <c r="J1227"/>
      <c r="K1227"/>
      <c r="L1227"/>
      <c r="M1227" s="17"/>
      <c r="N1227"/>
      <c r="O1227"/>
      <c r="P1227" s="34"/>
      <c r="Q1227"/>
    </row>
    <row r="1228" spans="1:17" x14ac:dyDescent="0.25">
      <c r="A1228" s="14"/>
      <c r="B1228"/>
      <c r="C1228" s="15"/>
      <c r="D1228"/>
      <c r="E1228"/>
      <c r="F1228" s="16"/>
      <c r="G1228"/>
      <c r="H1228"/>
      <c r="I1228" s="16"/>
      <c r="J1228"/>
      <c r="K1228"/>
      <c r="L1228"/>
      <c r="M1228" s="17"/>
      <c r="N1228"/>
      <c r="O1228"/>
      <c r="P1228" s="34"/>
      <c r="Q1228"/>
    </row>
    <row r="1229" spans="1:17" x14ac:dyDescent="0.25">
      <c r="A1229" s="14"/>
      <c r="B1229"/>
      <c r="C1229" s="15"/>
      <c r="D1229"/>
      <c r="E1229"/>
      <c r="F1229" s="16"/>
      <c r="G1229"/>
      <c r="H1229"/>
      <c r="I1229" s="16"/>
      <c r="J1229"/>
      <c r="K1229"/>
      <c r="L1229"/>
      <c r="M1229" s="17"/>
      <c r="N1229"/>
      <c r="O1229"/>
      <c r="P1229" s="34"/>
      <c r="Q1229"/>
    </row>
    <row r="1230" spans="1:17" x14ac:dyDescent="0.25">
      <c r="A1230" s="14"/>
      <c r="B1230"/>
      <c r="C1230" s="15"/>
      <c r="D1230"/>
      <c r="E1230"/>
      <c r="F1230" s="16"/>
      <c r="G1230"/>
      <c r="H1230"/>
      <c r="I1230" s="16"/>
      <c r="J1230"/>
      <c r="K1230"/>
      <c r="L1230"/>
      <c r="M1230" s="17"/>
      <c r="N1230"/>
      <c r="O1230"/>
      <c r="P1230" s="34"/>
      <c r="Q1230"/>
    </row>
    <row r="1231" spans="1:17" x14ac:dyDescent="0.25">
      <c r="A1231" s="14"/>
      <c r="B1231"/>
      <c r="C1231" s="15"/>
      <c r="D1231"/>
      <c r="E1231"/>
      <c r="F1231" s="16"/>
      <c r="G1231"/>
      <c r="H1231"/>
      <c r="I1231" s="16"/>
      <c r="J1231"/>
      <c r="K1231"/>
      <c r="L1231"/>
      <c r="M1231" s="17"/>
      <c r="N1231"/>
      <c r="O1231"/>
      <c r="P1231" s="34"/>
      <c r="Q1231"/>
    </row>
    <row r="1232" spans="1:17" x14ac:dyDescent="0.25">
      <c r="A1232" s="14"/>
      <c r="B1232"/>
      <c r="C1232" s="15"/>
      <c r="D1232"/>
      <c r="E1232"/>
      <c r="F1232" s="16"/>
      <c r="G1232"/>
      <c r="H1232"/>
      <c r="I1232" s="16"/>
      <c r="J1232"/>
      <c r="K1232"/>
      <c r="L1232"/>
      <c r="M1232" s="17"/>
      <c r="N1232"/>
      <c r="O1232"/>
      <c r="P1232" s="34"/>
      <c r="Q1232"/>
    </row>
    <row r="1233" spans="1:17" x14ac:dyDescent="0.25">
      <c r="A1233" s="14"/>
      <c r="B1233"/>
      <c r="C1233" s="15"/>
      <c r="D1233"/>
      <c r="E1233"/>
      <c r="F1233" s="16"/>
      <c r="G1233"/>
      <c r="H1233"/>
      <c r="I1233" s="16"/>
      <c r="J1233"/>
      <c r="K1233"/>
      <c r="L1233"/>
      <c r="M1233" s="17"/>
      <c r="N1233"/>
      <c r="O1233"/>
      <c r="P1233" s="34"/>
      <c r="Q1233"/>
    </row>
    <row r="1234" spans="1:17" x14ac:dyDescent="0.25">
      <c r="A1234" s="14"/>
      <c r="B1234"/>
      <c r="C1234" s="15"/>
      <c r="D1234"/>
      <c r="E1234"/>
      <c r="F1234" s="16"/>
      <c r="G1234"/>
      <c r="H1234"/>
      <c r="I1234" s="16"/>
      <c r="J1234"/>
      <c r="K1234"/>
      <c r="L1234"/>
      <c r="M1234" s="17"/>
      <c r="N1234"/>
      <c r="O1234"/>
      <c r="P1234" s="34"/>
      <c r="Q1234"/>
    </row>
    <row r="1235" spans="1:17" x14ac:dyDescent="0.25">
      <c r="A1235" s="14"/>
      <c r="B1235"/>
      <c r="C1235" s="15"/>
      <c r="D1235"/>
      <c r="E1235"/>
      <c r="F1235" s="16"/>
      <c r="G1235"/>
      <c r="H1235"/>
      <c r="I1235" s="16"/>
      <c r="J1235"/>
      <c r="K1235"/>
      <c r="L1235"/>
      <c r="M1235" s="17"/>
      <c r="N1235"/>
      <c r="O1235"/>
      <c r="P1235" s="34"/>
      <c r="Q1235"/>
    </row>
    <row r="1236" spans="1:17" x14ac:dyDescent="0.25">
      <c r="A1236" s="14"/>
      <c r="B1236"/>
      <c r="C1236" s="15"/>
      <c r="D1236"/>
      <c r="E1236"/>
      <c r="F1236" s="16"/>
      <c r="G1236"/>
      <c r="H1236"/>
      <c r="I1236" s="16"/>
      <c r="J1236"/>
      <c r="K1236"/>
      <c r="L1236"/>
      <c r="M1236" s="17"/>
      <c r="N1236"/>
      <c r="O1236"/>
      <c r="P1236" s="34"/>
      <c r="Q1236"/>
    </row>
    <row r="1237" spans="1:17" x14ac:dyDescent="0.25">
      <c r="A1237" s="14"/>
      <c r="B1237"/>
      <c r="C1237" s="15"/>
      <c r="D1237"/>
      <c r="E1237"/>
      <c r="F1237" s="16"/>
      <c r="G1237"/>
      <c r="H1237"/>
      <c r="I1237" s="16"/>
      <c r="J1237"/>
      <c r="K1237"/>
      <c r="L1237"/>
      <c r="M1237" s="17"/>
      <c r="N1237"/>
      <c r="O1237"/>
      <c r="P1237" s="34"/>
      <c r="Q1237"/>
    </row>
    <row r="1238" spans="1:17" x14ac:dyDescent="0.25">
      <c r="A1238" s="14"/>
      <c r="B1238"/>
      <c r="C1238" s="15"/>
      <c r="D1238"/>
      <c r="E1238"/>
      <c r="F1238" s="16"/>
      <c r="G1238"/>
      <c r="H1238"/>
      <c r="I1238" s="16"/>
      <c r="J1238"/>
      <c r="K1238"/>
      <c r="L1238"/>
      <c r="M1238" s="17"/>
      <c r="N1238"/>
      <c r="O1238"/>
      <c r="P1238" s="34"/>
      <c r="Q1238"/>
    </row>
    <row r="1239" spans="1:17" x14ac:dyDescent="0.25">
      <c r="A1239" s="14"/>
      <c r="B1239"/>
      <c r="C1239" s="15"/>
      <c r="D1239"/>
      <c r="E1239"/>
      <c r="F1239" s="16"/>
      <c r="G1239"/>
      <c r="H1239"/>
      <c r="I1239" s="16"/>
      <c r="J1239"/>
      <c r="K1239"/>
      <c r="L1239"/>
      <c r="M1239" s="17"/>
      <c r="N1239"/>
      <c r="O1239"/>
      <c r="P1239" s="34"/>
      <c r="Q1239"/>
    </row>
    <row r="1240" spans="1:17" x14ac:dyDescent="0.25">
      <c r="A1240" s="14"/>
      <c r="B1240"/>
      <c r="C1240" s="15"/>
      <c r="D1240"/>
      <c r="E1240"/>
      <c r="F1240" s="16"/>
      <c r="G1240"/>
      <c r="H1240"/>
      <c r="I1240" s="16"/>
      <c r="J1240"/>
      <c r="K1240"/>
      <c r="L1240"/>
      <c r="M1240" s="17"/>
      <c r="N1240"/>
      <c r="O1240"/>
      <c r="P1240" s="34"/>
      <c r="Q1240"/>
    </row>
    <row r="1241" spans="1:17" x14ac:dyDescent="0.25">
      <c r="A1241" s="14"/>
      <c r="B1241"/>
      <c r="C1241" s="15"/>
      <c r="D1241"/>
      <c r="E1241"/>
      <c r="F1241" s="16"/>
      <c r="G1241"/>
      <c r="H1241"/>
      <c r="I1241" s="16"/>
      <c r="J1241"/>
      <c r="K1241"/>
      <c r="L1241"/>
      <c r="M1241" s="17"/>
      <c r="N1241"/>
      <c r="O1241"/>
      <c r="P1241" s="34"/>
      <c r="Q1241"/>
    </row>
    <row r="1242" spans="1:17" x14ac:dyDescent="0.25">
      <c r="A1242" s="14"/>
      <c r="B1242"/>
      <c r="C1242" s="15"/>
      <c r="D1242"/>
      <c r="E1242"/>
      <c r="F1242" s="16"/>
      <c r="G1242"/>
      <c r="H1242"/>
      <c r="I1242" s="16"/>
      <c r="J1242"/>
      <c r="K1242"/>
      <c r="L1242"/>
      <c r="M1242" s="17"/>
      <c r="N1242"/>
      <c r="O1242"/>
      <c r="P1242" s="34"/>
      <c r="Q1242"/>
    </row>
    <row r="1243" spans="1:17" x14ac:dyDescent="0.25">
      <c r="A1243" s="14"/>
      <c r="B1243"/>
      <c r="C1243" s="15"/>
      <c r="D1243"/>
      <c r="E1243"/>
      <c r="F1243" s="16"/>
      <c r="G1243"/>
      <c r="H1243"/>
      <c r="I1243" s="16"/>
      <c r="J1243"/>
      <c r="K1243"/>
      <c r="L1243"/>
      <c r="M1243" s="17"/>
      <c r="N1243"/>
      <c r="O1243"/>
      <c r="P1243" s="34"/>
      <c r="Q1243"/>
    </row>
    <row r="1244" spans="1:17" x14ac:dyDescent="0.25">
      <c r="A1244" s="14"/>
      <c r="B1244"/>
      <c r="C1244" s="15"/>
      <c r="D1244"/>
      <c r="E1244"/>
      <c r="F1244" s="16"/>
      <c r="G1244"/>
      <c r="H1244"/>
      <c r="I1244" s="16"/>
      <c r="J1244"/>
      <c r="K1244"/>
      <c r="L1244"/>
      <c r="M1244" s="17"/>
      <c r="N1244"/>
      <c r="O1244"/>
      <c r="P1244" s="34"/>
      <c r="Q1244"/>
    </row>
    <row r="1245" spans="1:17" x14ac:dyDescent="0.25">
      <c r="A1245" s="14"/>
      <c r="B1245"/>
      <c r="C1245" s="15"/>
      <c r="D1245"/>
      <c r="E1245"/>
      <c r="F1245" s="16"/>
      <c r="G1245"/>
      <c r="H1245"/>
      <c r="I1245" s="16"/>
      <c r="J1245"/>
      <c r="K1245"/>
      <c r="L1245"/>
      <c r="M1245" s="17"/>
      <c r="N1245"/>
      <c r="O1245"/>
      <c r="P1245" s="34"/>
      <c r="Q1245"/>
    </row>
    <row r="1246" spans="1:17" x14ac:dyDescent="0.25">
      <c r="A1246" s="14"/>
      <c r="B1246"/>
      <c r="C1246" s="15"/>
      <c r="D1246"/>
      <c r="E1246"/>
      <c r="F1246" s="16"/>
      <c r="G1246"/>
      <c r="H1246"/>
      <c r="I1246" s="16"/>
      <c r="J1246"/>
      <c r="K1246"/>
      <c r="L1246"/>
      <c r="M1246" s="17"/>
      <c r="N1246"/>
      <c r="O1246"/>
      <c r="P1246" s="34"/>
      <c r="Q1246"/>
    </row>
    <row r="1247" spans="1:17" x14ac:dyDescent="0.25">
      <c r="A1247" s="14"/>
      <c r="B1247"/>
      <c r="C1247" s="15"/>
      <c r="D1247"/>
      <c r="E1247"/>
      <c r="F1247" s="16"/>
      <c r="G1247"/>
      <c r="H1247"/>
      <c r="I1247" s="16"/>
      <c r="J1247"/>
      <c r="K1247"/>
      <c r="L1247"/>
      <c r="M1247" s="17"/>
      <c r="N1247"/>
      <c r="O1247"/>
      <c r="P1247" s="34"/>
      <c r="Q1247"/>
    </row>
    <row r="1248" spans="1:17" x14ac:dyDescent="0.25">
      <c r="A1248" s="14"/>
      <c r="B1248"/>
      <c r="C1248" s="15"/>
      <c r="D1248"/>
      <c r="E1248"/>
      <c r="F1248" s="16"/>
      <c r="G1248"/>
      <c r="H1248"/>
      <c r="I1248" s="16"/>
      <c r="J1248"/>
      <c r="K1248"/>
      <c r="L1248"/>
      <c r="M1248" s="17"/>
      <c r="N1248"/>
      <c r="O1248"/>
      <c r="P1248" s="34"/>
      <c r="Q1248"/>
    </row>
    <row r="1249" spans="1:17" x14ac:dyDescent="0.25">
      <c r="A1249" s="14"/>
      <c r="B1249"/>
      <c r="C1249" s="15"/>
      <c r="D1249"/>
      <c r="E1249"/>
      <c r="F1249" s="16"/>
      <c r="G1249"/>
      <c r="H1249"/>
      <c r="I1249" s="16"/>
      <c r="J1249"/>
      <c r="K1249"/>
      <c r="L1249"/>
      <c r="M1249" s="17"/>
      <c r="N1249"/>
      <c r="O1249"/>
      <c r="P1249" s="34"/>
      <c r="Q1249"/>
    </row>
    <row r="1250" spans="1:17" x14ac:dyDescent="0.25">
      <c r="A1250" s="14"/>
      <c r="B1250"/>
      <c r="C1250" s="15"/>
      <c r="D1250"/>
      <c r="E1250"/>
      <c r="F1250" s="16"/>
      <c r="G1250"/>
      <c r="H1250"/>
      <c r="I1250" s="16"/>
      <c r="J1250"/>
      <c r="K1250"/>
      <c r="L1250"/>
      <c r="M1250" s="17"/>
      <c r="N1250"/>
      <c r="O1250"/>
      <c r="P1250" s="34"/>
      <c r="Q1250"/>
    </row>
    <row r="1251" spans="1:17" x14ac:dyDescent="0.25">
      <c r="A1251" s="14"/>
      <c r="B1251"/>
      <c r="C1251" s="15"/>
      <c r="D1251"/>
      <c r="E1251"/>
      <c r="F1251" s="16"/>
      <c r="G1251"/>
      <c r="H1251"/>
      <c r="I1251" s="16"/>
      <c r="J1251"/>
      <c r="K1251"/>
      <c r="L1251"/>
      <c r="M1251" s="17"/>
      <c r="N1251"/>
      <c r="O1251"/>
      <c r="P1251" s="34"/>
      <c r="Q1251"/>
    </row>
    <row r="1252" spans="1:17" x14ac:dyDescent="0.25">
      <c r="A1252" s="14"/>
      <c r="B1252"/>
      <c r="C1252" s="15"/>
      <c r="D1252"/>
      <c r="E1252"/>
      <c r="F1252" s="16"/>
      <c r="G1252"/>
      <c r="H1252"/>
      <c r="I1252" s="16"/>
      <c r="J1252"/>
      <c r="K1252"/>
      <c r="L1252"/>
      <c r="M1252" s="17"/>
      <c r="N1252"/>
      <c r="O1252"/>
      <c r="P1252" s="34"/>
      <c r="Q1252"/>
    </row>
    <row r="1253" spans="1:17" x14ac:dyDescent="0.25">
      <c r="A1253" s="14"/>
      <c r="B1253"/>
      <c r="C1253" s="15"/>
      <c r="D1253"/>
      <c r="E1253"/>
      <c r="F1253" s="16"/>
      <c r="G1253"/>
      <c r="H1253"/>
      <c r="I1253" s="16"/>
      <c r="J1253"/>
      <c r="K1253"/>
      <c r="L1253"/>
      <c r="M1253" s="17"/>
      <c r="N1253"/>
      <c r="O1253"/>
      <c r="P1253" s="34"/>
      <c r="Q1253"/>
    </row>
    <row r="1254" spans="1:17" x14ac:dyDescent="0.25">
      <c r="A1254" s="14"/>
      <c r="B1254"/>
      <c r="C1254" s="15"/>
      <c r="D1254"/>
      <c r="E1254"/>
      <c r="F1254" s="16"/>
      <c r="G1254"/>
      <c r="H1254"/>
      <c r="I1254" s="16"/>
      <c r="J1254"/>
      <c r="K1254"/>
      <c r="L1254"/>
      <c r="M1254" s="17"/>
      <c r="N1254"/>
      <c r="O1254"/>
      <c r="P1254" s="34"/>
      <c r="Q1254"/>
    </row>
    <row r="1255" spans="1:17" x14ac:dyDescent="0.25">
      <c r="A1255" s="14"/>
      <c r="B1255"/>
      <c r="C1255" s="15"/>
      <c r="D1255"/>
      <c r="E1255"/>
      <c r="F1255" s="16"/>
      <c r="G1255"/>
      <c r="H1255"/>
      <c r="I1255" s="16"/>
      <c r="J1255"/>
      <c r="K1255"/>
      <c r="L1255"/>
      <c r="M1255" s="17"/>
      <c r="N1255"/>
      <c r="O1255"/>
      <c r="P1255" s="34"/>
      <c r="Q1255"/>
    </row>
    <row r="1256" spans="1:17" x14ac:dyDescent="0.25">
      <c r="A1256" s="14"/>
      <c r="B1256"/>
      <c r="C1256" s="15"/>
      <c r="D1256"/>
      <c r="E1256"/>
      <c r="F1256" s="16"/>
      <c r="G1256"/>
      <c r="H1256"/>
      <c r="I1256" s="16"/>
      <c r="J1256"/>
      <c r="K1256"/>
      <c r="L1256"/>
      <c r="M1256" s="17"/>
      <c r="N1256"/>
      <c r="O1256"/>
      <c r="P1256" s="34"/>
      <c r="Q1256"/>
    </row>
    <row r="1257" spans="1:17" x14ac:dyDescent="0.25">
      <c r="A1257" s="14"/>
      <c r="B1257"/>
      <c r="C1257" s="15"/>
      <c r="D1257"/>
      <c r="E1257"/>
      <c r="F1257" s="16"/>
      <c r="G1257"/>
      <c r="H1257"/>
      <c r="I1257" s="16"/>
      <c r="J1257"/>
      <c r="K1257"/>
      <c r="L1257"/>
      <c r="M1257" s="17"/>
      <c r="N1257"/>
      <c r="O1257"/>
      <c r="P1257" s="34"/>
      <c r="Q1257"/>
    </row>
    <row r="1258" spans="1:17" x14ac:dyDescent="0.25">
      <c r="A1258" s="14"/>
      <c r="B1258"/>
      <c r="C1258" s="15"/>
      <c r="D1258"/>
      <c r="E1258"/>
      <c r="F1258" s="16"/>
      <c r="G1258"/>
      <c r="H1258"/>
      <c r="I1258" s="16"/>
      <c r="J1258"/>
      <c r="K1258"/>
      <c r="L1258"/>
      <c r="M1258" s="17"/>
      <c r="N1258"/>
      <c r="O1258"/>
      <c r="P1258" s="34"/>
      <c r="Q1258"/>
    </row>
    <row r="1259" spans="1:17" x14ac:dyDescent="0.25">
      <c r="A1259" s="14"/>
      <c r="B1259"/>
      <c r="C1259" s="15"/>
      <c r="D1259"/>
      <c r="E1259"/>
      <c r="F1259" s="16"/>
      <c r="G1259"/>
      <c r="H1259"/>
      <c r="I1259" s="16"/>
      <c r="J1259"/>
      <c r="K1259"/>
      <c r="L1259"/>
      <c r="M1259" s="17"/>
      <c r="N1259"/>
      <c r="O1259"/>
      <c r="P1259" s="34"/>
      <c r="Q1259"/>
    </row>
    <row r="1260" spans="1:17" x14ac:dyDescent="0.25">
      <c r="A1260" s="14"/>
      <c r="B1260"/>
      <c r="C1260" s="15"/>
      <c r="D1260"/>
      <c r="E1260"/>
      <c r="F1260" s="16"/>
      <c r="G1260"/>
      <c r="H1260"/>
      <c r="I1260" s="16"/>
      <c r="J1260"/>
      <c r="K1260"/>
      <c r="L1260"/>
      <c r="M1260" s="17"/>
      <c r="N1260"/>
      <c r="O1260"/>
      <c r="P1260" s="34"/>
      <c r="Q1260"/>
    </row>
    <row r="1261" spans="1:17" x14ac:dyDescent="0.25">
      <c r="A1261" s="14"/>
      <c r="B1261"/>
      <c r="C1261" s="15"/>
      <c r="D1261"/>
      <c r="E1261"/>
      <c r="F1261" s="16"/>
      <c r="G1261"/>
      <c r="H1261"/>
      <c r="I1261" s="16"/>
      <c r="J1261"/>
      <c r="K1261"/>
      <c r="L1261"/>
      <c r="M1261" s="17"/>
      <c r="N1261"/>
      <c r="O1261"/>
      <c r="P1261" s="34"/>
      <c r="Q1261"/>
    </row>
    <row r="1262" spans="1:17" x14ac:dyDescent="0.25">
      <c r="A1262" s="14"/>
      <c r="B1262"/>
      <c r="C1262" s="15"/>
      <c r="D1262"/>
      <c r="E1262"/>
      <c r="F1262" s="16"/>
      <c r="G1262"/>
      <c r="H1262"/>
      <c r="I1262" s="16"/>
      <c r="J1262"/>
      <c r="K1262"/>
      <c r="L1262"/>
      <c r="M1262" s="17"/>
      <c r="N1262"/>
      <c r="O1262"/>
      <c r="P1262" s="34"/>
      <c r="Q1262"/>
    </row>
    <row r="1263" spans="1:17" x14ac:dyDescent="0.25">
      <c r="A1263" s="14"/>
      <c r="B1263"/>
      <c r="C1263" s="15"/>
      <c r="D1263"/>
      <c r="E1263"/>
      <c r="F1263" s="16"/>
      <c r="G1263"/>
      <c r="H1263"/>
      <c r="I1263" s="16"/>
      <c r="J1263"/>
      <c r="K1263"/>
      <c r="L1263"/>
      <c r="M1263" s="17"/>
      <c r="N1263"/>
      <c r="O1263"/>
      <c r="P1263" s="34"/>
      <c r="Q1263"/>
    </row>
    <row r="1264" spans="1:17" x14ac:dyDescent="0.25">
      <c r="A1264" s="14"/>
      <c r="B1264"/>
      <c r="C1264" s="15"/>
      <c r="D1264"/>
      <c r="E1264"/>
      <c r="F1264" s="16"/>
      <c r="G1264"/>
      <c r="H1264"/>
      <c r="I1264" s="16"/>
      <c r="J1264"/>
      <c r="K1264"/>
      <c r="L1264"/>
      <c r="M1264" s="17"/>
      <c r="N1264"/>
      <c r="O1264"/>
      <c r="P1264" s="34"/>
      <c r="Q1264"/>
    </row>
    <row r="1265" spans="1:17" x14ac:dyDescent="0.25">
      <c r="A1265" s="14"/>
      <c r="B1265"/>
      <c r="C1265" s="15"/>
      <c r="D1265"/>
      <c r="E1265"/>
      <c r="F1265" s="16"/>
      <c r="G1265"/>
      <c r="H1265"/>
      <c r="I1265" s="16"/>
      <c r="J1265"/>
      <c r="K1265"/>
      <c r="L1265"/>
      <c r="M1265" s="17"/>
      <c r="N1265"/>
      <c r="O1265"/>
      <c r="P1265" s="34"/>
      <c r="Q1265"/>
    </row>
    <row r="1266" spans="1:17" x14ac:dyDescent="0.25">
      <c r="A1266" s="14"/>
      <c r="B1266"/>
      <c r="C1266" s="15"/>
      <c r="D1266"/>
      <c r="E1266"/>
      <c r="F1266" s="16"/>
      <c r="G1266"/>
      <c r="H1266"/>
      <c r="I1266" s="16"/>
      <c r="J1266"/>
      <c r="K1266"/>
      <c r="L1266"/>
      <c r="M1266" s="17"/>
      <c r="N1266"/>
      <c r="O1266"/>
      <c r="P1266" s="34"/>
      <c r="Q1266"/>
    </row>
    <row r="1267" spans="1:17" x14ac:dyDescent="0.25">
      <c r="A1267" s="14"/>
      <c r="B1267"/>
      <c r="C1267" s="15"/>
      <c r="D1267"/>
      <c r="E1267"/>
      <c r="F1267" s="16"/>
      <c r="G1267"/>
      <c r="H1267"/>
      <c r="I1267" s="16"/>
      <c r="J1267"/>
      <c r="K1267"/>
      <c r="L1267"/>
      <c r="M1267" s="17"/>
      <c r="N1267"/>
      <c r="O1267"/>
      <c r="P1267" s="34"/>
      <c r="Q1267"/>
    </row>
    <row r="1268" spans="1:17" x14ac:dyDescent="0.25">
      <c r="A1268" s="14"/>
      <c r="B1268"/>
      <c r="C1268" s="15"/>
      <c r="D1268"/>
      <c r="E1268"/>
      <c r="F1268" s="16"/>
      <c r="G1268"/>
      <c r="H1268"/>
      <c r="I1268" s="16"/>
      <c r="J1268"/>
      <c r="K1268"/>
      <c r="L1268"/>
      <c r="M1268" s="17"/>
      <c r="N1268"/>
      <c r="O1268"/>
      <c r="P1268" s="34"/>
      <c r="Q1268"/>
    </row>
    <row r="1269" spans="1:17" x14ac:dyDescent="0.25">
      <c r="A1269" s="14"/>
      <c r="B1269"/>
      <c r="C1269" s="15"/>
      <c r="D1269"/>
      <c r="E1269"/>
      <c r="F1269" s="16"/>
      <c r="G1269"/>
      <c r="H1269"/>
      <c r="I1269" s="16"/>
      <c r="J1269"/>
      <c r="K1269"/>
      <c r="L1269"/>
      <c r="M1269" s="17"/>
      <c r="N1269"/>
      <c r="O1269"/>
      <c r="P1269" s="34"/>
      <c r="Q1269"/>
    </row>
    <row r="1270" spans="1:17" x14ac:dyDescent="0.25">
      <c r="A1270" s="14"/>
      <c r="B1270"/>
      <c r="C1270" s="15"/>
      <c r="D1270"/>
      <c r="E1270"/>
      <c r="F1270" s="16"/>
      <c r="G1270"/>
      <c r="H1270"/>
      <c r="I1270" s="16"/>
      <c r="J1270"/>
      <c r="K1270"/>
      <c r="L1270"/>
      <c r="M1270" s="17"/>
      <c r="N1270"/>
      <c r="O1270"/>
      <c r="P1270" s="34"/>
      <c r="Q1270"/>
    </row>
    <row r="1271" spans="1:17" x14ac:dyDescent="0.25">
      <c r="A1271" s="14"/>
      <c r="B1271"/>
      <c r="C1271" s="15"/>
      <c r="D1271"/>
      <c r="E1271"/>
      <c r="F1271" s="16"/>
      <c r="G1271"/>
      <c r="H1271"/>
      <c r="I1271" s="16"/>
      <c r="J1271"/>
      <c r="K1271"/>
      <c r="L1271"/>
      <c r="M1271" s="17"/>
      <c r="N1271"/>
      <c r="O1271"/>
      <c r="P1271" s="34"/>
      <c r="Q1271"/>
    </row>
    <row r="1272" spans="1:17" x14ac:dyDescent="0.25">
      <c r="A1272" s="14"/>
      <c r="B1272"/>
      <c r="C1272" s="15"/>
      <c r="D1272"/>
      <c r="E1272"/>
      <c r="F1272" s="16"/>
      <c r="G1272"/>
      <c r="H1272"/>
      <c r="I1272" s="16"/>
      <c r="J1272"/>
      <c r="K1272"/>
      <c r="L1272"/>
      <c r="M1272" s="17"/>
      <c r="N1272"/>
      <c r="O1272"/>
      <c r="P1272" s="34"/>
      <c r="Q1272"/>
    </row>
    <row r="1273" spans="1:17" x14ac:dyDescent="0.25">
      <c r="A1273" s="14"/>
      <c r="B1273"/>
      <c r="C1273" s="15"/>
      <c r="D1273"/>
      <c r="E1273"/>
      <c r="F1273" s="16"/>
      <c r="G1273"/>
      <c r="H1273"/>
      <c r="I1273" s="16"/>
      <c r="J1273"/>
      <c r="K1273"/>
      <c r="L1273"/>
      <c r="M1273" s="17"/>
      <c r="N1273"/>
      <c r="O1273"/>
      <c r="P1273" s="34"/>
      <c r="Q1273"/>
    </row>
    <row r="1274" spans="1:17" x14ac:dyDescent="0.25">
      <c r="A1274" s="14"/>
      <c r="B1274"/>
      <c r="C1274" s="15"/>
      <c r="D1274"/>
      <c r="E1274"/>
      <c r="F1274" s="16"/>
      <c r="G1274"/>
      <c r="H1274"/>
      <c r="I1274" s="16"/>
      <c r="J1274"/>
      <c r="K1274"/>
      <c r="L1274"/>
      <c r="M1274" s="17"/>
      <c r="N1274"/>
      <c r="O1274"/>
      <c r="P1274" s="34"/>
      <c r="Q1274"/>
    </row>
    <row r="1275" spans="1:17" x14ac:dyDescent="0.25">
      <c r="A1275" s="14"/>
      <c r="B1275"/>
      <c r="C1275" s="15"/>
      <c r="D1275"/>
      <c r="E1275"/>
      <c r="F1275" s="16"/>
      <c r="G1275"/>
      <c r="H1275"/>
      <c r="I1275" s="16"/>
      <c r="J1275"/>
      <c r="K1275"/>
      <c r="L1275"/>
      <c r="M1275" s="17"/>
      <c r="N1275"/>
      <c r="O1275"/>
      <c r="P1275" s="34"/>
      <c r="Q1275"/>
    </row>
    <row r="1276" spans="1:17" x14ac:dyDescent="0.25">
      <c r="A1276" s="14"/>
      <c r="B1276"/>
      <c r="C1276" s="15"/>
      <c r="D1276"/>
      <c r="E1276"/>
      <c r="F1276" s="16"/>
      <c r="G1276"/>
      <c r="H1276"/>
      <c r="I1276" s="16"/>
      <c r="J1276"/>
      <c r="K1276"/>
      <c r="L1276"/>
      <c r="M1276" s="17"/>
      <c r="N1276"/>
      <c r="O1276"/>
      <c r="P1276" s="34"/>
      <c r="Q1276"/>
    </row>
    <row r="1277" spans="1:17" x14ac:dyDescent="0.25">
      <c r="A1277" s="14"/>
      <c r="B1277"/>
      <c r="C1277" s="15"/>
      <c r="D1277"/>
      <c r="E1277"/>
      <c r="F1277" s="16"/>
      <c r="G1277"/>
      <c r="H1277"/>
      <c r="I1277" s="16"/>
      <c r="J1277"/>
      <c r="K1277"/>
      <c r="L1277"/>
      <c r="M1277" s="17"/>
      <c r="N1277"/>
      <c r="O1277"/>
      <c r="P1277" s="34"/>
      <c r="Q1277"/>
    </row>
    <row r="1278" spans="1:17" x14ac:dyDescent="0.25">
      <c r="A1278" s="14"/>
      <c r="B1278"/>
      <c r="C1278" s="15"/>
      <c r="D1278"/>
      <c r="E1278"/>
      <c r="F1278" s="16"/>
      <c r="G1278"/>
      <c r="H1278"/>
      <c r="I1278" s="16"/>
      <c r="J1278"/>
      <c r="K1278"/>
      <c r="L1278"/>
      <c r="M1278" s="17"/>
      <c r="N1278"/>
      <c r="O1278"/>
      <c r="P1278" s="34"/>
      <c r="Q1278"/>
    </row>
    <row r="1279" spans="1:17" x14ac:dyDescent="0.25">
      <c r="A1279" s="14"/>
      <c r="B1279"/>
      <c r="C1279" s="15"/>
      <c r="D1279"/>
      <c r="E1279"/>
      <c r="F1279" s="16"/>
      <c r="G1279"/>
      <c r="H1279"/>
      <c r="I1279" s="16"/>
      <c r="J1279"/>
      <c r="K1279"/>
      <c r="L1279"/>
      <c r="M1279" s="17"/>
      <c r="N1279"/>
      <c r="O1279"/>
      <c r="P1279" s="34"/>
      <c r="Q1279"/>
    </row>
    <row r="1280" spans="1:17" x14ac:dyDescent="0.25">
      <c r="A1280" s="14"/>
      <c r="B1280"/>
      <c r="C1280" s="15"/>
      <c r="D1280"/>
      <c r="E1280"/>
      <c r="F1280" s="16"/>
      <c r="G1280"/>
      <c r="H1280"/>
      <c r="I1280" s="16"/>
      <c r="J1280"/>
      <c r="K1280"/>
      <c r="L1280"/>
      <c r="M1280" s="17"/>
      <c r="N1280"/>
      <c r="O1280"/>
      <c r="P1280" s="34"/>
      <c r="Q1280"/>
    </row>
    <row r="1281" spans="1:17" x14ac:dyDescent="0.25">
      <c r="A1281" s="14"/>
      <c r="B1281"/>
      <c r="C1281" s="15"/>
      <c r="D1281"/>
      <c r="E1281"/>
      <c r="F1281" s="16"/>
      <c r="G1281"/>
      <c r="H1281"/>
      <c r="I1281" s="16"/>
      <c r="J1281"/>
      <c r="K1281"/>
      <c r="L1281"/>
      <c r="M1281" s="17"/>
      <c r="N1281"/>
      <c r="O1281"/>
      <c r="P1281" s="34"/>
      <c r="Q1281"/>
    </row>
    <row r="1282" spans="1:17" x14ac:dyDescent="0.25">
      <c r="A1282" s="14"/>
      <c r="B1282"/>
      <c r="C1282" s="15"/>
      <c r="D1282"/>
      <c r="E1282"/>
      <c r="F1282" s="16"/>
      <c r="G1282"/>
      <c r="H1282"/>
      <c r="I1282" s="16"/>
      <c r="J1282"/>
      <c r="K1282"/>
      <c r="L1282"/>
      <c r="M1282" s="17"/>
      <c r="N1282"/>
      <c r="O1282"/>
      <c r="P1282" s="34"/>
      <c r="Q1282"/>
    </row>
    <row r="1283" spans="1:17" x14ac:dyDescent="0.25">
      <c r="A1283" s="14"/>
      <c r="B1283"/>
      <c r="C1283" s="15"/>
      <c r="D1283"/>
      <c r="E1283"/>
      <c r="F1283" s="16"/>
      <c r="G1283"/>
      <c r="H1283"/>
      <c r="I1283" s="16"/>
      <c r="J1283"/>
      <c r="K1283"/>
      <c r="L1283"/>
      <c r="M1283" s="17"/>
      <c r="N1283"/>
      <c r="O1283"/>
      <c r="P1283" s="34"/>
      <c r="Q1283"/>
    </row>
    <row r="1284" spans="1:17" x14ac:dyDescent="0.25">
      <c r="A1284" s="14"/>
      <c r="B1284"/>
      <c r="C1284" s="15"/>
      <c r="D1284"/>
      <c r="E1284"/>
      <c r="F1284" s="16"/>
      <c r="G1284"/>
      <c r="H1284"/>
      <c r="I1284" s="16"/>
      <c r="J1284"/>
      <c r="K1284"/>
      <c r="L1284"/>
      <c r="M1284" s="17"/>
      <c r="N1284"/>
      <c r="O1284"/>
      <c r="P1284" s="34"/>
      <c r="Q1284"/>
    </row>
    <row r="1285" spans="1:17" x14ac:dyDescent="0.25">
      <c r="A1285" s="14"/>
      <c r="B1285"/>
      <c r="C1285" s="15"/>
      <c r="D1285"/>
      <c r="E1285"/>
      <c r="F1285" s="16"/>
      <c r="G1285"/>
      <c r="H1285"/>
      <c r="I1285" s="16"/>
      <c r="J1285"/>
      <c r="K1285"/>
      <c r="L1285"/>
      <c r="M1285" s="17"/>
      <c r="N1285"/>
      <c r="O1285"/>
      <c r="P1285" s="34"/>
      <c r="Q1285"/>
    </row>
    <row r="1286" spans="1:17" x14ac:dyDescent="0.25">
      <c r="A1286" s="14"/>
      <c r="B1286"/>
      <c r="C1286" s="15"/>
      <c r="D1286"/>
      <c r="E1286"/>
      <c r="F1286" s="16"/>
      <c r="G1286"/>
      <c r="H1286"/>
      <c r="I1286" s="16"/>
      <c r="J1286"/>
      <c r="K1286"/>
      <c r="L1286"/>
      <c r="M1286" s="17"/>
      <c r="N1286"/>
      <c r="O1286"/>
      <c r="P1286" s="34"/>
      <c r="Q1286"/>
    </row>
    <row r="1287" spans="1:17" x14ac:dyDescent="0.25">
      <c r="A1287" s="14"/>
      <c r="B1287"/>
      <c r="C1287" s="15"/>
      <c r="D1287"/>
      <c r="E1287"/>
      <c r="F1287" s="16"/>
      <c r="G1287"/>
      <c r="H1287"/>
      <c r="I1287" s="16"/>
      <c r="J1287"/>
      <c r="K1287"/>
      <c r="L1287"/>
      <c r="M1287" s="17"/>
      <c r="N1287"/>
      <c r="O1287"/>
      <c r="P1287" s="34"/>
      <c r="Q1287"/>
    </row>
    <row r="1288" spans="1:17" x14ac:dyDescent="0.25">
      <c r="A1288" s="14"/>
      <c r="B1288"/>
      <c r="C1288" s="15"/>
      <c r="D1288"/>
      <c r="E1288"/>
      <c r="F1288" s="16"/>
      <c r="G1288"/>
      <c r="H1288"/>
      <c r="I1288" s="16"/>
      <c r="J1288"/>
      <c r="K1288"/>
      <c r="L1288"/>
      <c r="M1288" s="17"/>
      <c r="N1288"/>
      <c r="O1288"/>
      <c r="P1288" s="34"/>
      <c r="Q1288"/>
    </row>
    <row r="1289" spans="1:17" x14ac:dyDescent="0.25">
      <c r="A1289" s="14"/>
      <c r="B1289"/>
      <c r="C1289" s="15"/>
      <c r="D1289"/>
      <c r="E1289"/>
      <c r="F1289" s="16"/>
      <c r="G1289"/>
      <c r="H1289"/>
      <c r="I1289" s="16"/>
      <c r="J1289"/>
      <c r="K1289"/>
      <c r="L1289"/>
      <c r="M1289" s="17"/>
      <c r="N1289"/>
      <c r="O1289"/>
      <c r="P1289" s="34"/>
      <c r="Q1289"/>
    </row>
    <row r="1290" spans="1:17" x14ac:dyDescent="0.25">
      <c r="A1290" s="14"/>
      <c r="B1290"/>
      <c r="C1290" s="15"/>
      <c r="D1290"/>
      <c r="E1290"/>
      <c r="F1290" s="16"/>
      <c r="G1290"/>
      <c r="H1290"/>
      <c r="I1290" s="16"/>
      <c r="J1290"/>
      <c r="K1290"/>
      <c r="L1290"/>
      <c r="M1290" s="17"/>
      <c r="N1290"/>
      <c r="O1290"/>
      <c r="P1290" s="34"/>
      <c r="Q1290"/>
    </row>
    <row r="1291" spans="1:17" x14ac:dyDescent="0.25">
      <c r="A1291" s="14"/>
      <c r="B1291"/>
      <c r="C1291" s="15"/>
      <c r="D1291"/>
      <c r="E1291"/>
      <c r="F1291" s="16"/>
      <c r="G1291"/>
      <c r="H1291"/>
      <c r="I1291" s="16"/>
      <c r="J1291"/>
      <c r="K1291"/>
      <c r="L1291"/>
      <c r="M1291" s="17"/>
      <c r="N1291"/>
      <c r="O1291"/>
      <c r="P1291" s="34"/>
      <c r="Q1291"/>
    </row>
    <row r="1292" spans="1:17" x14ac:dyDescent="0.25">
      <c r="A1292" s="14"/>
      <c r="B1292"/>
      <c r="C1292" s="15"/>
      <c r="D1292"/>
      <c r="E1292"/>
      <c r="F1292" s="16"/>
      <c r="G1292"/>
      <c r="H1292"/>
      <c r="I1292" s="16"/>
      <c r="J1292"/>
      <c r="K1292"/>
      <c r="L1292"/>
      <c r="M1292" s="17"/>
      <c r="N1292"/>
      <c r="O1292"/>
      <c r="P1292" s="34"/>
      <c r="Q1292"/>
    </row>
    <row r="1293" spans="1:17" x14ac:dyDescent="0.25">
      <c r="A1293" s="14"/>
      <c r="B1293"/>
      <c r="C1293" s="15"/>
      <c r="D1293"/>
      <c r="E1293"/>
      <c r="F1293" s="16"/>
      <c r="G1293"/>
      <c r="H1293"/>
      <c r="I1293" s="16"/>
      <c r="J1293"/>
      <c r="K1293"/>
      <c r="L1293"/>
      <c r="M1293" s="17"/>
      <c r="N1293"/>
      <c r="O1293"/>
      <c r="P1293" s="34"/>
      <c r="Q1293"/>
    </row>
    <row r="1294" spans="1:17" x14ac:dyDescent="0.25">
      <c r="A1294" s="14"/>
      <c r="B1294"/>
      <c r="C1294" s="15"/>
      <c r="D1294"/>
      <c r="E1294"/>
      <c r="F1294" s="16"/>
      <c r="G1294"/>
      <c r="H1294"/>
      <c r="I1294" s="16"/>
      <c r="J1294"/>
      <c r="K1294"/>
      <c r="L1294"/>
      <c r="M1294" s="17"/>
      <c r="N1294"/>
      <c r="O1294"/>
      <c r="P1294" s="34"/>
      <c r="Q1294"/>
    </row>
    <row r="1295" spans="1:17" x14ac:dyDescent="0.25">
      <c r="A1295" s="14"/>
      <c r="B1295"/>
      <c r="C1295" s="15"/>
      <c r="D1295"/>
      <c r="E1295"/>
      <c r="F1295" s="16"/>
      <c r="G1295"/>
      <c r="H1295"/>
      <c r="I1295" s="16"/>
      <c r="J1295"/>
      <c r="K1295"/>
      <c r="L1295"/>
      <c r="M1295" s="17"/>
      <c r="N1295"/>
      <c r="O1295"/>
      <c r="P1295" s="34"/>
      <c r="Q1295"/>
    </row>
    <row r="1296" spans="1:17" x14ac:dyDescent="0.25">
      <c r="A1296" s="14"/>
      <c r="B1296"/>
      <c r="C1296" s="15"/>
      <c r="D1296"/>
      <c r="E1296"/>
      <c r="F1296" s="16"/>
      <c r="G1296"/>
      <c r="H1296"/>
      <c r="I1296" s="16"/>
      <c r="J1296"/>
      <c r="K1296"/>
      <c r="L1296"/>
      <c r="M1296" s="17"/>
      <c r="N1296"/>
      <c r="O1296"/>
      <c r="P1296" s="34"/>
      <c r="Q1296"/>
    </row>
    <row r="1297" spans="1:17" x14ac:dyDescent="0.25">
      <c r="A1297" s="14"/>
      <c r="B1297"/>
      <c r="C1297" s="15"/>
      <c r="D1297"/>
      <c r="E1297"/>
      <c r="F1297" s="16"/>
      <c r="G1297"/>
      <c r="H1297"/>
      <c r="I1297" s="16"/>
      <c r="J1297"/>
      <c r="K1297"/>
      <c r="L1297"/>
      <c r="M1297" s="17"/>
      <c r="N1297"/>
      <c r="O1297"/>
      <c r="P1297" s="34"/>
      <c r="Q1297"/>
    </row>
    <row r="1298" spans="1:17" x14ac:dyDescent="0.25">
      <c r="A1298" s="14"/>
      <c r="B1298"/>
      <c r="C1298" s="15"/>
      <c r="D1298"/>
      <c r="E1298"/>
      <c r="F1298" s="16"/>
      <c r="G1298"/>
      <c r="H1298"/>
      <c r="I1298" s="16"/>
      <c r="J1298"/>
      <c r="K1298"/>
      <c r="L1298"/>
      <c r="M1298" s="17"/>
      <c r="N1298"/>
      <c r="O1298"/>
      <c r="P1298" s="34"/>
      <c r="Q1298"/>
    </row>
    <row r="1299" spans="1:17" x14ac:dyDescent="0.25">
      <c r="A1299" s="14"/>
      <c r="B1299"/>
      <c r="C1299" s="15"/>
      <c r="D1299"/>
      <c r="E1299"/>
      <c r="F1299" s="16"/>
      <c r="G1299"/>
      <c r="H1299"/>
      <c r="I1299" s="16"/>
      <c r="J1299"/>
      <c r="K1299"/>
      <c r="L1299"/>
      <c r="M1299" s="17"/>
      <c r="N1299"/>
      <c r="O1299"/>
      <c r="P1299" s="34"/>
      <c r="Q1299"/>
    </row>
    <row r="1300" spans="1:17" x14ac:dyDescent="0.25">
      <c r="A1300" s="14"/>
      <c r="B1300"/>
      <c r="C1300" s="15"/>
      <c r="D1300"/>
      <c r="E1300"/>
      <c r="F1300" s="16"/>
      <c r="G1300"/>
      <c r="H1300"/>
      <c r="I1300" s="16"/>
      <c r="J1300"/>
      <c r="K1300"/>
      <c r="L1300"/>
      <c r="M1300" s="17"/>
      <c r="N1300"/>
      <c r="O1300"/>
      <c r="P1300" s="34"/>
      <c r="Q1300"/>
    </row>
    <row r="1301" spans="1:17" x14ac:dyDescent="0.25">
      <c r="A1301" s="14"/>
      <c r="B1301"/>
      <c r="C1301" s="15"/>
      <c r="D1301"/>
      <c r="E1301"/>
      <c r="F1301" s="16"/>
      <c r="G1301"/>
      <c r="H1301"/>
      <c r="I1301" s="16"/>
      <c r="J1301"/>
      <c r="K1301"/>
      <c r="L1301"/>
      <c r="M1301" s="17"/>
      <c r="N1301"/>
      <c r="O1301"/>
      <c r="P1301" s="34"/>
      <c r="Q1301"/>
    </row>
    <row r="1302" spans="1:17" x14ac:dyDescent="0.25">
      <c r="A1302" s="14"/>
      <c r="B1302"/>
      <c r="C1302" s="15"/>
      <c r="D1302"/>
      <c r="E1302"/>
      <c r="F1302" s="16"/>
      <c r="G1302"/>
      <c r="H1302"/>
      <c r="I1302" s="16"/>
      <c r="J1302"/>
      <c r="K1302"/>
      <c r="L1302"/>
      <c r="M1302" s="17"/>
      <c r="N1302"/>
      <c r="O1302"/>
      <c r="P1302" s="34"/>
      <c r="Q1302"/>
    </row>
    <row r="1303" spans="1:17" x14ac:dyDescent="0.25">
      <c r="A1303" s="14"/>
      <c r="B1303"/>
      <c r="C1303" s="15"/>
      <c r="D1303"/>
      <c r="E1303"/>
      <c r="F1303" s="16"/>
      <c r="G1303"/>
      <c r="H1303"/>
      <c r="I1303" s="16"/>
      <c r="J1303"/>
      <c r="K1303"/>
      <c r="L1303"/>
      <c r="M1303" s="17"/>
      <c r="N1303"/>
      <c r="O1303"/>
      <c r="P1303" s="34"/>
      <c r="Q1303"/>
    </row>
    <row r="1304" spans="1:17" x14ac:dyDescent="0.25">
      <c r="A1304" s="14"/>
      <c r="B1304"/>
      <c r="C1304" s="15"/>
      <c r="D1304"/>
      <c r="E1304"/>
      <c r="F1304" s="16"/>
      <c r="G1304"/>
      <c r="H1304"/>
      <c r="I1304" s="16"/>
      <c r="J1304"/>
      <c r="K1304"/>
      <c r="L1304"/>
      <c r="M1304" s="17"/>
      <c r="N1304"/>
      <c r="O1304"/>
      <c r="P1304" s="34"/>
      <c r="Q1304"/>
    </row>
    <row r="1305" spans="1:17" x14ac:dyDescent="0.25">
      <c r="A1305" s="14"/>
      <c r="B1305"/>
      <c r="C1305" s="15"/>
      <c r="D1305"/>
      <c r="E1305"/>
      <c r="F1305" s="16"/>
      <c r="G1305"/>
      <c r="H1305"/>
      <c r="I1305" s="16"/>
      <c r="J1305"/>
      <c r="K1305"/>
      <c r="L1305"/>
      <c r="M1305" s="17"/>
      <c r="N1305"/>
      <c r="O1305"/>
      <c r="P1305" s="34"/>
      <c r="Q1305"/>
    </row>
    <row r="1306" spans="1:17" x14ac:dyDescent="0.25">
      <c r="A1306" s="14"/>
      <c r="B1306"/>
      <c r="C1306" s="15"/>
      <c r="D1306"/>
      <c r="E1306"/>
      <c r="F1306" s="16"/>
      <c r="G1306"/>
      <c r="H1306"/>
      <c r="I1306" s="16"/>
      <c r="J1306"/>
      <c r="K1306"/>
      <c r="L1306"/>
      <c r="M1306" s="17"/>
      <c r="N1306"/>
      <c r="O1306"/>
      <c r="P1306" s="34"/>
      <c r="Q1306"/>
    </row>
    <row r="1307" spans="1:17" x14ac:dyDescent="0.25">
      <c r="A1307" s="14"/>
      <c r="B1307"/>
      <c r="C1307" s="15"/>
      <c r="D1307"/>
      <c r="E1307"/>
      <c r="F1307" s="16"/>
      <c r="G1307"/>
      <c r="H1307"/>
      <c r="I1307" s="16"/>
      <c r="J1307"/>
      <c r="K1307"/>
      <c r="L1307"/>
      <c r="M1307" s="17"/>
      <c r="N1307"/>
      <c r="O1307"/>
      <c r="P1307" s="34"/>
      <c r="Q1307"/>
    </row>
    <row r="1308" spans="1:17" x14ac:dyDescent="0.25">
      <c r="A1308" s="14"/>
      <c r="B1308"/>
      <c r="C1308" s="15"/>
      <c r="D1308"/>
      <c r="E1308"/>
      <c r="F1308" s="16"/>
      <c r="G1308"/>
      <c r="H1308"/>
      <c r="I1308" s="16"/>
      <c r="J1308"/>
      <c r="K1308"/>
      <c r="L1308"/>
      <c r="M1308" s="17"/>
      <c r="N1308"/>
      <c r="O1308"/>
      <c r="P1308" s="34"/>
      <c r="Q1308"/>
    </row>
    <row r="1309" spans="1:17" x14ac:dyDescent="0.25">
      <c r="A1309" s="14"/>
      <c r="B1309"/>
      <c r="C1309" s="15"/>
      <c r="D1309"/>
      <c r="E1309"/>
      <c r="F1309" s="16"/>
      <c r="G1309"/>
      <c r="H1309"/>
      <c r="I1309" s="16"/>
      <c r="J1309"/>
      <c r="K1309"/>
      <c r="L1309"/>
      <c r="M1309" s="17"/>
      <c r="N1309"/>
      <c r="O1309"/>
      <c r="P1309" s="34"/>
      <c r="Q1309"/>
    </row>
    <row r="1310" spans="1:17" x14ac:dyDescent="0.25">
      <c r="A1310" s="14"/>
      <c r="B1310"/>
      <c r="C1310" s="15"/>
      <c r="D1310"/>
      <c r="E1310"/>
      <c r="F1310" s="16"/>
      <c r="G1310"/>
      <c r="H1310"/>
      <c r="I1310" s="16"/>
      <c r="J1310"/>
      <c r="K1310"/>
      <c r="L1310"/>
      <c r="M1310" s="17"/>
      <c r="N1310"/>
      <c r="O1310"/>
      <c r="P1310" s="34"/>
      <c r="Q1310"/>
    </row>
    <row r="1311" spans="1:17" x14ac:dyDescent="0.25">
      <c r="A1311" s="14"/>
      <c r="B1311"/>
      <c r="C1311" s="15"/>
      <c r="D1311"/>
      <c r="E1311"/>
      <c r="F1311" s="16"/>
      <c r="G1311"/>
      <c r="H1311"/>
      <c r="I1311" s="16"/>
      <c r="J1311"/>
      <c r="K1311"/>
      <c r="L1311"/>
      <c r="M1311" s="17"/>
      <c r="N1311"/>
      <c r="O1311"/>
      <c r="P1311" s="34"/>
      <c r="Q1311"/>
    </row>
    <row r="1312" spans="1:17" x14ac:dyDescent="0.25">
      <c r="A1312" s="14"/>
      <c r="B1312"/>
      <c r="C1312" s="15"/>
      <c r="D1312"/>
      <c r="E1312"/>
      <c r="F1312" s="16"/>
      <c r="G1312"/>
      <c r="H1312"/>
      <c r="I1312" s="16"/>
      <c r="J1312"/>
      <c r="K1312"/>
      <c r="L1312"/>
      <c r="M1312" s="17"/>
      <c r="N1312"/>
      <c r="O1312"/>
      <c r="P1312" s="34"/>
      <c r="Q1312"/>
    </row>
    <row r="1313" spans="1:17" x14ac:dyDescent="0.25">
      <c r="A1313" s="14"/>
      <c r="B1313"/>
      <c r="C1313" s="15"/>
      <c r="D1313"/>
      <c r="E1313"/>
      <c r="F1313" s="16"/>
      <c r="G1313"/>
      <c r="H1313"/>
      <c r="I1313" s="16"/>
      <c r="J1313"/>
      <c r="K1313"/>
      <c r="L1313"/>
      <c r="M1313" s="17"/>
      <c r="N1313"/>
      <c r="O1313"/>
      <c r="P1313" s="34"/>
      <c r="Q1313"/>
    </row>
    <row r="1314" spans="1:17" x14ac:dyDescent="0.25">
      <c r="A1314" s="14"/>
      <c r="B1314"/>
      <c r="C1314" s="15"/>
      <c r="D1314"/>
      <c r="E1314"/>
      <c r="F1314" s="16"/>
      <c r="G1314"/>
      <c r="H1314"/>
      <c r="I1314" s="16"/>
      <c r="J1314"/>
      <c r="K1314"/>
      <c r="L1314"/>
      <c r="M1314" s="17"/>
      <c r="N1314"/>
      <c r="O1314"/>
      <c r="P1314" s="34"/>
      <c r="Q1314"/>
    </row>
    <row r="1315" spans="1:17" x14ac:dyDescent="0.25">
      <c r="A1315" s="14"/>
      <c r="B1315"/>
      <c r="C1315" s="15"/>
      <c r="D1315"/>
      <c r="E1315"/>
      <c r="F1315" s="16"/>
      <c r="G1315"/>
      <c r="H1315"/>
      <c r="I1315" s="16"/>
      <c r="J1315"/>
      <c r="K1315"/>
      <c r="L1315"/>
      <c r="M1315" s="17"/>
      <c r="N1315"/>
      <c r="O1315"/>
      <c r="P1315" s="34"/>
      <c r="Q1315"/>
    </row>
    <row r="1316" spans="1:17" x14ac:dyDescent="0.25">
      <c r="A1316" s="14"/>
      <c r="B1316"/>
      <c r="C1316" s="15"/>
      <c r="D1316"/>
      <c r="E1316"/>
      <c r="F1316" s="16"/>
      <c r="G1316"/>
      <c r="H1316"/>
      <c r="I1316" s="16"/>
      <c r="J1316"/>
      <c r="K1316"/>
      <c r="L1316"/>
      <c r="M1316" s="17"/>
      <c r="N1316"/>
      <c r="O1316"/>
      <c r="P1316" s="34"/>
      <c r="Q1316"/>
    </row>
    <row r="1317" spans="1:17" x14ac:dyDescent="0.25">
      <c r="A1317" s="14"/>
      <c r="B1317"/>
      <c r="C1317" s="15"/>
      <c r="D1317"/>
      <c r="E1317"/>
      <c r="F1317" s="16"/>
      <c r="G1317"/>
      <c r="H1317"/>
      <c r="I1317" s="16"/>
      <c r="J1317"/>
      <c r="K1317"/>
      <c r="L1317"/>
      <c r="M1317" s="17"/>
      <c r="N1317"/>
      <c r="O1317"/>
      <c r="P1317" s="34"/>
      <c r="Q1317"/>
    </row>
    <row r="1318" spans="1:17" x14ac:dyDescent="0.25">
      <c r="A1318" s="14"/>
      <c r="B1318"/>
      <c r="C1318" s="15"/>
      <c r="D1318"/>
      <c r="E1318"/>
      <c r="F1318" s="16"/>
      <c r="G1318"/>
      <c r="H1318"/>
      <c r="I1318" s="16"/>
      <c r="J1318"/>
      <c r="K1318"/>
      <c r="L1318"/>
      <c r="M1318" s="17"/>
      <c r="N1318"/>
      <c r="O1318"/>
      <c r="P1318" s="34"/>
      <c r="Q1318"/>
    </row>
    <row r="1319" spans="1:17" x14ac:dyDescent="0.25">
      <c r="A1319" s="14"/>
      <c r="B1319"/>
      <c r="C1319" s="15"/>
      <c r="D1319"/>
      <c r="E1319"/>
      <c r="F1319" s="16"/>
      <c r="G1319"/>
      <c r="H1319"/>
      <c r="I1319" s="16"/>
      <c r="J1319"/>
      <c r="K1319"/>
      <c r="L1319"/>
      <c r="M1319" s="17"/>
      <c r="N1319"/>
      <c r="O1319"/>
      <c r="P1319" s="34"/>
      <c r="Q1319"/>
    </row>
    <row r="1320" spans="1:17" x14ac:dyDescent="0.25">
      <c r="A1320" s="14"/>
      <c r="B1320"/>
      <c r="C1320" s="15"/>
      <c r="D1320"/>
      <c r="E1320"/>
      <c r="F1320" s="16"/>
      <c r="G1320"/>
      <c r="H1320"/>
      <c r="I1320" s="16"/>
      <c r="J1320"/>
      <c r="K1320"/>
      <c r="L1320"/>
      <c r="M1320" s="17"/>
      <c r="N1320"/>
      <c r="O1320"/>
      <c r="P1320" s="34"/>
      <c r="Q1320"/>
    </row>
    <row r="1321" spans="1:17" x14ac:dyDescent="0.25">
      <c r="A1321" s="14"/>
      <c r="B1321"/>
      <c r="C1321" s="15"/>
      <c r="D1321"/>
      <c r="E1321"/>
      <c r="F1321" s="16"/>
      <c r="G1321"/>
      <c r="H1321"/>
      <c r="I1321" s="16"/>
      <c r="J1321"/>
      <c r="K1321"/>
      <c r="L1321"/>
      <c r="M1321" s="17"/>
      <c r="N1321"/>
      <c r="O1321"/>
      <c r="P1321" s="34"/>
      <c r="Q1321"/>
    </row>
    <row r="1322" spans="1:17" x14ac:dyDescent="0.25">
      <c r="A1322" s="14"/>
      <c r="B1322"/>
      <c r="C1322" s="15"/>
      <c r="D1322"/>
      <c r="E1322"/>
      <c r="F1322" s="16"/>
      <c r="G1322"/>
      <c r="H1322"/>
      <c r="I1322" s="16"/>
      <c r="J1322"/>
      <c r="K1322"/>
      <c r="L1322"/>
      <c r="M1322" s="17"/>
      <c r="N1322"/>
      <c r="O1322"/>
      <c r="P1322" s="34"/>
      <c r="Q1322"/>
    </row>
    <row r="1323" spans="1:17" x14ac:dyDescent="0.25">
      <c r="A1323" s="14"/>
      <c r="B1323"/>
      <c r="C1323" s="15"/>
      <c r="D1323"/>
      <c r="E1323"/>
      <c r="F1323" s="16"/>
      <c r="G1323"/>
      <c r="H1323"/>
      <c r="I1323" s="16"/>
      <c r="J1323"/>
      <c r="K1323"/>
      <c r="L1323"/>
      <c r="M1323" s="17"/>
      <c r="N1323"/>
      <c r="O1323"/>
      <c r="P1323" s="34"/>
      <c r="Q1323"/>
    </row>
    <row r="1324" spans="1:17" x14ac:dyDescent="0.25">
      <c r="A1324" s="14"/>
      <c r="B1324"/>
      <c r="C1324" s="15"/>
      <c r="D1324"/>
      <c r="E1324"/>
      <c r="F1324" s="16"/>
      <c r="G1324"/>
      <c r="H1324"/>
      <c r="I1324" s="16"/>
      <c r="J1324"/>
      <c r="K1324"/>
      <c r="L1324"/>
      <c r="M1324" s="17"/>
      <c r="N1324"/>
      <c r="O1324"/>
      <c r="P1324" s="34"/>
      <c r="Q1324"/>
    </row>
    <row r="1325" spans="1:17" x14ac:dyDescent="0.25">
      <c r="A1325" s="14"/>
      <c r="B1325"/>
      <c r="C1325" s="15"/>
      <c r="D1325"/>
      <c r="E1325"/>
      <c r="F1325" s="16"/>
      <c r="G1325"/>
      <c r="H1325"/>
      <c r="I1325" s="16"/>
      <c r="J1325"/>
      <c r="K1325"/>
      <c r="L1325"/>
      <c r="M1325" s="17"/>
      <c r="N1325"/>
      <c r="O1325"/>
      <c r="P1325" s="34"/>
      <c r="Q1325"/>
    </row>
    <row r="1326" spans="1:17" x14ac:dyDescent="0.25">
      <c r="A1326" s="14"/>
      <c r="B1326"/>
      <c r="C1326" s="15"/>
      <c r="D1326"/>
      <c r="E1326"/>
      <c r="F1326" s="16"/>
      <c r="G1326"/>
      <c r="H1326"/>
      <c r="I1326" s="16"/>
      <c r="J1326"/>
      <c r="K1326"/>
      <c r="L1326"/>
      <c r="M1326" s="17"/>
      <c r="N1326"/>
      <c r="O1326"/>
      <c r="P1326" s="34"/>
      <c r="Q1326"/>
    </row>
    <row r="1327" spans="1:17" x14ac:dyDescent="0.25">
      <c r="A1327" s="14"/>
      <c r="B1327"/>
      <c r="C1327" s="15"/>
      <c r="D1327"/>
      <c r="E1327"/>
      <c r="F1327" s="16"/>
      <c r="G1327"/>
      <c r="H1327"/>
      <c r="I1327" s="16"/>
      <c r="J1327"/>
      <c r="K1327"/>
      <c r="L1327"/>
      <c r="M1327" s="17"/>
      <c r="N1327"/>
      <c r="O1327"/>
      <c r="P1327" s="34"/>
      <c r="Q1327"/>
    </row>
    <row r="1328" spans="1:17" x14ac:dyDescent="0.25">
      <c r="A1328" s="14"/>
      <c r="B1328"/>
      <c r="C1328" s="15"/>
      <c r="D1328"/>
      <c r="E1328"/>
      <c r="F1328" s="16"/>
      <c r="G1328"/>
      <c r="H1328"/>
      <c r="I1328" s="16"/>
      <c r="J1328"/>
      <c r="K1328"/>
      <c r="L1328"/>
      <c r="M1328" s="17"/>
      <c r="N1328"/>
      <c r="O1328"/>
      <c r="P1328" s="34"/>
      <c r="Q1328"/>
    </row>
    <row r="1329" spans="1:17" x14ac:dyDescent="0.25">
      <c r="A1329" s="14"/>
      <c r="B1329"/>
      <c r="C1329" s="15"/>
      <c r="D1329"/>
      <c r="E1329"/>
      <c r="F1329" s="16"/>
      <c r="G1329"/>
      <c r="H1329"/>
      <c r="I1329" s="16"/>
      <c r="J1329"/>
      <c r="K1329"/>
      <c r="L1329"/>
      <c r="M1329" s="17"/>
      <c r="N1329"/>
      <c r="O1329"/>
      <c r="P1329" s="34"/>
      <c r="Q1329"/>
    </row>
    <row r="1330" spans="1:17" x14ac:dyDescent="0.25">
      <c r="A1330" s="14"/>
      <c r="B1330"/>
      <c r="C1330" s="15"/>
      <c r="D1330"/>
      <c r="E1330"/>
      <c r="F1330" s="16"/>
      <c r="G1330"/>
      <c r="H1330"/>
      <c r="I1330" s="16"/>
      <c r="J1330"/>
      <c r="K1330"/>
      <c r="L1330"/>
      <c r="M1330" s="17"/>
      <c r="N1330"/>
      <c r="O1330"/>
      <c r="P1330" s="34"/>
      <c r="Q1330"/>
    </row>
    <row r="1331" spans="1:17" x14ac:dyDescent="0.25">
      <c r="A1331" s="14"/>
      <c r="B1331"/>
      <c r="C1331" s="15"/>
      <c r="D1331"/>
      <c r="E1331"/>
      <c r="F1331" s="16"/>
      <c r="G1331"/>
      <c r="H1331"/>
      <c r="I1331" s="16"/>
      <c r="J1331"/>
      <c r="K1331"/>
      <c r="L1331"/>
      <c r="M1331" s="17"/>
      <c r="N1331"/>
      <c r="O1331"/>
      <c r="P1331" s="34"/>
      <c r="Q1331"/>
    </row>
    <row r="1332" spans="1:17" x14ac:dyDescent="0.25">
      <c r="A1332" s="14"/>
      <c r="B1332"/>
      <c r="C1332" s="15"/>
      <c r="D1332"/>
      <c r="E1332"/>
      <c r="F1332" s="16"/>
      <c r="G1332"/>
      <c r="H1332"/>
      <c r="I1332" s="16"/>
      <c r="J1332"/>
      <c r="K1332"/>
      <c r="L1332"/>
      <c r="M1332" s="17"/>
      <c r="N1332"/>
      <c r="O1332"/>
      <c r="P1332" s="34"/>
      <c r="Q1332"/>
    </row>
    <row r="1333" spans="1:17" x14ac:dyDescent="0.25">
      <c r="A1333" s="14"/>
      <c r="B1333"/>
      <c r="C1333" s="15"/>
      <c r="D1333"/>
      <c r="E1333"/>
      <c r="F1333" s="16"/>
      <c r="G1333"/>
      <c r="H1333"/>
      <c r="I1333" s="16"/>
      <c r="J1333"/>
      <c r="K1333"/>
      <c r="L1333"/>
      <c r="M1333" s="17"/>
      <c r="N1333"/>
      <c r="O1333"/>
      <c r="P1333" s="34"/>
      <c r="Q1333"/>
    </row>
    <row r="1334" spans="1:17" x14ac:dyDescent="0.25">
      <c r="A1334" s="14"/>
      <c r="B1334"/>
      <c r="C1334" s="15"/>
      <c r="D1334"/>
      <c r="E1334"/>
      <c r="F1334" s="16"/>
      <c r="G1334"/>
      <c r="H1334"/>
      <c r="I1334" s="16"/>
      <c r="J1334"/>
      <c r="K1334"/>
      <c r="L1334"/>
      <c r="M1334" s="17"/>
      <c r="N1334"/>
      <c r="O1334"/>
      <c r="P1334" s="34"/>
      <c r="Q1334"/>
    </row>
    <row r="1335" spans="1:17" x14ac:dyDescent="0.25">
      <c r="A1335" s="14"/>
      <c r="B1335"/>
      <c r="C1335" s="15"/>
      <c r="D1335"/>
      <c r="E1335"/>
      <c r="F1335" s="16"/>
      <c r="G1335"/>
      <c r="H1335"/>
      <c r="I1335" s="16"/>
      <c r="J1335"/>
      <c r="K1335"/>
      <c r="L1335"/>
      <c r="M1335" s="17"/>
      <c r="N1335"/>
      <c r="O1335"/>
      <c r="P1335" s="34"/>
      <c r="Q1335"/>
    </row>
    <row r="1336" spans="1:17" x14ac:dyDescent="0.25">
      <c r="A1336" s="14"/>
      <c r="B1336"/>
      <c r="C1336" s="15"/>
      <c r="D1336"/>
      <c r="E1336"/>
      <c r="F1336" s="16"/>
      <c r="G1336"/>
      <c r="H1336"/>
      <c r="I1336" s="16"/>
      <c r="J1336"/>
      <c r="K1336"/>
      <c r="L1336"/>
      <c r="M1336" s="17"/>
      <c r="N1336"/>
      <c r="O1336"/>
      <c r="P1336" s="34"/>
      <c r="Q1336"/>
    </row>
    <row r="1337" spans="1:17" x14ac:dyDescent="0.25">
      <c r="A1337" s="14"/>
      <c r="B1337"/>
      <c r="C1337" s="15"/>
      <c r="D1337"/>
      <c r="E1337"/>
      <c r="F1337" s="16"/>
      <c r="G1337"/>
      <c r="H1337"/>
      <c r="I1337" s="16"/>
      <c r="J1337"/>
      <c r="K1337"/>
      <c r="L1337"/>
      <c r="M1337" s="17"/>
      <c r="N1337"/>
      <c r="O1337"/>
      <c r="P1337" s="34"/>
      <c r="Q1337"/>
    </row>
    <row r="1338" spans="1:17" x14ac:dyDescent="0.25">
      <c r="A1338" s="14"/>
      <c r="B1338"/>
      <c r="C1338" s="15"/>
      <c r="D1338"/>
      <c r="E1338"/>
      <c r="F1338" s="16"/>
      <c r="G1338"/>
      <c r="H1338"/>
      <c r="I1338" s="16"/>
      <c r="J1338"/>
      <c r="K1338"/>
      <c r="L1338"/>
      <c r="M1338" s="17"/>
      <c r="N1338"/>
      <c r="O1338"/>
      <c r="P1338" s="34"/>
      <c r="Q1338"/>
    </row>
    <row r="1339" spans="1:17" x14ac:dyDescent="0.25">
      <c r="A1339" s="14"/>
      <c r="B1339"/>
      <c r="C1339" s="15"/>
      <c r="D1339"/>
      <c r="E1339"/>
      <c r="F1339" s="16"/>
      <c r="G1339"/>
      <c r="H1339"/>
      <c r="I1339" s="16"/>
      <c r="J1339"/>
      <c r="K1339"/>
      <c r="L1339"/>
      <c r="M1339" s="17"/>
      <c r="N1339"/>
      <c r="O1339"/>
      <c r="P1339" s="34"/>
      <c r="Q1339"/>
    </row>
    <row r="1340" spans="1:17" x14ac:dyDescent="0.25">
      <c r="A1340" s="14"/>
      <c r="B1340"/>
      <c r="C1340" s="15"/>
      <c r="D1340"/>
      <c r="E1340"/>
      <c r="F1340" s="16"/>
      <c r="G1340"/>
      <c r="H1340"/>
      <c r="I1340" s="16"/>
      <c r="J1340"/>
      <c r="K1340"/>
      <c r="L1340"/>
      <c r="M1340" s="17"/>
      <c r="N1340"/>
      <c r="O1340"/>
      <c r="P1340" s="34"/>
      <c r="Q1340"/>
    </row>
    <row r="1341" spans="1:17" x14ac:dyDescent="0.25">
      <c r="A1341" s="14"/>
      <c r="B1341"/>
      <c r="C1341" s="15"/>
      <c r="D1341"/>
      <c r="E1341"/>
      <c r="F1341" s="16"/>
      <c r="G1341"/>
      <c r="H1341"/>
      <c r="I1341" s="16"/>
      <c r="J1341"/>
      <c r="K1341"/>
      <c r="L1341"/>
      <c r="M1341" s="17"/>
      <c r="N1341"/>
      <c r="O1341"/>
      <c r="P1341" s="34"/>
      <c r="Q1341"/>
    </row>
    <row r="1342" spans="1:17" x14ac:dyDescent="0.25">
      <c r="A1342" s="14"/>
      <c r="B1342"/>
      <c r="C1342" s="15"/>
      <c r="D1342"/>
      <c r="E1342"/>
      <c r="F1342" s="16"/>
      <c r="G1342"/>
      <c r="H1342"/>
      <c r="I1342" s="16"/>
      <c r="J1342"/>
      <c r="K1342"/>
      <c r="L1342"/>
      <c r="M1342" s="17"/>
      <c r="N1342"/>
      <c r="O1342"/>
      <c r="P1342" s="34"/>
      <c r="Q1342"/>
    </row>
    <row r="1343" spans="1:17" x14ac:dyDescent="0.25">
      <c r="A1343" s="14"/>
      <c r="B1343"/>
      <c r="C1343" s="15"/>
      <c r="D1343"/>
      <c r="E1343"/>
      <c r="F1343" s="16"/>
      <c r="G1343"/>
      <c r="H1343"/>
      <c r="I1343" s="16"/>
      <c r="J1343"/>
      <c r="K1343"/>
      <c r="L1343"/>
      <c r="M1343" s="17"/>
      <c r="N1343"/>
      <c r="O1343"/>
      <c r="P1343" s="34"/>
      <c r="Q1343"/>
    </row>
    <row r="1344" spans="1:17" x14ac:dyDescent="0.25">
      <c r="A1344" s="14"/>
      <c r="B1344"/>
      <c r="C1344" s="15"/>
      <c r="D1344"/>
      <c r="E1344"/>
      <c r="F1344" s="16"/>
      <c r="G1344"/>
      <c r="H1344"/>
      <c r="I1344" s="16"/>
      <c r="J1344"/>
      <c r="K1344"/>
      <c r="L1344"/>
      <c r="M1344" s="17"/>
      <c r="N1344"/>
      <c r="O1344"/>
      <c r="P1344" s="34"/>
      <c r="Q1344"/>
    </row>
    <row r="1345" spans="1:17" x14ac:dyDescent="0.25">
      <c r="A1345" s="14"/>
      <c r="B1345"/>
      <c r="C1345" s="15"/>
      <c r="D1345"/>
      <c r="E1345"/>
      <c r="F1345" s="16"/>
      <c r="G1345"/>
      <c r="H1345"/>
      <c r="I1345" s="16"/>
      <c r="J1345"/>
      <c r="K1345"/>
      <c r="L1345"/>
      <c r="M1345" s="17"/>
      <c r="N1345"/>
      <c r="O1345"/>
      <c r="P1345" s="34"/>
      <c r="Q1345"/>
    </row>
    <row r="1346" spans="1:17" x14ac:dyDescent="0.25">
      <c r="A1346" s="14"/>
      <c r="B1346"/>
      <c r="C1346" s="15"/>
      <c r="D1346"/>
      <c r="E1346"/>
      <c r="F1346" s="16"/>
      <c r="G1346"/>
      <c r="H1346"/>
      <c r="I1346" s="16"/>
      <c r="J1346"/>
      <c r="K1346"/>
      <c r="L1346"/>
      <c r="M1346" s="17"/>
      <c r="N1346"/>
      <c r="O1346"/>
      <c r="P1346" s="34"/>
      <c r="Q1346"/>
    </row>
    <row r="1347" spans="1:17" x14ac:dyDescent="0.25">
      <c r="A1347" s="14"/>
      <c r="B1347"/>
      <c r="C1347" s="15"/>
      <c r="D1347"/>
      <c r="E1347"/>
      <c r="F1347" s="16"/>
      <c r="G1347"/>
      <c r="H1347"/>
      <c r="I1347" s="16"/>
      <c r="J1347"/>
      <c r="K1347"/>
      <c r="L1347"/>
      <c r="M1347" s="17"/>
      <c r="N1347"/>
      <c r="O1347"/>
      <c r="P1347" s="34"/>
      <c r="Q1347"/>
    </row>
    <row r="1348" spans="1:17" x14ac:dyDescent="0.25">
      <c r="A1348" s="14"/>
      <c r="B1348"/>
      <c r="C1348" s="15"/>
      <c r="D1348"/>
      <c r="E1348"/>
      <c r="F1348" s="16"/>
      <c r="G1348"/>
      <c r="H1348"/>
      <c r="I1348" s="16"/>
      <c r="J1348"/>
      <c r="K1348"/>
      <c r="L1348"/>
      <c r="M1348" s="17"/>
      <c r="N1348"/>
      <c r="O1348"/>
      <c r="P1348" s="34"/>
      <c r="Q1348"/>
    </row>
    <row r="1349" spans="1:17" x14ac:dyDescent="0.25">
      <c r="A1349" s="14"/>
      <c r="B1349"/>
      <c r="C1349" s="15"/>
      <c r="D1349"/>
      <c r="E1349"/>
      <c r="F1349" s="16"/>
      <c r="G1349"/>
      <c r="H1349"/>
      <c r="I1349" s="16"/>
      <c r="J1349"/>
      <c r="K1349"/>
      <c r="L1349"/>
      <c r="M1349" s="17"/>
      <c r="N1349"/>
      <c r="O1349"/>
      <c r="P1349" s="34"/>
      <c r="Q1349"/>
    </row>
    <row r="1350" spans="1:17" x14ac:dyDescent="0.25">
      <c r="A1350" s="14"/>
      <c r="B1350"/>
      <c r="C1350" s="15"/>
      <c r="D1350"/>
      <c r="E1350"/>
      <c r="F1350" s="16"/>
      <c r="G1350"/>
      <c r="H1350"/>
      <c r="I1350" s="16"/>
      <c r="J1350"/>
      <c r="K1350"/>
      <c r="L1350"/>
      <c r="M1350" s="17"/>
      <c r="N1350"/>
      <c r="O1350"/>
      <c r="P1350" s="34"/>
      <c r="Q1350"/>
    </row>
    <row r="1351" spans="1:17" x14ac:dyDescent="0.25">
      <c r="A1351" s="14"/>
      <c r="B1351"/>
      <c r="C1351" s="15"/>
      <c r="D1351"/>
      <c r="E1351"/>
      <c r="F1351" s="16"/>
      <c r="G1351"/>
      <c r="H1351"/>
      <c r="I1351" s="16"/>
      <c r="J1351"/>
      <c r="K1351"/>
      <c r="L1351"/>
      <c r="M1351" s="17"/>
      <c r="N1351"/>
      <c r="O1351"/>
      <c r="P1351" s="34"/>
      <c r="Q1351"/>
    </row>
    <row r="1352" spans="1:17" x14ac:dyDescent="0.25">
      <c r="A1352" s="14"/>
      <c r="B1352"/>
      <c r="C1352" s="15"/>
      <c r="D1352"/>
      <c r="E1352"/>
      <c r="F1352" s="16"/>
      <c r="G1352"/>
      <c r="H1352"/>
      <c r="I1352" s="16"/>
      <c r="J1352"/>
      <c r="K1352"/>
      <c r="L1352"/>
      <c r="M1352" s="17"/>
      <c r="N1352"/>
      <c r="O1352"/>
      <c r="P1352" s="34"/>
      <c r="Q1352"/>
    </row>
    <row r="1353" spans="1:17" x14ac:dyDescent="0.25">
      <c r="A1353" s="14"/>
      <c r="B1353"/>
      <c r="C1353" s="15"/>
      <c r="D1353"/>
      <c r="E1353"/>
      <c r="F1353" s="16"/>
      <c r="G1353"/>
      <c r="H1353"/>
      <c r="I1353" s="16"/>
      <c r="J1353"/>
      <c r="K1353"/>
      <c r="L1353"/>
      <c r="M1353" s="17"/>
      <c r="N1353"/>
      <c r="O1353"/>
      <c r="P1353" s="34"/>
      <c r="Q1353"/>
    </row>
    <row r="1354" spans="1:17" x14ac:dyDescent="0.25">
      <c r="A1354" s="14"/>
      <c r="B1354"/>
      <c r="C1354" s="15"/>
      <c r="D1354"/>
      <c r="E1354"/>
      <c r="F1354" s="16"/>
      <c r="G1354"/>
      <c r="H1354"/>
      <c r="I1354" s="16"/>
      <c r="J1354"/>
      <c r="K1354"/>
      <c r="L1354"/>
      <c r="M1354" s="17"/>
      <c r="N1354"/>
      <c r="O1354"/>
      <c r="P1354" s="34"/>
      <c r="Q1354"/>
    </row>
    <row r="1355" spans="1:17" x14ac:dyDescent="0.25">
      <c r="A1355" s="14"/>
      <c r="B1355"/>
      <c r="C1355" s="15"/>
      <c r="D1355"/>
      <c r="E1355"/>
      <c r="F1355" s="16"/>
      <c r="G1355"/>
      <c r="H1355"/>
      <c r="I1355" s="16"/>
      <c r="J1355"/>
      <c r="K1355"/>
      <c r="L1355"/>
      <c r="M1355" s="17"/>
      <c r="N1355"/>
      <c r="O1355"/>
      <c r="P1355" s="34"/>
      <c r="Q1355"/>
    </row>
    <row r="1356" spans="1:17" x14ac:dyDescent="0.25">
      <c r="A1356" s="14"/>
      <c r="B1356"/>
      <c r="C1356" s="15"/>
      <c r="D1356"/>
      <c r="E1356"/>
      <c r="F1356" s="16"/>
      <c r="G1356"/>
      <c r="H1356"/>
      <c r="I1356" s="16"/>
      <c r="J1356"/>
      <c r="K1356"/>
      <c r="L1356"/>
      <c r="M1356" s="17"/>
      <c r="N1356"/>
      <c r="O1356"/>
      <c r="P1356" s="34"/>
      <c r="Q1356"/>
    </row>
    <row r="1357" spans="1:17" x14ac:dyDescent="0.25">
      <c r="A1357" s="14"/>
      <c r="B1357"/>
      <c r="C1357" s="15"/>
      <c r="D1357"/>
      <c r="E1357"/>
      <c r="F1357" s="16"/>
      <c r="G1357"/>
      <c r="H1357"/>
      <c r="I1357" s="16"/>
      <c r="J1357"/>
      <c r="K1357"/>
      <c r="L1357"/>
      <c r="M1357" s="17"/>
      <c r="N1357"/>
      <c r="O1357"/>
      <c r="P1357" s="34"/>
      <c r="Q1357"/>
    </row>
    <row r="1358" spans="1:17" x14ac:dyDescent="0.25">
      <c r="A1358" s="14"/>
      <c r="B1358"/>
      <c r="C1358" s="15"/>
      <c r="D1358"/>
      <c r="E1358"/>
      <c r="F1358" s="16"/>
      <c r="G1358"/>
      <c r="H1358"/>
      <c r="I1358" s="16"/>
      <c r="J1358"/>
      <c r="K1358"/>
      <c r="L1358"/>
      <c r="M1358" s="17"/>
      <c r="N1358"/>
      <c r="O1358"/>
      <c r="P1358" s="34"/>
      <c r="Q1358"/>
    </row>
    <row r="1359" spans="1:17" x14ac:dyDescent="0.25">
      <c r="A1359" s="14"/>
      <c r="B1359"/>
      <c r="C1359" s="15"/>
      <c r="D1359"/>
      <c r="E1359"/>
      <c r="F1359" s="16"/>
      <c r="G1359"/>
      <c r="H1359"/>
      <c r="I1359" s="16"/>
      <c r="J1359"/>
      <c r="K1359"/>
      <c r="L1359"/>
      <c r="M1359" s="17"/>
      <c r="N1359"/>
      <c r="O1359"/>
      <c r="P1359" s="34"/>
      <c r="Q1359"/>
    </row>
    <row r="1360" spans="1:17" x14ac:dyDescent="0.25">
      <c r="A1360" s="14"/>
      <c r="B1360"/>
      <c r="C1360" s="15"/>
      <c r="D1360"/>
      <c r="E1360"/>
      <c r="F1360" s="16"/>
      <c r="G1360"/>
      <c r="H1360"/>
      <c r="I1360" s="16"/>
      <c r="J1360"/>
      <c r="K1360"/>
      <c r="L1360"/>
      <c r="M1360" s="17"/>
      <c r="N1360"/>
      <c r="O1360"/>
      <c r="P1360" s="34"/>
      <c r="Q1360"/>
    </row>
    <row r="1361" spans="1:17" x14ac:dyDescent="0.25">
      <c r="A1361" s="14"/>
      <c r="B1361"/>
      <c r="C1361" s="15"/>
      <c r="D1361"/>
      <c r="E1361"/>
      <c r="F1361" s="16"/>
      <c r="G1361"/>
      <c r="H1361"/>
      <c r="I1361" s="16"/>
      <c r="J1361"/>
      <c r="K1361"/>
      <c r="L1361"/>
      <c r="M1361" s="17"/>
      <c r="N1361"/>
      <c r="O1361"/>
      <c r="P1361" s="34"/>
      <c r="Q1361"/>
    </row>
    <row r="1362" spans="1:17" x14ac:dyDescent="0.25">
      <c r="A1362" s="14"/>
      <c r="B1362"/>
      <c r="C1362" s="15"/>
      <c r="D1362"/>
      <c r="E1362"/>
      <c r="F1362" s="16"/>
      <c r="G1362"/>
      <c r="H1362"/>
      <c r="I1362" s="16"/>
      <c r="J1362"/>
      <c r="K1362"/>
      <c r="L1362"/>
      <c r="M1362" s="17"/>
      <c r="N1362"/>
      <c r="O1362"/>
      <c r="P1362" s="34"/>
      <c r="Q1362"/>
    </row>
    <row r="1363" spans="1:17" x14ac:dyDescent="0.25">
      <c r="A1363" s="14"/>
      <c r="B1363"/>
      <c r="C1363" s="15"/>
      <c r="D1363"/>
      <c r="E1363"/>
      <c r="F1363" s="16"/>
      <c r="G1363"/>
      <c r="H1363"/>
      <c r="I1363" s="16"/>
      <c r="J1363"/>
      <c r="K1363"/>
      <c r="L1363"/>
      <c r="M1363" s="17"/>
      <c r="N1363"/>
      <c r="O1363"/>
      <c r="P1363" s="34"/>
      <c r="Q1363"/>
    </row>
    <row r="1364" spans="1:17" x14ac:dyDescent="0.25">
      <c r="A1364" s="14"/>
      <c r="B1364"/>
      <c r="C1364" s="15"/>
      <c r="D1364"/>
      <c r="E1364"/>
      <c r="F1364" s="16"/>
      <c r="G1364"/>
      <c r="H1364"/>
      <c r="I1364" s="16"/>
      <c r="J1364"/>
      <c r="K1364"/>
      <c r="L1364"/>
      <c r="M1364" s="17"/>
      <c r="N1364"/>
      <c r="O1364"/>
      <c r="P1364" s="34"/>
      <c r="Q1364"/>
    </row>
    <row r="1365" spans="1:17" x14ac:dyDescent="0.25">
      <c r="A1365" s="14"/>
      <c r="B1365"/>
      <c r="C1365" s="15"/>
      <c r="D1365"/>
      <c r="E1365"/>
      <c r="F1365" s="16"/>
      <c r="G1365"/>
      <c r="H1365"/>
      <c r="I1365" s="16"/>
      <c r="J1365"/>
      <c r="K1365"/>
      <c r="L1365"/>
      <c r="M1365" s="17"/>
      <c r="N1365"/>
      <c r="O1365"/>
      <c r="P1365" s="34"/>
      <c r="Q1365"/>
    </row>
    <row r="1366" spans="1:17" x14ac:dyDescent="0.25">
      <c r="A1366" s="14"/>
      <c r="B1366"/>
      <c r="C1366" s="15"/>
      <c r="D1366"/>
      <c r="E1366"/>
      <c r="F1366" s="16"/>
      <c r="G1366"/>
      <c r="H1366"/>
      <c r="I1366" s="16"/>
      <c r="J1366"/>
      <c r="K1366"/>
      <c r="L1366"/>
      <c r="M1366" s="17"/>
      <c r="N1366"/>
      <c r="O1366"/>
      <c r="P1366" s="34"/>
      <c r="Q1366"/>
    </row>
    <row r="1367" spans="1:17" x14ac:dyDescent="0.25">
      <c r="A1367" s="14"/>
      <c r="B1367"/>
      <c r="C1367" s="15"/>
      <c r="D1367"/>
      <c r="E1367"/>
      <c r="F1367" s="16"/>
      <c r="G1367"/>
      <c r="H1367"/>
      <c r="I1367" s="16"/>
      <c r="J1367"/>
      <c r="K1367"/>
      <c r="L1367"/>
      <c r="M1367" s="17"/>
      <c r="N1367"/>
      <c r="O1367"/>
      <c r="P1367" s="34"/>
      <c r="Q1367"/>
    </row>
    <row r="1368" spans="1:17" x14ac:dyDescent="0.25">
      <c r="A1368" s="14"/>
      <c r="B1368"/>
      <c r="C1368" s="15"/>
      <c r="D1368"/>
      <c r="E1368"/>
      <c r="F1368" s="16"/>
      <c r="G1368"/>
      <c r="H1368"/>
      <c r="I1368" s="16"/>
      <c r="J1368"/>
      <c r="K1368"/>
      <c r="L1368"/>
      <c r="M1368" s="17"/>
      <c r="N1368"/>
      <c r="O1368"/>
      <c r="P1368" s="34"/>
      <c r="Q1368"/>
    </row>
    <row r="1369" spans="1:17" x14ac:dyDescent="0.25">
      <c r="A1369" s="14"/>
      <c r="B1369"/>
      <c r="C1369" s="15"/>
      <c r="D1369"/>
      <c r="E1369"/>
      <c r="F1369" s="16"/>
      <c r="G1369"/>
      <c r="H1369"/>
      <c r="I1369" s="16"/>
      <c r="J1369"/>
      <c r="K1369"/>
      <c r="L1369"/>
      <c r="M1369" s="17"/>
      <c r="N1369"/>
      <c r="O1369"/>
      <c r="P1369" s="34"/>
      <c r="Q1369"/>
    </row>
    <row r="1370" spans="1:17" x14ac:dyDescent="0.25">
      <c r="A1370" s="14"/>
      <c r="B1370"/>
      <c r="C1370" s="15"/>
      <c r="D1370"/>
      <c r="E1370"/>
      <c r="F1370" s="16"/>
      <c r="G1370"/>
      <c r="H1370"/>
      <c r="I1370" s="16"/>
      <c r="J1370"/>
      <c r="K1370"/>
      <c r="L1370"/>
      <c r="M1370" s="17"/>
      <c r="N1370"/>
      <c r="O1370"/>
      <c r="P1370" s="34"/>
      <c r="Q1370"/>
    </row>
    <row r="1371" spans="1:17" x14ac:dyDescent="0.25">
      <c r="A1371" s="14"/>
      <c r="B1371"/>
      <c r="C1371" s="15"/>
      <c r="D1371"/>
      <c r="E1371"/>
      <c r="F1371" s="16"/>
      <c r="G1371"/>
      <c r="H1371"/>
      <c r="I1371" s="16"/>
      <c r="J1371"/>
      <c r="K1371"/>
      <c r="L1371"/>
      <c r="M1371" s="17"/>
      <c r="N1371"/>
      <c r="O1371"/>
      <c r="P1371" s="34"/>
      <c r="Q1371"/>
    </row>
    <row r="1372" spans="1:17" x14ac:dyDescent="0.25">
      <c r="A1372" s="14"/>
      <c r="B1372"/>
      <c r="C1372" s="15"/>
      <c r="D1372"/>
      <c r="E1372"/>
      <c r="F1372" s="16"/>
      <c r="G1372"/>
      <c r="H1372"/>
      <c r="I1372" s="16"/>
      <c r="J1372"/>
      <c r="K1372"/>
      <c r="L1372"/>
      <c r="M1372" s="17"/>
      <c r="N1372"/>
      <c r="O1372"/>
      <c r="P1372" s="34"/>
      <c r="Q1372"/>
    </row>
    <row r="1373" spans="1:17" x14ac:dyDescent="0.25">
      <c r="A1373" s="14"/>
      <c r="B1373"/>
      <c r="C1373" s="15"/>
      <c r="D1373"/>
      <c r="E1373"/>
      <c r="F1373" s="16"/>
      <c r="G1373"/>
      <c r="H1373"/>
      <c r="I1373" s="16"/>
      <c r="J1373"/>
      <c r="K1373"/>
      <c r="L1373"/>
      <c r="M1373" s="17"/>
      <c r="N1373"/>
      <c r="O1373"/>
      <c r="P1373" s="34"/>
      <c r="Q1373"/>
    </row>
    <row r="1374" spans="1:17" x14ac:dyDescent="0.25">
      <c r="A1374" s="14"/>
      <c r="B1374"/>
      <c r="C1374" s="15"/>
      <c r="D1374"/>
      <c r="E1374"/>
      <c r="F1374" s="16"/>
      <c r="G1374"/>
      <c r="H1374"/>
      <c r="I1374" s="16"/>
      <c r="J1374"/>
      <c r="K1374"/>
      <c r="L1374"/>
      <c r="M1374" s="17"/>
      <c r="N1374"/>
      <c r="O1374"/>
      <c r="P1374" s="34"/>
      <c r="Q1374"/>
    </row>
    <row r="1375" spans="1:17" x14ac:dyDescent="0.25">
      <c r="A1375" s="14"/>
      <c r="B1375"/>
      <c r="C1375" s="15"/>
      <c r="D1375"/>
      <c r="E1375"/>
      <c r="F1375" s="16"/>
      <c r="G1375"/>
      <c r="H1375"/>
      <c r="I1375" s="16"/>
      <c r="J1375"/>
      <c r="K1375"/>
      <c r="L1375"/>
      <c r="M1375" s="17"/>
      <c r="N1375"/>
      <c r="O1375"/>
      <c r="P1375" s="34"/>
      <c r="Q1375"/>
    </row>
    <row r="1376" spans="1:17" x14ac:dyDescent="0.25">
      <c r="A1376" s="14"/>
      <c r="B1376"/>
      <c r="C1376" s="15"/>
      <c r="D1376"/>
      <c r="E1376"/>
      <c r="F1376" s="16"/>
      <c r="G1376"/>
      <c r="H1376"/>
      <c r="I1376" s="16"/>
      <c r="J1376"/>
      <c r="K1376"/>
      <c r="L1376"/>
      <c r="M1376" s="17"/>
      <c r="N1376"/>
      <c r="O1376"/>
      <c r="P1376" s="34"/>
      <c r="Q1376"/>
    </row>
    <row r="1377" spans="1:17" x14ac:dyDescent="0.25">
      <c r="A1377" s="14"/>
      <c r="B1377"/>
      <c r="C1377" s="15"/>
      <c r="D1377"/>
      <c r="E1377"/>
      <c r="F1377" s="16"/>
      <c r="G1377"/>
      <c r="H1377"/>
      <c r="I1377" s="16"/>
      <c r="J1377"/>
      <c r="K1377"/>
      <c r="L1377"/>
      <c r="M1377" s="17"/>
      <c r="N1377"/>
      <c r="O1377"/>
      <c r="P1377" s="34"/>
      <c r="Q1377"/>
    </row>
    <row r="1378" spans="1:17" x14ac:dyDescent="0.25">
      <c r="A1378" s="14"/>
      <c r="B1378"/>
      <c r="C1378" s="15"/>
      <c r="D1378"/>
      <c r="E1378"/>
      <c r="F1378" s="16"/>
      <c r="G1378"/>
      <c r="H1378"/>
      <c r="I1378" s="16"/>
      <c r="J1378"/>
      <c r="K1378"/>
      <c r="L1378"/>
      <c r="M1378" s="17"/>
      <c r="N1378"/>
      <c r="O1378"/>
      <c r="P1378" s="34"/>
      <c r="Q1378"/>
    </row>
    <row r="1379" spans="1:17" x14ac:dyDescent="0.25">
      <c r="A1379" s="14"/>
      <c r="B1379"/>
      <c r="C1379" s="15"/>
      <c r="D1379"/>
      <c r="E1379"/>
      <c r="F1379" s="16"/>
      <c r="G1379"/>
      <c r="H1379"/>
      <c r="I1379" s="16"/>
      <c r="J1379"/>
      <c r="K1379"/>
      <c r="L1379"/>
      <c r="M1379" s="17"/>
      <c r="N1379"/>
      <c r="O1379"/>
      <c r="P1379" s="34"/>
      <c r="Q1379"/>
    </row>
    <row r="1380" spans="1:17" x14ac:dyDescent="0.25">
      <c r="A1380" s="14"/>
      <c r="B1380"/>
      <c r="C1380" s="15"/>
      <c r="D1380"/>
      <c r="E1380"/>
      <c r="F1380" s="16"/>
      <c r="G1380"/>
      <c r="H1380"/>
      <c r="I1380" s="16"/>
      <c r="J1380"/>
      <c r="K1380"/>
      <c r="L1380"/>
      <c r="M1380" s="17"/>
      <c r="N1380"/>
      <c r="O1380"/>
      <c r="P1380" s="34"/>
      <c r="Q1380"/>
    </row>
    <row r="1381" spans="1:17" x14ac:dyDescent="0.25">
      <c r="A1381" s="14"/>
      <c r="B1381"/>
      <c r="C1381" s="15"/>
      <c r="D1381"/>
      <c r="E1381"/>
      <c r="F1381" s="16"/>
      <c r="G1381"/>
      <c r="H1381"/>
      <c r="I1381" s="16"/>
      <c r="J1381"/>
      <c r="K1381"/>
      <c r="L1381"/>
      <c r="M1381" s="17"/>
      <c r="N1381"/>
      <c r="O1381"/>
      <c r="P1381" s="34"/>
      <c r="Q1381"/>
    </row>
    <row r="1382" spans="1:17" x14ac:dyDescent="0.25">
      <c r="A1382" s="14"/>
      <c r="B1382"/>
      <c r="C1382" s="15"/>
      <c r="D1382"/>
      <c r="E1382"/>
      <c r="F1382" s="16"/>
      <c r="G1382"/>
      <c r="H1382"/>
      <c r="I1382" s="16"/>
      <c r="J1382"/>
      <c r="K1382"/>
      <c r="L1382"/>
      <c r="M1382" s="17"/>
      <c r="N1382"/>
      <c r="O1382"/>
      <c r="P1382" s="34"/>
      <c r="Q1382"/>
    </row>
    <row r="1383" spans="1:17" x14ac:dyDescent="0.25">
      <c r="A1383" s="14"/>
      <c r="B1383"/>
      <c r="C1383" s="15"/>
      <c r="D1383"/>
      <c r="E1383"/>
      <c r="F1383" s="16"/>
      <c r="G1383"/>
      <c r="H1383"/>
      <c r="I1383" s="16"/>
      <c r="J1383"/>
      <c r="K1383"/>
      <c r="L1383"/>
      <c r="M1383" s="17"/>
      <c r="N1383"/>
      <c r="O1383"/>
      <c r="P1383" s="34"/>
      <c r="Q1383"/>
    </row>
    <row r="1384" spans="1:17" x14ac:dyDescent="0.25">
      <c r="A1384" s="14"/>
      <c r="B1384"/>
      <c r="C1384" s="15"/>
      <c r="D1384"/>
      <c r="E1384"/>
      <c r="F1384" s="16"/>
      <c r="G1384"/>
      <c r="H1384"/>
      <c r="I1384" s="16"/>
      <c r="J1384"/>
      <c r="K1384"/>
      <c r="L1384"/>
      <c r="M1384" s="17"/>
      <c r="N1384"/>
      <c r="O1384"/>
      <c r="P1384" s="34"/>
      <c r="Q1384"/>
    </row>
    <row r="1385" spans="1:17" x14ac:dyDescent="0.25">
      <c r="A1385" s="14"/>
      <c r="B1385"/>
      <c r="C1385" s="15"/>
      <c r="D1385"/>
      <c r="E1385"/>
      <c r="F1385" s="16"/>
      <c r="G1385"/>
      <c r="H1385"/>
      <c r="I1385" s="16"/>
      <c r="J1385"/>
      <c r="K1385"/>
      <c r="L1385"/>
      <c r="M1385" s="17"/>
      <c r="N1385"/>
      <c r="O1385"/>
      <c r="P1385" s="34"/>
      <c r="Q1385"/>
    </row>
    <row r="1386" spans="1:17" x14ac:dyDescent="0.25">
      <c r="A1386" s="14"/>
      <c r="B1386"/>
      <c r="C1386" s="15"/>
      <c r="D1386"/>
      <c r="E1386"/>
      <c r="F1386" s="16"/>
      <c r="G1386"/>
      <c r="H1386"/>
      <c r="I1386" s="16"/>
      <c r="J1386"/>
      <c r="K1386"/>
      <c r="L1386"/>
      <c r="M1386" s="17"/>
      <c r="N1386"/>
      <c r="O1386"/>
      <c r="P1386" s="34"/>
      <c r="Q1386"/>
    </row>
    <row r="1387" spans="1:17" x14ac:dyDescent="0.25">
      <c r="A1387" s="14"/>
      <c r="B1387"/>
      <c r="C1387" s="15"/>
      <c r="D1387"/>
      <c r="E1387"/>
      <c r="F1387" s="16"/>
      <c r="G1387"/>
      <c r="H1387"/>
      <c r="I1387" s="16"/>
      <c r="J1387"/>
      <c r="K1387"/>
      <c r="L1387"/>
      <c r="M1387" s="17"/>
      <c r="N1387"/>
      <c r="O1387"/>
      <c r="P1387" s="34"/>
      <c r="Q1387"/>
    </row>
    <row r="1388" spans="1:17" x14ac:dyDescent="0.25">
      <c r="A1388" s="14"/>
      <c r="B1388"/>
      <c r="C1388" s="15"/>
      <c r="D1388"/>
      <c r="E1388"/>
      <c r="F1388" s="16"/>
      <c r="G1388"/>
      <c r="H1388"/>
      <c r="I1388" s="16"/>
      <c r="J1388"/>
      <c r="K1388"/>
      <c r="L1388"/>
      <c r="M1388" s="17"/>
      <c r="N1388"/>
      <c r="O1388"/>
      <c r="P1388" s="34"/>
      <c r="Q1388"/>
    </row>
    <row r="1389" spans="1:17" x14ac:dyDescent="0.25">
      <c r="A1389" s="14"/>
      <c r="B1389"/>
      <c r="C1389" s="15"/>
      <c r="D1389"/>
      <c r="E1389"/>
      <c r="F1389" s="16"/>
      <c r="G1389"/>
      <c r="H1389"/>
      <c r="I1389" s="16"/>
      <c r="J1389"/>
      <c r="K1389"/>
      <c r="L1389"/>
      <c r="M1389" s="17"/>
      <c r="N1389"/>
      <c r="O1389"/>
      <c r="P1389" s="34"/>
      <c r="Q1389"/>
    </row>
    <row r="1390" spans="1:17" x14ac:dyDescent="0.25">
      <c r="A1390" s="14"/>
      <c r="B1390"/>
      <c r="C1390" s="15"/>
      <c r="D1390"/>
      <c r="E1390"/>
      <c r="F1390" s="16"/>
      <c r="G1390"/>
      <c r="H1390"/>
      <c r="I1390" s="16"/>
      <c r="J1390"/>
      <c r="K1390"/>
      <c r="L1390"/>
      <c r="M1390" s="17"/>
      <c r="N1390"/>
      <c r="O1390"/>
      <c r="P1390" s="34"/>
      <c r="Q1390"/>
    </row>
    <row r="1391" spans="1:17" x14ac:dyDescent="0.25">
      <c r="A1391" s="14"/>
      <c r="B1391"/>
      <c r="C1391" s="15"/>
      <c r="D1391"/>
      <c r="E1391"/>
      <c r="F1391" s="16"/>
      <c r="G1391"/>
      <c r="H1391"/>
      <c r="I1391" s="16"/>
      <c r="J1391"/>
      <c r="K1391"/>
      <c r="L1391"/>
      <c r="M1391" s="17"/>
      <c r="N1391"/>
      <c r="O1391"/>
      <c r="P1391" s="34"/>
      <c r="Q1391"/>
    </row>
    <row r="1392" spans="1:17" x14ac:dyDescent="0.25">
      <c r="A1392" s="14"/>
      <c r="B1392"/>
      <c r="C1392" s="15"/>
      <c r="D1392"/>
      <c r="E1392"/>
      <c r="F1392" s="16"/>
      <c r="G1392"/>
      <c r="H1392"/>
      <c r="I1392" s="16"/>
      <c r="J1392"/>
      <c r="K1392"/>
      <c r="L1392"/>
      <c r="M1392" s="17"/>
      <c r="N1392"/>
      <c r="O1392"/>
      <c r="P1392" s="34"/>
      <c r="Q1392"/>
    </row>
    <row r="1393" spans="1:17" x14ac:dyDescent="0.25">
      <c r="A1393" s="14"/>
      <c r="B1393"/>
      <c r="C1393" s="15"/>
      <c r="D1393"/>
      <c r="E1393"/>
      <c r="F1393" s="16"/>
      <c r="G1393"/>
      <c r="H1393"/>
      <c r="I1393" s="16"/>
      <c r="J1393"/>
      <c r="K1393"/>
      <c r="L1393"/>
      <c r="M1393" s="17"/>
      <c r="N1393"/>
      <c r="O1393"/>
      <c r="P1393" s="34"/>
      <c r="Q1393"/>
    </row>
    <row r="1394" spans="1:17" x14ac:dyDescent="0.25">
      <c r="A1394" s="14"/>
      <c r="B1394"/>
      <c r="C1394" s="15"/>
      <c r="D1394"/>
      <c r="E1394"/>
      <c r="F1394" s="16"/>
      <c r="G1394"/>
      <c r="H1394"/>
      <c r="I1394" s="16"/>
      <c r="J1394"/>
      <c r="K1394"/>
      <c r="L1394"/>
      <c r="M1394" s="17"/>
      <c r="N1394"/>
      <c r="O1394"/>
      <c r="P1394" s="34"/>
      <c r="Q1394"/>
    </row>
    <row r="1395" spans="1:17" x14ac:dyDescent="0.25">
      <c r="A1395" s="14"/>
      <c r="B1395"/>
      <c r="C1395" s="15"/>
      <c r="D1395"/>
      <c r="E1395"/>
      <c r="F1395" s="16"/>
      <c r="G1395"/>
      <c r="H1395"/>
      <c r="I1395" s="16"/>
      <c r="J1395"/>
      <c r="K1395"/>
      <c r="L1395"/>
      <c r="M1395" s="17"/>
      <c r="N1395"/>
      <c r="O1395"/>
      <c r="P1395" s="34"/>
      <c r="Q1395"/>
    </row>
    <row r="1396" spans="1:17" x14ac:dyDescent="0.25">
      <c r="A1396" s="14"/>
      <c r="B1396"/>
      <c r="C1396" s="15"/>
      <c r="D1396"/>
      <c r="E1396"/>
      <c r="F1396" s="16"/>
      <c r="G1396"/>
      <c r="H1396"/>
      <c r="I1396" s="16"/>
      <c r="J1396"/>
      <c r="K1396"/>
      <c r="L1396"/>
      <c r="M1396" s="17"/>
      <c r="N1396"/>
      <c r="O1396"/>
      <c r="P1396" s="34"/>
      <c r="Q1396"/>
    </row>
    <row r="1397" spans="1:17" x14ac:dyDescent="0.25">
      <c r="A1397" s="14"/>
      <c r="B1397"/>
      <c r="C1397" s="15"/>
      <c r="D1397"/>
      <c r="E1397"/>
      <c r="F1397" s="16"/>
      <c r="G1397"/>
      <c r="H1397"/>
      <c r="I1397" s="16"/>
      <c r="J1397"/>
      <c r="K1397"/>
      <c r="L1397"/>
      <c r="M1397" s="17"/>
      <c r="N1397"/>
      <c r="O1397"/>
      <c r="P1397" s="34"/>
      <c r="Q1397"/>
    </row>
    <row r="1398" spans="1:17" x14ac:dyDescent="0.25">
      <c r="A1398" s="14"/>
      <c r="B1398"/>
      <c r="C1398" s="15"/>
      <c r="D1398"/>
      <c r="E1398"/>
      <c r="F1398" s="16"/>
      <c r="G1398"/>
      <c r="H1398"/>
      <c r="I1398" s="16"/>
      <c r="J1398"/>
      <c r="K1398"/>
      <c r="L1398"/>
      <c r="M1398" s="17"/>
      <c r="N1398"/>
      <c r="O1398"/>
      <c r="P1398" s="34"/>
      <c r="Q1398"/>
    </row>
    <row r="1399" spans="1:17" x14ac:dyDescent="0.25">
      <c r="A1399" s="14"/>
      <c r="B1399"/>
      <c r="C1399" s="15"/>
      <c r="D1399"/>
      <c r="E1399"/>
      <c r="F1399" s="16"/>
      <c r="G1399"/>
      <c r="H1399"/>
      <c r="I1399" s="16"/>
      <c r="J1399"/>
      <c r="K1399"/>
      <c r="L1399"/>
      <c r="M1399" s="17"/>
      <c r="N1399"/>
      <c r="O1399"/>
      <c r="P1399" s="34"/>
      <c r="Q1399"/>
    </row>
    <row r="1400" spans="1:17" x14ac:dyDescent="0.25">
      <c r="A1400" s="14"/>
      <c r="B1400"/>
      <c r="C1400" s="15"/>
      <c r="D1400"/>
      <c r="E1400"/>
      <c r="F1400" s="16"/>
      <c r="G1400"/>
      <c r="H1400"/>
      <c r="I1400" s="16"/>
      <c r="J1400"/>
      <c r="K1400"/>
      <c r="L1400"/>
      <c r="M1400" s="17"/>
      <c r="N1400"/>
      <c r="O1400"/>
      <c r="P1400" s="34"/>
      <c r="Q1400"/>
    </row>
    <row r="1401" spans="1:17" x14ac:dyDescent="0.25">
      <c r="A1401" s="14"/>
      <c r="B1401"/>
      <c r="C1401" s="15"/>
      <c r="D1401"/>
      <c r="E1401"/>
      <c r="F1401" s="16"/>
      <c r="G1401"/>
      <c r="H1401"/>
      <c r="I1401" s="16"/>
      <c r="J1401"/>
      <c r="K1401"/>
      <c r="L1401"/>
      <c r="M1401" s="17"/>
      <c r="N1401"/>
      <c r="O1401"/>
      <c r="P1401" s="34"/>
      <c r="Q1401"/>
    </row>
    <row r="1402" spans="1:17" x14ac:dyDescent="0.25">
      <c r="A1402" s="14"/>
      <c r="B1402"/>
      <c r="C1402" s="15"/>
      <c r="D1402"/>
      <c r="E1402"/>
      <c r="F1402" s="16"/>
      <c r="G1402"/>
      <c r="H1402"/>
      <c r="I1402" s="16"/>
      <c r="J1402"/>
      <c r="K1402"/>
      <c r="L1402"/>
      <c r="M1402" s="17"/>
      <c r="N1402"/>
      <c r="O1402"/>
      <c r="P1402" s="34"/>
      <c r="Q1402"/>
    </row>
    <row r="1403" spans="1:17" x14ac:dyDescent="0.25">
      <c r="A1403" s="14"/>
      <c r="B1403"/>
      <c r="C1403" s="15"/>
      <c r="D1403"/>
      <c r="E1403"/>
      <c r="F1403" s="16"/>
      <c r="G1403"/>
      <c r="H1403"/>
      <c r="I1403" s="16"/>
      <c r="J1403"/>
      <c r="K1403"/>
      <c r="L1403"/>
      <c r="M1403" s="17"/>
      <c r="N1403"/>
      <c r="O1403"/>
      <c r="P1403" s="34"/>
      <c r="Q1403"/>
    </row>
    <row r="1404" spans="1:17" x14ac:dyDescent="0.25">
      <c r="A1404" s="14"/>
      <c r="B1404"/>
      <c r="C1404" s="15"/>
      <c r="D1404"/>
      <c r="E1404"/>
      <c r="F1404" s="16"/>
      <c r="G1404"/>
      <c r="H1404"/>
      <c r="I1404" s="16"/>
      <c r="J1404"/>
      <c r="K1404"/>
      <c r="L1404"/>
      <c r="M1404" s="17"/>
      <c r="N1404"/>
      <c r="O1404"/>
      <c r="P1404" s="34"/>
      <c r="Q1404"/>
    </row>
    <row r="1405" spans="1:17" x14ac:dyDescent="0.25">
      <c r="A1405" s="14"/>
      <c r="B1405"/>
      <c r="C1405" s="15"/>
      <c r="D1405"/>
      <c r="E1405"/>
      <c r="F1405" s="16"/>
      <c r="G1405"/>
      <c r="H1405"/>
      <c r="I1405" s="16"/>
      <c r="J1405"/>
      <c r="K1405"/>
      <c r="L1405"/>
      <c r="M1405" s="17"/>
      <c r="N1405"/>
      <c r="O1405"/>
      <c r="P1405" s="34"/>
      <c r="Q1405"/>
    </row>
    <row r="1406" spans="1:17" x14ac:dyDescent="0.25">
      <c r="A1406" s="14"/>
      <c r="B1406"/>
      <c r="C1406" s="15"/>
      <c r="D1406"/>
      <c r="E1406"/>
      <c r="F1406" s="16"/>
      <c r="G1406"/>
      <c r="H1406"/>
      <c r="I1406" s="16"/>
      <c r="J1406"/>
      <c r="K1406"/>
      <c r="L1406"/>
      <c r="M1406" s="17"/>
      <c r="N1406"/>
      <c r="O1406"/>
      <c r="P1406" s="34"/>
      <c r="Q1406"/>
    </row>
    <row r="1407" spans="1:17" x14ac:dyDescent="0.25">
      <c r="A1407" s="14"/>
      <c r="B1407"/>
      <c r="C1407" s="15"/>
      <c r="D1407"/>
      <c r="E1407"/>
      <c r="F1407" s="16"/>
      <c r="G1407"/>
      <c r="H1407"/>
      <c r="I1407" s="16"/>
      <c r="J1407"/>
      <c r="K1407"/>
      <c r="L1407"/>
      <c r="M1407" s="17"/>
      <c r="N1407"/>
      <c r="O1407"/>
      <c r="P1407" s="34"/>
      <c r="Q1407"/>
    </row>
    <row r="1408" spans="1:17" x14ac:dyDescent="0.25">
      <c r="A1408" s="14"/>
      <c r="B1408"/>
      <c r="C1408" s="15"/>
      <c r="D1408"/>
      <c r="E1408"/>
      <c r="F1408" s="16"/>
      <c r="G1408"/>
      <c r="H1408"/>
      <c r="I1408" s="16"/>
      <c r="J1408"/>
      <c r="K1408"/>
      <c r="L1408"/>
      <c r="M1408" s="17"/>
      <c r="N1408"/>
      <c r="O1408"/>
      <c r="P1408" s="34"/>
      <c r="Q1408"/>
    </row>
    <row r="1409" spans="1:17" x14ac:dyDescent="0.25">
      <c r="A1409" s="14"/>
      <c r="B1409"/>
      <c r="C1409" s="15"/>
      <c r="D1409"/>
      <c r="E1409"/>
      <c r="F1409" s="16"/>
      <c r="G1409"/>
      <c r="H1409"/>
      <c r="I1409" s="16"/>
      <c r="J1409"/>
      <c r="K1409"/>
      <c r="L1409"/>
      <c r="M1409" s="17"/>
      <c r="N1409"/>
      <c r="O1409"/>
      <c r="P1409" s="34"/>
      <c r="Q1409"/>
    </row>
    <row r="1410" spans="1:17" x14ac:dyDescent="0.25">
      <c r="A1410" s="14"/>
      <c r="B1410"/>
      <c r="C1410" s="15"/>
      <c r="D1410"/>
      <c r="E1410"/>
      <c r="F1410" s="16"/>
      <c r="G1410"/>
      <c r="H1410"/>
      <c r="I1410" s="16"/>
      <c r="J1410"/>
      <c r="K1410"/>
      <c r="L1410"/>
      <c r="M1410" s="17"/>
      <c r="N1410"/>
      <c r="O1410"/>
      <c r="P1410" s="34"/>
      <c r="Q1410"/>
    </row>
    <row r="1411" spans="1:17" x14ac:dyDescent="0.25">
      <c r="A1411" s="14"/>
      <c r="B1411"/>
      <c r="C1411" s="15"/>
      <c r="D1411"/>
      <c r="E1411"/>
      <c r="F1411" s="16"/>
      <c r="G1411"/>
      <c r="H1411"/>
      <c r="I1411" s="16"/>
      <c r="J1411"/>
      <c r="K1411"/>
      <c r="L1411"/>
      <c r="M1411" s="17"/>
      <c r="N1411"/>
      <c r="O1411"/>
      <c r="P1411" s="34"/>
      <c r="Q1411"/>
    </row>
    <row r="1412" spans="1:17" x14ac:dyDescent="0.25">
      <c r="A1412" s="14"/>
      <c r="B1412"/>
      <c r="C1412" s="15"/>
      <c r="D1412"/>
      <c r="E1412"/>
      <c r="F1412" s="16"/>
      <c r="G1412"/>
      <c r="H1412"/>
      <c r="I1412" s="16"/>
      <c r="J1412"/>
      <c r="K1412"/>
      <c r="L1412"/>
      <c r="M1412" s="17"/>
      <c r="N1412"/>
      <c r="O1412"/>
      <c r="P1412" s="34"/>
      <c r="Q1412"/>
    </row>
    <row r="1413" spans="1:17" x14ac:dyDescent="0.25">
      <c r="A1413" s="14"/>
      <c r="B1413"/>
      <c r="C1413" s="15"/>
      <c r="D1413"/>
      <c r="E1413"/>
      <c r="F1413" s="16"/>
      <c r="G1413"/>
      <c r="H1413"/>
      <c r="I1413" s="16"/>
      <c r="J1413"/>
      <c r="K1413"/>
      <c r="L1413"/>
      <c r="M1413" s="17"/>
      <c r="N1413"/>
      <c r="O1413"/>
      <c r="P1413" s="34"/>
      <c r="Q1413"/>
    </row>
    <row r="1414" spans="1:17" x14ac:dyDescent="0.25">
      <c r="A1414" s="14"/>
      <c r="B1414"/>
      <c r="C1414" s="15"/>
      <c r="D1414"/>
      <c r="E1414"/>
      <c r="F1414" s="16"/>
      <c r="G1414"/>
      <c r="H1414"/>
      <c r="I1414" s="16"/>
      <c r="J1414"/>
      <c r="K1414"/>
      <c r="L1414"/>
      <c r="M1414" s="17"/>
      <c r="N1414"/>
      <c r="O1414"/>
      <c r="P1414" s="34"/>
      <c r="Q1414"/>
    </row>
    <row r="1415" spans="1:17" x14ac:dyDescent="0.25">
      <c r="A1415" s="14"/>
      <c r="B1415"/>
      <c r="C1415" s="15"/>
      <c r="D1415"/>
      <c r="E1415"/>
      <c r="F1415" s="16"/>
      <c r="G1415"/>
      <c r="H1415"/>
      <c r="I1415" s="16"/>
      <c r="J1415"/>
      <c r="K1415"/>
      <c r="L1415"/>
      <c r="M1415" s="17"/>
      <c r="N1415"/>
      <c r="O1415"/>
      <c r="P1415" s="34"/>
      <c r="Q1415"/>
    </row>
    <row r="1416" spans="1:17" x14ac:dyDescent="0.25">
      <c r="A1416" s="14"/>
      <c r="B1416"/>
      <c r="C1416" s="15"/>
      <c r="D1416"/>
      <c r="E1416"/>
      <c r="F1416" s="16"/>
      <c r="G1416"/>
      <c r="H1416"/>
      <c r="I1416" s="16"/>
      <c r="J1416"/>
      <c r="K1416"/>
      <c r="L1416"/>
      <c r="M1416" s="17"/>
      <c r="N1416"/>
      <c r="O1416"/>
      <c r="P1416" s="34"/>
      <c r="Q1416"/>
    </row>
    <row r="1417" spans="1:17" x14ac:dyDescent="0.25">
      <c r="A1417" s="14"/>
      <c r="B1417"/>
      <c r="C1417" s="15"/>
      <c r="D1417"/>
      <c r="E1417"/>
      <c r="F1417" s="16"/>
      <c r="G1417"/>
      <c r="H1417"/>
      <c r="I1417" s="16"/>
      <c r="J1417"/>
      <c r="K1417"/>
      <c r="L1417"/>
      <c r="M1417" s="17"/>
      <c r="N1417"/>
      <c r="O1417"/>
      <c r="P1417" s="34"/>
      <c r="Q1417"/>
    </row>
    <row r="1418" spans="1:17" x14ac:dyDescent="0.25">
      <c r="A1418" s="14"/>
      <c r="B1418"/>
      <c r="C1418" s="15"/>
      <c r="D1418"/>
      <c r="E1418"/>
      <c r="F1418" s="16"/>
      <c r="G1418"/>
      <c r="H1418"/>
      <c r="I1418" s="16"/>
      <c r="J1418"/>
      <c r="K1418"/>
      <c r="L1418"/>
      <c r="M1418" s="17"/>
      <c r="N1418"/>
      <c r="O1418"/>
      <c r="P1418" s="34"/>
      <c r="Q1418"/>
    </row>
    <row r="1419" spans="1:17" x14ac:dyDescent="0.25">
      <c r="A1419" s="14"/>
      <c r="B1419"/>
      <c r="C1419" s="15"/>
      <c r="D1419"/>
      <c r="E1419"/>
      <c r="F1419" s="16"/>
      <c r="G1419"/>
      <c r="H1419"/>
      <c r="I1419" s="16"/>
      <c r="J1419"/>
      <c r="K1419"/>
      <c r="L1419"/>
      <c r="M1419" s="17"/>
      <c r="N1419"/>
      <c r="O1419"/>
      <c r="P1419" s="34"/>
      <c r="Q1419"/>
    </row>
    <row r="1420" spans="1:17" x14ac:dyDescent="0.25">
      <c r="A1420" s="14"/>
      <c r="B1420"/>
      <c r="C1420" s="15"/>
      <c r="D1420"/>
      <c r="E1420"/>
      <c r="F1420" s="16"/>
      <c r="G1420"/>
      <c r="H1420"/>
      <c r="I1420" s="16"/>
      <c r="J1420"/>
      <c r="K1420"/>
      <c r="L1420"/>
      <c r="M1420" s="17"/>
      <c r="N1420"/>
      <c r="O1420"/>
      <c r="P1420" s="34"/>
      <c r="Q1420"/>
    </row>
    <row r="1421" spans="1:17" x14ac:dyDescent="0.25">
      <c r="A1421" s="14"/>
      <c r="B1421"/>
      <c r="C1421" s="15"/>
      <c r="D1421"/>
      <c r="E1421"/>
      <c r="F1421" s="16"/>
      <c r="G1421"/>
      <c r="H1421"/>
      <c r="I1421" s="16"/>
      <c r="J1421"/>
      <c r="K1421"/>
      <c r="L1421"/>
      <c r="M1421" s="17"/>
      <c r="N1421"/>
      <c r="O1421"/>
      <c r="P1421" s="34"/>
      <c r="Q1421"/>
    </row>
    <row r="1422" spans="1:17" x14ac:dyDescent="0.25">
      <c r="A1422" s="14"/>
      <c r="B1422"/>
      <c r="C1422" s="15"/>
      <c r="D1422"/>
      <c r="E1422"/>
      <c r="F1422" s="16"/>
      <c r="G1422"/>
      <c r="H1422"/>
      <c r="I1422" s="16"/>
      <c r="J1422"/>
      <c r="K1422"/>
      <c r="L1422"/>
      <c r="M1422" s="17"/>
      <c r="N1422"/>
      <c r="O1422"/>
      <c r="P1422" s="34"/>
      <c r="Q1422"/>
    </row>
    <row r="1423" spans="1:17" x14ac:dyDescent="0.25">
      <c r="A1423" s="14"/>
      <c r="B1423"/>
      <c r="C1423" s="15"/>
      <c r="D1423"/>
      <c r="E1423"/>
      <c r="F1423" s="16"/>
      <c r="G1423"/>
      <c r="H1423"/>
      <c r="I1423" s="16"/>
      <c r="J1423"/>
      <c r="K1423"/>
      <c r="L1423"/>
      <c r="M1423" s="17"/>
      <c r="N1423"/>
      <c r="O1423"/>
      <c r="P1423" s="34"/>
      <c r="Q1423"/>
    </row>
    <row r="1424" spans="1:17" x14ac:dyDescent="0.25">
      <c r="A1424" s="14"/>
      <c r="B1424"/>
      <c r="C1424" s="15"/>
      <c r="D1424"/>
      <c r="E1424"/>
      <c r="F1424" s="16"/>
      <c r="G1424"/>
      <c r="H1424"/>
      <c r="I1424" s="16"/>
      <c r="J1424"/>
      <c r="K1424"/>
      <c r="L1424"/>
      <c r="M1424" s="17"/>
      <c r="N1424"/>
      <c r="O1424"/>
      <c r="P1424" s="34"/>
      <c r="Q1424"/>
    </row>
    <row r="1425" spans="1:17" x14ac:dyDescent="0.25">
      <c r="A1425" s="14"/>
      <c r="B1425"/>
      <c r="C1425" s="15"/>
      <c r="D1425"/>
      <c r="E1425"/>
      <c r="F1425" s="16"/>
      <c r="G1425"/>
      <c r="H1425"/>
      <c r="I1425" s="16"/>
      <c r="J1425"/>
      <c r="K1425"/>
      <c r="L1425"/>
      <c r="M1425" s="17"/>
      <c r="N1425"/>
      <c r="O1425"/>
      <c r="P1425" s="34"/>
      <c r="Q1425"/>
    </row>
    <row r="1426" spans="1:17" x14ac:dyDescent="0.25">
      <c r="A1426" s="14"/>
      <c r="B1426"/>
      <c r="C1426" s="15"/>
      <c r="D1426"/>
      <c r="E1426"/>
      <c r="F1426" s="16"/>
      <c r="G1426"/>
      <c r="H1426"/>
      <c r="I1426" s="16"/>
      <c r="J1426"/>
      <c r="K1426"/>
      <c r="L1426"/>
      <c r="M1426" s="17"/>
      <c r="N1426"/>
      <c r="O1426"/>
      <c r="P1426" s="34"/>
      <c r="Q1426"/>
    </row>
    <row r="1427" spans="1:17" x14ac:dyDescent="0.25">
      <c r="A1427" s="14"/>
      <c r="B1427"/>
      <c r="C1427" s="15"/>
      <c r="D1427"/>
      <c r="E1427"/>
      <c r="F1427" s="16"/>
      <c r="G1427"/>
      <c r="H1427"/>
      <c r="I1427" s="16"/>
      <c r="J1427"/>
      <c r="K1427"/>
      <c r="L1427"/>
      <c r="M1427" s="17"/>
      <c r="N1427"/>
      <c r="O1427"/>
      <c r="P1427" s="34"/>
      <c r="Q1427"/>
    </row>
    <row r="1428" spans="1:17" x14ac:dyDescent="0.25">
      <c r="A1428" s="14"/>
      <c r="B1428"/>
      <c r="C1428" s="15"/>
      <c r="D1428"/>
      <c r="E1428"/>
      <c r="F1428" s="16"/>
      <c r="G1428"/>
      <c r="H1428"/>
      <c r="I1428" s="16"/>
      <c r="J1428"/>
      <c r="K1428"/>
      <c r="L1428"/>
      <c r="M1428" s="17"/>
      <c r="N1428"/>
      <c r="O1428"/>
      <c r="P1428" s="34"/>
      <c r="Q1428"/>
    </row>
    <row r="1429" spans="1:17" x14ac:dyDescent="0.25">
      <c r="A1429" s="14"/>
      <c r="B1429"/>
      <c r="C1429" s="15"/>
      <c r="D1429"/>
      <c r="E1429"/>
      <c r="F1429" s="16"/>
      <c r="G1429"/>
      <c r="H1429"/>
      <c r="I1429" s="16"/>
      <c r="J1429"/>
      <c r="K1429"/>
      <c r="L1429"/>
      <c r="M1429" s="17"/>
      <c r="N1429"/>
      <c r="O1429"/>
      <c r="P1429" s="34"/>
      <c r="Q1429"/>
    </row>
    <row r="1430" spans="1:17" x14ac:dyDescent="0.25">
      <c r="A1430" s="14"/>
      <c r="B1430"/>
      <c r="C1430" s="15"/>
      <c r="D1430"/>
      <c r="E1430"/>
      <c r="F1430" s="16"/>
      <c r="G1430"/>
      <c r="H1430"/>
      <c r="I1430" s="16"/>
      <c r="J1430"/>
      <c r="K1430"/>
      <c r="L1430"/>
      <c r="M1430" s="17"/>
      <c r="N1430"/>
      <c r="O1430"/>
      <c r="P1430" s="34"/>
      <c r="Q1430"/>
    </row>
    <row r="1431" spans="1:17" x14ac:dyDescent="0.25">
      <c r="A1431" s="14"/>
      <c r="B1431"/>
      <c r="C1431" s="15"/>
      <c r="D1431"/>
      <c r="E1431"/>
      <c r="F1431" s="16"/>
      <c r="G1431"/>
      <c r="H1431"/>
      <c r="I1431" s="16"/>
      <c r="J1431"/>
      <c r="K1431"/>
      <c r="L1431"/>
      <c r="M1431" s="17"/>
      <c r="N1431"/>
      <c r="O1431"/>
      <c r="P1431" s="34"/>
      <c r="Q1431"/>
    </row>
    <row r="1432" spans="1:17" x14ac:dyDescent="0.25">
      <c r="A1432" s="14"/>
      <c r="B1432"/>
      <c r="C1432" s="15"/>
      <c r="D1432"/>
      <c r="E1432"/>
      <c r="F1432" s="16"/>
      <c r="G1432"/>
      <c r="H1432"/>
      <c r="I1432" s="16"/>
      <c r="J1432"/>
      <c r="K1432"/>
      <c r="L1432"/>
      <c r="M1432" s="17"/>
      <c r="N1432"/>
      <c r="O1432"/>
      <c r="P1432" s="34"/>
      <c r="Q1432"/>
    </row>
    <row r="1433" spans="1:17" x14ac:dyDescent="0.25">
      <c r="A1433" s="14"/>
      <c r="B1433"/>
      <c r="C1433" s="15"/>
      <c r="D1433"/>
      <c r="E1433"/>
      <c r="F1433" s="16"/>
      <c r="G1433"/>
      <c r="H1433"/>
      <c r="I1433" s="16"/>
      <c r="J1433"/>
      <c r="K1433"/>
      <c r="L1433"/>
      <c r="M1433" s="17"/>
      <c r="N1433"/>
      <c r="O1433"/>
      <c r="P1433" s="34"/>
      <c r="Q1433"/>
    </row>
    <row r="1434" spans="1:17" x14ac:dyDescent="0.25">
      <c r="A1434" s="14"/>
      <c r="B1434"/>
      <c r="C1434" s="15"/>
      <c r="D1434"/>
      <c r="E1434"/>
      <c r="F1434" s="16"/>
      <c r="G1434"/>
      <c r="H1434"/>
      <c r="I1434" s="16"/>
      <c r="J1434"/>
      <c r="K1434"/>
      <c r="L1434"/>
      <c r="M1434" s="17"/>
      <c r="N1434"/>
      <c r="O1434"/>
      <c r="P1434" s="34"/>
      <c r="Q1434"/>
    </row>
    <row r="1435" spans="1:17" x14ac:dyDescent="0.25">
      <c r="A1435" s="14"/>
      <c r="B1435"/>
      <c r="C1435" s="15"/>
      <c r="D1435"/>
      <c r="E1435"/>
      <c r="F1435" s="16"/>
      <c r="G1435"/>
      <c r="H1435"/>
      <c r="I1435" s="16"/>
      <c r="J1435"/>
      <c r="K1435"/>
      <c r="L1435"/>
      <c r="M1435" s="17"/>
      <c r="N1435"/>
      <c r="O1435"/>
      <c r="P1435" s="34"/>
      <c r="Q1435"/>
    </row>
    <row r="1436" spans="1:17" x14ac:dyDescent="0.25">
      <c r="A1436" s="14"/>
      <c r="B1436"/>
      <c r="C1436" s="15"/>
      <c r="D1436"/>
      <c r="E1436"/>
      <c r="F1436" s="16"/>
      <c r="G1436"/>
      <c r="H1436"/>
      <c r="I1436" s="16"/>
      <c r="J1436"/>
      <c r="K1436"/>
      <c r="L1436"/>
      <c r="M1436" s="17"/>
      <c r="N1436"/>
      <c r="O1436"/>
      <c r="P1436" s="34"/>
      <c r="Q1436"/>
    </row>
    <row r="1437" spans="1:17" x14ac:dyDescent="0.25">
      <c r="A1437" s="14"/>
      <c r="B1437"/>
      <c r="C1437" s="15"/>
      <c r="D1437"/>
      <c r="E1437"/>
      <c r="F1437" s="16"/>
      <c r="G1437"/>
      <c r="H1437"/>
      <c r="I1437" s="16"/>
      <c r="J1437"/>
      <c r="K1437"/>
      <c r="L1437"/>
      <c r="M1437" s="17"/>
      <c r="N1437"/>
      <c r="O1437"/>
      <c r="P1437" s="34"/>
      <c r="Q1437"/>
    </row>
    <row r="1438" spans="1:17" x14ac:dyDescent="0.25">
      <c r="A1438" s="14"/>
      <c r="B1438"/>
      <c r="C1438" s="15"/>
      <c r="D1438"/>
      <c r="E1438"/>
      <c r="F1438" s="16"/>
      <c r="G1438"/>
      <c r="H1438"/>
      <c r="I1438" s="16"/>
      <c r="J1438"/>
      <c r="K1438"/>
      <c r="L1438"/>
      <c r="M1438" s="17"/>
      <c r="N1438"/>
      <c r="O1438"/>
      <c r="P1438" s="34"/>
      <c r="Q1438"/>
    </row>
    <row r="1439" spans="1:17" x14ac:dyDescent="0.25">
      <c r="A1439" s="14"/>
      <c r="B1439"/>
      <c r="C1439" s="15"/>
      <c r="D1439"/>
      <c r="E1439"/>
      <c r="F1439" s="16"/>
      <c r="G1439"/>
      <c r="H1439"/>
      <c r="I1439" s="16"/>
      <c r="J1439"/>
      <c r="K1439"/>
      <c r="L1439"/>
      <c r="M1439" s="17"/>
      <c r="N1439"/>
      <c r="O1439"/>
      <c r="P1439" s="34"/>
      <c r="Q1439"/>
    </row>
    <row r="1440" spans="1:17" x14ac:dyDescent="0.25">
      <c r="A1440" s="14"/>
      <c r="B1440"/>
      <c r="C1440" s="15"/>
      <c r="D1440"/>
      <c r="E1440"/>
      <c r="F1440" s="16"/>
      <c r="G1440"/>
      <c r="H1440"/>
      <c r="I1440" s="16"/>
      <c r="J1440"/>
      <c r="K1440"/>
      <c r="L1440"/>
      <c r="M1440" s="17"/>
      <c r="N1440"/>
      <c r="O1440"/>
      <c r="P1440" s="34"/>
      <c r="Q1440"/>
    </row>
    <row r="1441" spans="1:17" x14ac:dyDescent="0.25">
      <c r="A1441" s="14"/>
      <c r="B1441"/>
      <c r="C1441" s="15"/>
      <c r="D1441"/>
      <c r="E1441"/>
      <c r="F1441" s="16"/>
      <c r="G1441"/>
      <c r="H1441"/>
      <c r="I1441" s="16"/>
      <c r="J1441"/>
      <c r="K1441"/>
      <c r="L1441"/>
      <c r="M1441" s="17"/>
      <c r="N1441"/>
      <c r="O1441"/>
      <c r="P1441" s="34"/>
      <c r="Q1441"/>
    </row>
    <row r="1442" spans="1:17" x14ac:dyDescent="0.25">
      <c r="A1442" s="14"/>
      <c r="B1442"/>
      <c r="C1442" s="15"/>
      <c r="D1442"/>
      <c r="E1442"/>
      <c r="F1442" s="16"/>
      <c r="G1442"/>
      <c r="H1442"/>
      <c r="I1442" s="16"/>
      <c r="J1442"/>
      <c r="K1442"/>
      <c r="L1442"/>
      <c r="M1442" s="17"/>
      <c r="N1442"/>
      <c r="O1442"/>
      <c r="P1442" s="34"/>
      <c r="Q1442"/>
    </row>
    <row r="1443" spans="1:17" x14ac:dyDescent="0.25">
      <c r="A1443" s="14"/>
      <c r="B1443"/>
      <c r="C1443" s="15"/>
      <c r="D1443"/>
      <c r="E1443"/>
      <c r="F1443" s="16"/>
      <c r="G1443"/>
      <c r="H1443"/>
      <c r="I1443" s="16"/>
      <c r="J1443"/>
      <c r="K1443"/>
      <c r="L1443"/>
      <c r="M1443" s="17"/>
      <c r="N1443"/>
      <c r="O1443"/>
      <c r="P1443" s="34"/>
      <c r="Q1443"/>
    </row>
    <row r="1444" spans="1:17" x14ac:dyDescent="0.25">
      <c r="A1444" s="14"/>
      <c r="B1444"/>
      <c r="C1444" s="15"/>
      <c r="D1444"/>
      <c r="E1444"/>
      <c r="F1444" s="16"/>
      <c r="G1444"/>
      <c r="H1444"/>
      <c r="I1444" s="16"/>
      <c r="J1444"/>
      <c r="K1444"/>
      <c r="L1444"/>
      <c r="M1444" s="17"/>
      <c r="N1444"/>
      <c r="O1444"/>
      <c r="P1444" s="34"/>
      <c r="Q1444"/>
    </row>
    <row r="1445" spans="1:17" x14ac:dyDescent="0.25">
      <c r="A1445" s="14"/>
      <c r="B1445"/>
      <c r="C1445" s="15"/>
      <c r="D1445"/>
      <c r="E1445"/>
      <c r="F1445" s="16"/>
      <c r="G1445"/>
      <c r="H1445"/>
      <c r="I1445" s="16"/>
      <c r="J1445"/>
      <c r="K1445"/>
      <c r="L1445"/>
      <c r="M1445" s="17"/>
      <c r="N1445"/>
      <c r="O1445"/>
      <c r="P1445" s="34"/>
      <c r="Q1445"/>
    </row>
    <row r="1446" spans="1:17" x14ac:dyDescent="0.25">
      <c r="A1446" s="14"/>
      <c r="B1446"/>
      <c r="C1446" s="15"/>
      <c r="D1446"/>
      <c r="E1446"/>
      <c r="F1446" s="16"/>
      <c r="G1446"/>
      <c r="H1446"/>
      <c r="I1446" s="16"/>
      <c r="J1446"/>
      <c r="K1446"/>
      <c r="L1446"/>
      <c r="M1446" s="17"/>
      <c r="N1446"/>
      <c r="O1446"/>
      <c r="P1446" s="34"/>
      <c r="Q1446"/>
    </row>
    <row r="1447" spans="1:17" x14ac:dyDescent="0.25">
      <c r="A1447" s="14"/>
      <c r="B1447"/>
      <c r="C1447" s="15"/>
      <c r="D1447"/>
      <c r="E1447"/>
      <c r="F1447" s="16"/>
      <c r="G1447"/>
      <c r="H1447"/>
      <c r="I1447" s="16"/>
      <c r="J1447"/>
      <c r="K1447"/>
      <c r="L1447"/>
      <c r="M1447" s="17"/>
      <c r="N1447"/>
      <c r="O1447"/>
      <c r="P1447" s="34"/>
      <c r="Q1447"/>
    </row>
    <row r="1448" spans="1:17" x14ac:dyDescent="0.25">
      <c r="A1448" s="14"/>
      <c r="B1448"/>
      <c r="C1448" s="15"/>
      <c r="D1448"/>
      <c r="E1448"/>
      <c r="F1448" s="16"/>
      <c r="G1448"/>
      <c r="H1448"/>
      <c r="I1448" s="16"/>
      <c r="J1448"/>
      <c r="K1448"/>
      <c r="L1448"/>
      <c r="M1448" s="17"/>
      <c r="N1448"/>
      <c r="O1448"/>
      <c r="P1448" s="34"/>
      <c r="Q1448"/>
    </row>
    <row r="1449" spans="1:17" x14ac:dyDescent="0.25">
      <c r="A1449" s="14"/>
      <c r="B1449"/>
      <c r="C1449" s="15"/>
      <c r="D1449"/>
      <c r="E1449"/>
      <c r="F1449" s="16"/>
      <c r="G1449"/>
      <c r="H1449"/>
      <c r="I1449" s="16"/>
      <c r="J1449"/>
      <c r="K1449"/>
      <c r="L1449"/>
      <c r="M1449" s="17"/>
      <c r="N1449"/>
      <c r="O1449"/>
      <c r="P1449" s="34"/>
      <c r="Q1449"/>
    </row>
    <row r="1450" spans="1:17" x14ac:dyDescent="0.25">
      <c r="A1450" s="14"/>
      <c r="B1450"/>
      <c r="C1450" s="15"/>
      <c r="D1450"/>
      <c r="E1450"/>
      <c r="F1450" s="16"/>
      <c r="G1450"/>
      <c r="H1450"/>
      <c r="I1450" s="16"/>
      <c r="J1450"/>
      <c r="K1450"/>
      <c r="L1450"/>
      <c r="M1450" s="17"/>
      <c r="N1450"/>
      <c r="O1450"/>
      <c r="P1450" s="34"/>
      <c r="Q1450"/>
    </row>
    <row r="1451" spans="1:17" x14ac:dyDescent="0.25">
      <c r="A1451" s="14"/>
      <c r="B1451"/>
      <c r="C1451" s="15"/>
      <c r="D1451"/>
      <c r="E1451"/>
      <c r="F1451" s="16"/>
      <c r="G1451"/>
      <c r="H1451"/>
      <c r="I1451" s="16"/>
      <c r="J1451"/>
      <c r="K1451"/>
      <c r="L1451"/>
      <c r="M1451" s="17"/>
      <c r="N1451"/>
      <c r="O1451"/>
      <c r="P1451" s="34"/>
      <c r="Q1451"/>
    </row>
    <row r="1452" spans="1:17" x14ac:dyDescent="0.25">
      <c r="A1452" s="14"/>
      <c r="B1452"/>
      <c r="C1452" s="15"/>
      <c r="D1452"/>
      <c r="E1452"/>
      <c r="F1452" s="16"/>
      <c r="G1452"/>
      <c r="H1452"/>
      <c r="I1452" s="16"/>
      <c r="J1452"/>
      <c r="K1452"/>
      <c r="L1452"/>
      <c r="M1452" s="17"/>
      <c r="N1452"/>
      <c r="O1452"/>
      <c r="P1452" s="34"/>
      <c r="Q1452"/>
    </row>
    <row r="1453" spans="1:17" x14ac:dyDescent="0.25">
      <c r="A1453" s="14"/>
      <c r="B1453"/>
      <c r="C1453" s="15"/>
      <c r="D1453"/>
      <c r="E1453"/>
      <c r="F1453" s="16"/>
      <c r="G1453"/>
      <c r="H1453"/>
      <c r="I1453" s="16"/>
      <c r="J1453"/>
      <c r="K1453"/>
      <c r="L1453"/>
      <c r="M1453" s="17"/>
      <c r="N1453"/>
      <c r="O1453"/>
      <c r="P1453" s="34"/>
      <c r="Q1453"/>
    </row>
    <row r="1454" spans="1:17" x14ac:dyDescent="0.25">
      <c r="A1454" s="14"/>
      <c r="B1454"/>
      <c r="C1454" s="15"/>
      <c r="D1454"/>
      <c r="E1454"/>
      <c r="F1454" s="16"/>
      <c r="G1454"/>
      <c r="H1454"/>
      <c r="I1454" s="16"/>
      <c r="J1454"/>
      <c r="K1454"/>
      <c r="L1454"/>
      <c r="M1454" s="17"/>
      <c r="N1454"/>
      <c r="O1454"/>
      <c r="P1454" s="34"/>
      <c r="Q1454"/>
    </row>
    <row r="1455" spans="1:17" x14ac:dyDescent="0.25">
      <c r="A1455" s="14"/>
      <c r="B1455"/>
      <c r="C1455" s="15"/>
      <c r="D1455"/>
      <c r="E1455"/>
      <c r="F1455" s="16"/>
      <c r="G1455"/>
      <c r="H1455"/>
      <c r="I1455" s="16"/>
      <c r="J1455"/>
      <c r="K1455"/>
      <c r="L1455"/>
      <c r="M1455" s="17"/>
      <c r="N1455"/>
      <c r="O1455"/>
      <c r="P1455" s="34"/>
      <c r="Q1455"/>
    </row>
    <row r="1456" spans="1:17" x14ac:dyDescent="0.25">
      <c r="A1456" s="14"/>
      <c r="B1456"/>
      <c r="C1456" s="15"/>
      <c r="D1456"/>
      <c r="E1456"/>
      <c r="F1456" s="16"/>
      <c r="G1456"/>
      <c r="H1456"/>
      <c r="I1456" s="16"/>
      <c r="J1456"/>
      <c r="K1456"/>
      <c r="L1456"/>
      <c r="M1456" s="17"/>
      <c r="N1456"/>
      <c r="O1456"/>
      <c r="P1456" s="34"/>
      <c r="Q1456"/>
    </row>
    <row r="1457" spans="1:17" x14ac:dyDescent="0.25">
      <c r="A1457" s="14"/>
      <c r="B1457"/>
      <c r="C1457" s="15"/>
      <c r="D1457"/>
      <c r="E1457"/>
      <c r="F1457" s="16"/>
      <c r="G1457"/>
      <c r="H1457"/>
      <c r="I1457" s="16"/>
      <c r="J1457"/>
      <c r="K1457"/>
      <c r="L1457"/>
      <c r="M1457" s="17"/>
      <c r="N1457"/>
      <c r="O1457"/>
      <c r="P1457" s="34"/>
      <c r="Q1457"/>
    </row>
    <row r="1458" spans="1:17" x14ac:dyDescent="0.25">
      <c r="A1458" s="14"/>
      <c r="B1458"/>
      <c r="C1458" s="15"/>
      <c r="D1458"/>
      <c r="E1458"/>
      <c r="F1458" s="16"/>
      <c r="G1458"/>
      <c r="H1458"/>
      <c r="I1458" s="16"/>
      <c r="J1458"/>
      <c r="K1458"/>
      <c r="L1458"/>
      <c r="M1458" s="17"/>
      <c r="N1458"/>
      <c r="O1458"/>
      <c r="P1458" s="34"/>
      <c r="Q1458"/>
    </row>
    <row r="1459" spans="1:17" x14ac:dyDescent="0.25">
      <c r="A1459" s="14"/>
      <c r="B1459"/>
      <c r="C1459" s="15"/>
      <c r="D1459"/>
      <c r="E1459"/>
      <c r="F1459" s="16"/>
      <c r="G1459"/>
      <c r="H1459"/>
      <c r="I1459" s="16"/>
      <c r="J1459"/>
      <c r="K1459"/>
      <c r="L1459"/>
      <c r="M1459" s="17"/>
      <c r="N1459"/>
      <c r="O1459"/>
      <c r="P1459" s="34"/>
      <c r="Q1459"/>
    </row>
    <row r="1460" spans="1:17" x14ac:dyDescent="0.25">
      <c r="A1460" s="14"/>
      <c r="B1460"/>
      <c r="C1460" s="15"/>
      <c r="D1460"/>
      <c r="E1460"/>
      <c r="F1460" s="16"/>
      <c r="G1460"/>
      <c r="H1460"/>
      <c r="I1460" s="16"/>
      <c r="J1460"/>
      <c r="K1460"/>
      <c r="L1460"/>
      <c r="M1460" s="17"/>
      <c r="N1460"/>
      <c r="O1460"/>
      <c r="P1460" s="34"/>
      <c r="Q1460"/>
    </row>
    <row r="1461" spans="1:17" x14ac:dyDescent="0.25">
      <c r="A1461" s="14"/>
      <c r="B1461"/>
      <c r="C1461" s="15"/>
      <c r="D1461"/>
      <c r="E1461"/>
      <c r="F1461" s="16"/>
      <c r="G1461"/>
      <c r="H1461"/>
      <c r="I1461" s="16"/>
      <c r="J1461"/>
      <c r="K1461"/>
      <c r="L1461"/>
      <c r="M1461" s="17"/>
      <c r="N1461"/>
      <c r="O1461"/>
      <c r="P1461" s="34"/>
      <c r="Q1461"/>
    </row>
    <row r="1462" spans="1:17" x14ac:dyDescent="0.25">
      <c r="A1462" s="14"/>
      <c r="B1462"/>
      <c r="C1462" s="15"/>
      <c r="D1462"/>
      <c r="E1462"/>
      <c r="F1462" s="16"/>
      <c r="G1462"/>
      <c r="H1462"/>
      <c r="I1462" s="16"/>
      <c r="J1462"/>
      <c r="K1462"/>
      <c r="L1462"/>
      <c r="M1462" s="17"/>
      <c r="N1462"/>
      <c r="O1462"/>
      <c r="P1462" s="34"/>
      <c r="Q1462"/>
    </row>
    <row r="1463" spans="1:17" x14ac:dyDescent="0.25">
      <c r="A1463" s="14"/>
      <c r="B1463"/>
      <c r="C1463" s="15"/>
      <c r="D1463"/>
      <c r="E1463"/>
      <c r="F1463" s="16"/>
      <c r="G1463"/>
      <c r="H1463"/>
      <c r="I1463" s="16"/>
      <c r="J1463"/>
      <c r="K1463"/>
      <c r="L1463"/>
      <c r="M1463" s="17"/>
      <c r="N1463"/>
      <c r="O1463"/>
      <c r="P1463" s="34"/>
      <c r="Q1463"/>
    </row>
    <row r="1464" spans="1:17" x14ac:dyDescent="0.25">
      <c r="A1464" s="14"/>
      <c r="B1464"/>
      <c r="C1464" s="15"/>
      <c r="D1464"/>
      <c r="E1464"/>
      <c r="F1464" s="16"/>
      <c r="G1464"/>
      <c r="H1464"/>
      <c r="I1464" s="16"/>
      <c r="J1464"/>
      <c r="K1464"/>
      <c r="L1464"/>
      <c r="M1464" s="17"/>
      <c r="N1464"/>
      <c r="O1464"/>
      <c r="P1464" s="34"/>
      <c r="Q1464"/>
    </row>
    <row r="1465" spans="1:17" x14ac:dyDescent="0.25">
      <c r="A1465" s="14"/>
      <c r="B1465"/>
      <c r="C1465" s="15"/>
      <c r="D1465"/>
      <c r="E1465"/>
      <c r="F1465" s="16"/>
      <c r="G1465"/>
      <c r="H1465"/>
      <c r="I1465" s="16"/>
      <c r="J1465"/>
      <c r="K1465"/>
      <c r="L1465"/>
      <c r="M1465" s="17"/>
      <c r="N1465"/>
      <c r="O1465"/>
      <c r="P1465" s="34"/>
      <c r="Q1465"/>
    </row>
    <row r="1466" spans="1:17" x14ac:dyDescent="0.25">
      <c r="A1466" s="14"/>
      <c r="B1466"/>
      <c r="C1466" s="15"/>
      <c r="D1466"/>
      <c r="E1466"/>
      <c r="F1466" s="16"/>
      <c r="G1466"/>
      <c r="H1466"/>
      <c r="I1466" s="16"/>
      <c r="J1466"/>
      <c r="K1466"/>
      <c r="L1466"/>
      <c r="M1466" s="17"/>
      <c r="N1466"/>
      <c r="O1466"/>
      <c r="P1466" s="34"/>
      <c r="Q1466"/>
    </row>
    <row r="1467" spans="1:17" x14ac:dyDescent="0.25">
      <c r="A1467" s="14"/>
      <c r="B1467"/>
      <c r="C1467" s="15"/>
      <c r="D1467"/>
      <c r="E1467"/>
      <c r="F1467" s="16"/>
      <c r="G1467"/>
      <c r="H1467"/>
      <c r="I1467" s="16"/>
      <c r="J1467"/>
      <c r="K1467"/>
      <c r="L1467"/>
      <c r="M1467" s="17"/>
      <c r="N1467"/>
      <c r="O1467"/>
      <c r="P1467" s="34"/>
      <c r="Q1467"/>
    </row>
    <row r="1468" spans="1:17" x14ac:dyDescent="0.25">
      <c r="A1468" s="14"/>
      <c r="B1468"/>
      <c r="C1468" s="15"/>
      <c r="D1468"/>
      <c r="E1468"/>
      <c r="F1468" s="16"/>
      <c r="G1468"/>
      <c r="H1468"/>
      <c r="I1468" s="16"/>
      <c r="J1468"/>
      <c r="K1468"/>
      <c r="L1468"/>
      <c r="M1468" s="17"/>
      <c r="N1468"/>
      <c r="O1468"/>
      <c r="P1468" s="34"/>
      <c r="Q1468"/>
    </row>
    <row r="1469" spans="1:17" x14ac:dyDescent="0.25">
      <c r="A1469" s="14"/>
      <c r="B1469"/>
      <c r="C1469" s="15"/>
      <c r="D1469"/>
      <c r="E1469"/>
      <c r="F1469" s="16"/>
      <c r="G1469"/>
      <c r="H1469"/>
      <c r="I1469" s="16"/>
      <c r="J1469"/>
      <c r="K1469"/>
      <c r="L1469"/>
      <c r="M1469" s="17"/>
      <c r="N1469"/>
      <c r="O1469"/>
      <c r="P1469" s="34"/>
      <c r="Q1469"/>
    </row>
    <row r="1470" spans="1:17" x14ac:dyDescent="0.25">
      <c r="A1470" s="14"/>
      <c r="B1470"/>
      <c r="C1470" s="15"/>
      <c r="D1470"/>
      <c r="E1470"/>
      <c r="F1470" s="16"/>
      <c r="G1470"/>
      <c r="H1470"/>
      <c r="I1470" s="16"/>
      <c r="J1470"/>
      <c r="K1470"/>
      <c r="L1470"/>
      <c r="M1470" s="17"/>
      <c r="N1470"/>
      <c r="O1470"/>
      <c r="P1470" s="34"/>
      <c r="Q1470"/>
    </row>
    <row r="1471" spans="1:17" x14ac:dyDescent="0.25">
      <c r="A1471" s="14"/>
      <c r="B1471"/>
      <c r="C1471" s="15"/>
      <c r="D1471"/>
      <c r="E1471"/>
      <c r="F1471" s="16"/>
      <c r="G1471"/>
      <c r="H1471"/>
      <c r="I1471" s="16"/>
      <c r="J1471"/>
      <c r="K1471"/>
      <c r="L1471"/>
      <c r="M1471" s="17"/>
      <c r="N1471"/>
      <c r="O1471"/>
      <c r="P1471" s="34"/>
      <c r="Q1471"/>
    </row>
    <row r="1472" spans="1:17" x14ac:dyDescent="0.25">
      <c r="A1472" s="14"/>
      <c r="B1472"/>
      <c r="C1472" s="15"/>
      <c r="D1472"/>
      <c r="E1472"/>
      <c r="F1472" s="16"/>
      <c r="G1472"/>
      <c r="H1472"/>
      <c r="I1472" s="16"/>
      <c r="J1472"/>
      <c r="K1472"/>
      <c r="L1472"/>
      <c r="M1472" s="17"/>
      <c r="N1472"/>
      <c r="O1472"/>
      <c r="P1472" s="34"/>
      <c r="Q1472"/>
    </row>
    <row r="1473" spans="1:17" x14ac:dyDescent="0.25">
      <c r="A1473" s="14"/>
      <c r="B1473"/>
      <c r="C1473" s="15"/>
      <c r="D1473"/>
      <c r="E1473"/>
      <c r="F1473" s="16"/>
      <c r="G1473"/>
      <c r="H1473"/>
      <c r="I1473" s="16"/>
      <c r="J1473"/>
      <c r="K1473"/>
      <c r="L1473"/>
      <c r="M1473" s="17"/>
      <c r="N1473"/>
      <c r="O1473"/>
      <c r="P1473" s="34"/>
      <c r="Q1473"/>
    </row>
    <row r="1474" spans="1:17" x14ac:dyDescent="0.25">
      <c r="A1474" s="14"/>
      <c r="B1474"/>
      <c r="C1474" s="15"/>
      <c r="D1474"/>
      <c r="E1474"/>
      <c r="F1474" s="16"/>
      <c r="G1474"/>
      <c r="H1474"/>
      <c r="I1474" s="16"/>
      <c r="J1474"/>
      <c r="K1474"/>
      <c r="L1474"/>
      <c r="M1474" s="17"/>
      <c r="N1474"/>
      <c r="O1474"/>
      <c r="P1474" s="34"/>
      <c r="Q1474"/>
    </row>
    <row r="1475" spans="1:17" x14ac:dyDescent="0.25">
      <c r="A1475" s="14"/>
      <c r="B1475"/>
      <c r="C1475" s="15"/>
      <c r="D1475"/>
      <c r="E1475"/>
      <c r="F1475" s="16"/>
      <c r="G1475"/>
      <c r="H1475"/>
      <c r="I1475" s="16"/>
      <c r="J1475"/>
      <c r="K1475"/>
      <c r="L1475"/>
      <c r="M1475" s="17"/>
      <c r="N1475"/>
      <c r="O1475"/>
      <c r="P1475" s="34"/>
      <c r="Q1475"/>
    </row>
    <row r="1476" spans="1:17" x14ac:dyDescent="0.25">
      <c r="A1476" s="14"/>
      <c r="B1476"/>
      <c r="C1476" s="15"/>
      <c r="D1476"/>
      <c r="E1476"/>
      <c r="F1476" s="16"/>
      <c r="G1476"/>
      <c r="H1476"/>
      <c r="I1476" s="16"/>
      <c r="J1476"/>
      <c r="K1476"/>
      <c r="L1476"/>
      <c r="M1476" s="17"/>
      <c r="N1476"/>
      <c r="O1476"/>
      <c r="P1476" s="34"/>
      <c r="Q1476"/>
    </row>
    <row r="1477" spans="1:17" x14ac:dyDescent="0.25">
      <c r="A1477" s="14"/>
      <c r="B1477"/>
      <c r="C1477" s="15"/>
      <c r="D1477"/>
      <c r="E1477"/>
      <c r="F1477" s="16"/>
      <c r="G1477"/>
      <c r="H1477"/>
      <c r="I1477" s="16"/>
      <c r="J1477"/>
      <c r="K1477"/>
      <c r="L1477"/>
      <c r="M1477" s="17"/>
      <c r="N1477"/>
      <c r="O1477"/>
      <c r="P1477" s="34"/>
      <c r="Q1477"/>
    </row>
    <row r="1478" spans="1:17" x14ac:dyDescent="0.25">
      <c r="A1478" s="14"/>
      <c r="B1478"/>
      <c r="C1478" s="15"/>
      <c r="D1478"/>
      <c r="E1478"/>
      <c r="F1478" s="16"/>
      <c r="G1478"/>
      <c r="H1478"/>
      <c r="I1478" s="16"/>
      <c r="J1478"/>
      <c r="K1478"/>
      <c r="L1478"/>
      <c r="M1478" s="17"/>
      <c r="N1478"/>
      <c r="O1478"/>
      <c r="P1478" s="34"/>
      <c r="Q1478"/>
    </row>
    <row r="1479" spans="1:17" x14ac:dyDescent="0.25">
      <c r="A1479" s="14"/>
      <c r="B1479"/>
      <c r="C1479" s="15"/>
      <c r="D1479"/>
      <c r="E1479"/>
      <c r="F1479" s="16"/>
      <c r="G1479"/>
      <c r="H1479"/>
      <c r="I1479" s="16"/>
      <c r="J1479"/>
      <c r="K1479"/>
      <c r="L1479"/>
      <c r="M1479" s="17"/>
      <c r="N1479"/>
      <c r="O1479"/>
      <c r="P1479" s="34"/>
      <c r="Q1479"/>
    </row>
    <row r="1480" spans="1:17" x14ac:dyDescent="0.25">
      <c r="A1480" s="14"/>
      <c r="B1480"/>
      <c r="C1480" s="15"/>
      <c r="D1480"/>
      <c r="E1480"/>
      <c r="F1480" s="16"/>
      <c r="G1480"/>
      <c r="H1480"/>
      <c r="I1480" s="16"/>
      <c r="J1480"/>
      <c r="K1480"/>
      <c r="L1480"/>
      <c r="M1480" s="17"/>
      <c r="N1480"/>
      <c r="O1480"/>
      <c r="P1480" s="34"/>
      <c r="Q1480"/>
    </row>
    <row r="1481" spans="1:17" x14ac:dyDescent="0.25">
      <c r="A1481" s="14"/>
      <c r="B1481"/>
      <c r="C1481" s="15"/>
      <c r="D1481"/>
      <c r="E1481"/>
      <c r="F1481" s="16"/>
      <c r="G1481"/>
      <c r="H1481"/>
      <c r="I1481" s="16"/>
      <c r="J1481"/>
      <c r="K1481"/>
      <c r="L1481"/>
      <c r="M1481" s="17"/>
      <c r="N1481"/>
      <c r="O1481"/>
      <c r="P1481" s="34"/>
      <c r="Q1481"/>
    </row>
    <row r="1482" spans="1:17" x14ac:dyDescent="0.25">
      <c r="A1482" s="14"/>
      <c r="B1482"/>
      <c r="C1482" s="15"/>
      <c r="D1482"/>
      <c r="E1482"/>
      <c r="F1482" s="16"/>
      <c r="G1482"/>
      <c r="H1482"/>
      <c r="I1482" s="16"/>
      <c r="J1482"/>
      <c r="K1482"/>
      <c r="L1482"/>
      <c r="M1482" s="17"/>
      <c r="N1482"/>
      <c r="O1482"/>
      <c r="P1482" s="34"/>
      <c r="Q1482"/>
    </row>
    <row r="1483" spans="1:17" x14ac:dyDescent="0.25">
      <c r="A1483" s="14"/>
      <c r="B1483"/>
      <c r="C1483" s="15"/>
      <c r="D1483"/>
      <c r="E1483"/>
      <c r="F1483" s="16"/>
      <c r="G1483"/>
      <c r="H1483"/>
      <c r="I1483" s="16"/>
      <c r="J1483"/>
      <c r="K1483"/>
      <c r="L1483"/>
      <c r="M1483" s="17"/>
      <c r="N1483"/>
      <c r="O1483"/>
      <c r="P1483" s="34"/>
      <c r="Q1483"/>
    </row>
    <row r="1484" spans="1:17" x14ac:dyDescent="0.25">
      <c r="A1484" s="14"/>
      <c r="B1484"/>
      <c r="C1484" s="15"/>
      <c r="D1484"/>
      <c r="E1484"/>
      <c r="F1484" s="16"/>
      <c r="G1484"/>
      <c r="H1484"/>
      <c r="I1484" s="16"/>
      <c r="J1484"/>
      <c r="K1484"/>
      <c r="L1484"/>
      <c r="M1484" s="17"/>
      <c r="N1484"/>
      <c r="O1484"/>
      <c r="P1484" s="34"/>
      <c r="Q1484"/>
    </row>
    <row r="1485" spans="1:17" x14ac:dyDescent="0.25">
      <c r="A1485" s="14"/>
      <c r="B1485"/>
      <c r="C1485" s="15"/>
      <c r="D1485"/>
      <c r="E1485"/>
      <c r="F1485" s="16"/>
      <c r="G1485"/>
      <c r="H1485"/>
      <c r="I1485" s="16"/>
      <c r="J1485"/>
      <c r="K1485"/>
      <c r="L1485"/>
      <c r="M1485" s="17"/>
      <c r="N1485"/>
      <c r="O1485"/>
      <c r="P1485" s="34"/>
      <c r="Q1485"/>
    </row>
    <row r="1486" spans="1:17" x14ac:dyDescent="0.25">
      <c r="A1486" s="14"/>
      <c r="B1486"/>
      <c r="C1486" s="15"/>
      <c r="D1486"/>
      <c r="E1486"/>
      <c r="F1486" s="16"/>
      <c r="G1486"/>
      <c r="H1486"/>
      <c r="I1486" s="16"/>
      <c r="J1486"/>
      <c r="K1486"/>
      <c r="L1486"/>
      <c r="M1486" s="17"/>
      <c r="N1486"/>
      <c r="O1486"/>
      <c r="P1486" s="34"/>
      <c r="Q1486"/>
    </row>
    <row r="1487" spans="1:17" x14ac:dyDescent="0.25">
      <c r="A1487" s="14"/>
      <c r="B1487"/>
      <c r="C1487" s="15"/>
      <c r="D1487"/>
      <c r="E1487"/>
      <c r="F1487" s="16"/>
      <c r="G1487"/>
      <c r="H1487"/>
      <c r="I1487" s="16"/>
      <c r="J1487"/>
      <c r="K1487"/>
      <c r="L1487"/>
      <c r="M1487" s="17"/>
      <c r="N1487"/>
      <c r="O1487"/>
      <c r="P1487" s="34"/>
      <c r="Q1487"/>
    </row>
    <row r="1488" spans="1:17" x14ac:dyDescent="0.25">
      <c r="A1488" s="14"/>
      <c r="B1488"/>
      <c r="C1488" s="15"/>
      <c r="D1488"/>
      <c r="E1488"/>
      <c r="F1488" s="16"/>
      <c r="G1488"/>
      <c r="H1488"/>
      <c r="I1488" s="16"/>
      <c r="J1488"/>
      <c r="K1488"/>
      <c r="L1488"/>
      <c r="M1488" s="17"/>
      <c r="N1488"/>
      <c r="O1488"/>
      <c r="P1488" s="34"/>
      <c r="Q1488"/>
    </row>
    <row r="1489" spans="1:17" x14ac:dyDescent="0.25">
      <c r="A1489" s="14"/>
      <c r="B1489"/>
      <c r="C1489" s="15"/>
      <c r="D1489"/>
      <c r="E1489"/>
      <c r="F1489" s="16"/>
      <c r="G1489"/>
      <c r="H1489"/>
      <c r="I1489" s="16"/>
      <c r="J1489"/>
      <c r="K1489"/>
      <c r="L1489"/>
      <c r="M1489" s="17"/>
      <c r="N1489"/>
      <c r="O1489"/>
      <c r="P1489" s="34"/>
      <c r="Q1489"/>
    </row>
    <row r="1490" spans="1:17" x14ac:dyDescent="0.25">
      <c r="A1490" s="14"/>
      <c r="B1490"/>
      <c r="C1490" s="15"/>
      <c r="D1490"/>
      <c r="E1490"/>
      <c r="F1490" s="16"/>
      <c r="G1490"/>
      <c r="H1490"/>
      <c r="I1490" s="16"/>
      <c r="J1490"/>
      <c r="K1490"/>
      <c r="L1490"/>
      <c r="M1490" s="17"/>
      <c r="N1490"/>
      <c r="O1490"/>
      <c r="P1490" s="34"/>
      <c r="Q1490"/>
    </row>
    <row r="1491" spans="1:17" x14ac:dyDescent="0.25">
      <c r="A1491" s="14"/>
      <c r="B1491"/>
      <c r="C1491" s="15"/>
      <c r="D1491"/>
      <c r="E1491"/>
      <c r="F1491" s="16"/>
      <c r="G1491"/>
      <c r="H1491"/>
      <c r="I1491" s="16"/>
      <c r="J1491"/>
      <c r="K1491"/>
      <c r="L1491"/>
      <c r="M1491" s="17"/>
      <c r="N1491"/>
      <c r="O1491"/>
      <c r="P1491" s="34"/>
      <c r="Q1491"/>
    </row>
    <row r="1492" spans="1:17" x14ac:dyDescent="0.25">
      <c r="A1492" s="14"/>
      <c r="B1492"/>
      <c r="C1492" s="15"/>
      <c r="D1492"/>
      <c r="E1492"/>
      <c r="F1492" s="16"/>
      <c r="G1492"/>
      <c r="H1492"/>
      <c r="I1492" s="16"/>
      <c r="J1492"/>
      <c r="K1492"/>
      <c r="L1492"/>
      <c r="M1492" s="17"/>
      <c r="N1492"/>
      <c r="O1492"/>
      <c r="P1492" s="34"/>
      <c r="Q1492"/>
    </row>
    <row r="1493" spans="1:17" x14ac:dyDescent="0.25">
      <c r="A1493" s="14"/>
      <c r="B1493"/>
      <c r="C1493" s="15"/>
      <c r="D1493"/>
      <c r="E1493"/>
      <c r="F1493" s="16"/>
      <c r="G1493"/>
      <c r="H1493"/>
      <c r="I1493" s="16"/>
      <c r="J1493"/>
      <c r="K1493"/>
      <c r="L1493"/>
      <c r="M1493" s="17"/>
      <c r="N1493"/>
      <c r="O1493"/>
      <c r="P1493" s="34"/>
      <c r="Q1493"/>
    </row>
    <row r="1494" spans="1:17" x14ac:dyDescent="0.25">
      <c r="A1494" s="14"/>
      <c r="B1494"/>
      <c r="C1494" s="15"/>
      <c r="D1494"/>
      <c r="E1494"/>
      <c r="F1494" s="16"/>
      <c r="G1494"/>
      <c r="H1494"/>
      <c r="I1494" s="16"/>
      <c r="J1494"/>
      <c r="K1494"/>
      <c r="L1494"/>
      <c r="M1494" s="17"/>
      <c r="N1494"/>
      <c r="O1494"/>
      <c r="P1494" s="34"/>
      <c r="Q1494"/>
    </row>
    <row r="1495" spans="1:17" x14ac:dyDescent="0.25">
      <c r="A1495" s="14"/>
      <c r="B1495"/>
      <c r="C1495" s="15"/>
      <c r="D1495"/>
      <c r="E1495"/>
      <c r="F1495" s="16"/>
      <c r="G1495"/>
      <c r="H1495"/>
      <c r="I1495" s="16"/>
      <c r="J1495"/>
      <c r="K1495"/>
      <c r="L1495"/>
      <c r="M1495" s="17"/>
      <c r="N1495"/>
      <c r="O1495"/>
      <c r="P1495" s="34"/>
      <c r="Q1495"/>
    </row>
    <row r="1496" spans="1:17" x14ac:dyDescent="0.25">
      <c r="A1496" s="14"/>
      <c r="B1496"/>
      <c r="C1496" s="15"/>
      <c r="D1496"/>
      <c r="E1496"/>
      <c r="F1496" s="16"/>
      <c r="G1496"/>
      <c r="H1496"/>
      <c r="I1496" s="16"/>
      <c r="J1496"/>
      <c r="K1496"/>
      <c r="L1496"/>
      <c r="M1496" s="17"/>
      <c r="N1496"/>
      <c r="O1496"/>
      <c r="P1496" s="34"/>
      <c r="Q1496"/>
    </row>
    <row r="1497" spans="1:17" x14ac:dyDescent="0.25">
      <c r="A1497" s="14"/>
      <c r="B1497"/>
      <c r="C1497" s="15"/>
      <c r="D1497"/>
      <c r="E1497"/>
      <c r="F1497" s="16"/>
      <c r="G1497"/>
      <c r="H1497"/>
      <c r="I1497" s="16"/>
      <c r="J1497"/>
      <c r="K1497"/>
      <c r="L1497"/>
      <c r="M1497" s="17"/>
      <c r="N1497"/>
      <c r="O1497"/>
      <c r="P1497" s="34"/>
      <c r="Q1497"/>
    </row>
    <row r="1498" spans="1:17" x14ac:dyDescent="0.25">
      <c r="A1498" s="14"/>
      <c r="B1498"/>
      <c r="C1498" s="15"/>
      <c r="D1498"/>
      <c r="E1498"/>
      <c r="F1498" s="16"/>
      <c r="G1498"/>
      <c r="H1498"/>
      <c r="I1498" s="16"/>
      <c r="J1498"/>
      <c r="K1498"/>
      <c r="L1498"/>
      <c r="M1498" s="17"/>
      <c r="N1498"/>
      <c r="O1498"/>
      <c r="P1498" s="34"/>
      <c r="Q1498"/>
    </row>
    <row r="1499" spans="1:17" x14ac:dyDescent="0.25">
      <c r="A1499" s="14"/>
      <c r="B1499"/>
      <c r="C1499" s="15"/>
      <c r="D1499"/>
      <c r="E1499"/>
      <c r="F1499" s="16"/>
      <c r="G1499"/>
      <c r="H1499"/>
      <c r="I1499" s="16"/>
      <c r="J1499"/>
      <c r="K1499"/>
      <c r="L1499"/>
      <c r="M1499" s="17"/>
      <c r="N1499"/>
      <c r="O1499"/>
      <c r="P1499" s="34"/>
      <c r="Q1499"/>
    </row>
    <row r="1500" spans="1:17" x14ac:dyDescent="0.25">
      <c r="A1500" s="14"/>
      <c r="B1500"/>
      <c r="C1500" s="15"/>
      <c r="D1500"/>
      <c r="E1500"/>
      <c r="F1500" s="16"/>
      <c r="G1500"/>
      <c r="H1500"/>
      <c r="I1500" s="16"/>
      <c r="J1500"/>
      <c r="K1500"/>
      <c r="L1500"/>
      <c r="M1500" s="17"/>
      <c r="N1500"/>
      <c r="O1500"/>
      <c r="P1500" s="34"/>
    </row>
    <row r="1501" spans="1:17" x14ac:dyDescent="0.25">
      <c r="A1501" s="14"/>
      <c r="B1501"/>
      <c r="C1501" s="15"/>
      <c r="D1501"/>
      <c r="E1501"/>
      <c r="F1501" s="16"/>
      <c r="G1501"/>
      <c r="H1501"/>
      <c r="I1501" s="16"/>
      <c r="J1501"/>
      <c r="K1501"/>
      <c r="L1501"/>
      <c r="M1501" s="17"/>
      <c r="N1501"/>
      <c r="O1501"/>
      <c r="P1501" s="34"/>
    </row>
    <row r="1502" spans="1:17" x14ac:dyDescent="0.25">
      <c r="A1502" s="14"/>
      <c r="B1502"/>
      <c r="C1502" s="15"/>
      <c r="D1502"/>
      <c r="E1502"/>
      <c r="F1502" s="16"/>
      <c r="G1502"/>
      <c r="H1502"/>
      <c r="I1502" s="16"/>
      <c r="J1502"/>
      <c r="K1502"/>
      <c r="L1502"/>
      <c r="M1502" s="17"/>
      <c r="N1502"/>
      <c r="O1502"/>
      <c r="P1502" s="34"/>
    </row>
    <row r="1503" spans="1:17" x14ac:dyDescent="0.25">
      <c r="A1503" s="14"/>
      <c r="B1503"/>
      <c r="C1503" s="15"/>
      <c r="D1503"/>
      <c r="E1503"/>
      <c r="F1503" s="16"/>
      <c r="G1503"/>
      <c r="H1503"/>
      <c r="I1503" s="16"/>
      <c r="J1503"/>
      <c r="K1503"/>
      <c r="L1503"/>
      <c r="M1503" s="17"/>
      <c r="N1503"/>
      <c r="O1503"/>
      <c r="P1503" s="34"/>
    </row>
    <row r="1504" spans="1:17" x14ac:dyDescent="0.25">
      <c r="A1504" s="14"/>
      <c r="B1504"/>
      <c r="C1504" s="15"/>
      <c r="D1504"/>
      <c r="E1504"/>
      <c r="F1504" s="16"/>
      <c r="G1504"/>
      <c r="H1504"/>
      <c r="I1504" s="16"/>
      <c r="J1504"/>
      <c r="K1504"/>
      <c r="L1504"/>
      <c r="M1504" s="17"/>
      <c r="N1504"/>
      <c r="O1504"/>
      <c r="P1504" s="34"/>
    </row>
    <row r="1505" spans="1:16" x14ac:dyDescent="0.25">
      <c r="A1505" s="14"/>
      <c r="B1505"/>
      <c r="C1505" s="15"/>
      <c r="D1505"/>
      <c r="E1505"/>
      <c r="F1505" s="16"/>
      <c r="G1505"/>
      <c r="H1505"/>
      <c r="I1505" s="16"/>
      <c r="J1505"/>
      <c r="K1505"/>
      <c r="L1505"/>
      <c r="M1505" s="17"/>
      <c r="N1505"/>
      <c r="O1505"/>
      <c r="P1505" s="34"/>
    </row>
    <row r="1506" spans="1:16" x14ac:dyDescent="0.25">
      <c r="A1506" s="14"/>
      <c r="B1506"/>
      <c r="C1506" s="15"/>
      <c r="D1506"/>
      <c r="E1506"/>
      <c r="F1506" s="16"/>
      <c r="G1506"/>
      <c r="H1506"/>
      <c r="I1506" s="16"/>
      <c r="J1506"/>
      <c r="K1506"/>
      <c r="L1506"/>
      <c r="M1506" s="17"/>
      <c r="N1506"/>
      <c r="O1506"/>
      <c r="P1506" s="34"/>
    </row>
    <row r="1507" spans="1:16" x14ac:dyDescent="0.25">
      <c r="A1507" s="14"/>
      <c r="B1507"/>
      <c r="C1507" s="15"/>
      <c r="D1507"/>
      <c r="E1507"/>
      <c r="F1507" s="16"/>
      <c r="G1507"/>
      <c r="H1507"/>
      <c r="I1507" s="16"/>
      <c r="J1507"/>
      <c r="K1507"/>
      <c r="L1507"/>
      <c r="M1507" s="17"/>
      <c r="N1507"/>
      <c r="O1507"/>
      <c r="P1507" s="34"/>
    </row>
    <row r="1508" spans="1:16" x14ac:dyDescent="0.25">
      <c r="A1508" s="14"/>
      <c r="B1508"/>
      <c r="C1508" s="15"/>
      <c r="D1508"/>
      <c r="E1508"/>
      <c r="F1508" s="16"/>
      <c r="G1508"/>
      <c r="H1508"/>
      <c r="I1508" s="16"/>
      <c r="J1508"/>
      <c r="K1508"/>
      <c r="L1508"/>
      <c r="M1508" s="17"/>
      <c r="N1508"/>
      <c r="O1508"/>
      <c r="P1508" s="34"/>
    </row>
    <row r="1509" spans="1:16" x14ac:dyDescent="0.25">
      <c r="A1509" s="14"/>
      <c r="B1509"/>
      <c r="C1509" s="15"/>
      <c r="D1509"/>
      <c r="E1509"/>
      <c r="F1509" s="16"/>
      <c r="G1509"/>
      <c r="H1509"/>
      <c r="I1509" s="16"/>
      <c r="J1509"/>
      <c r="K1509"/>
      <c r="L1509"/>
      <c r="M1509" s="17"/>
      <c r="N1509"/>
      <c r="O1509"/>
      <c r="P1509" s="34"/>
    </row>
    <row r="1510" spans="1:16" x14ac:dyDescent="0.25">
      <c r="A1510" s="14"/>
      <c r="B1510"/>
      <c r="C1510" s="15"/>
      <c r="D1510"/>
      <c r="E1510"/>
      <c r="F1510" s="16"/>
      <c r="G1510"/>
      <c r="H1510"/>
      <c r="I1510" s="16"/>
      <c r="J1510"/>
      <c r="K1510"/>
      <c r="L1510"/>
      <c r="M1510" s="17"/>
      <c r="N1510"/>
      <c r="O1510"/>
      <c r="P1510" s="34"/>
    </row>
    <row r="1511" spans="1:16" x14ac:dyDescent="0.25">
      <c r="A1511" s="14"/>
      <c r="B1511"/>
      <c r="C1511" s="15"/>
      <c r="D1511"/>
      <c r="E1511"/>
      <c r="F1511" s="16"/>
      <c r="G1511"/>
      <c r="H1511"/>
      <c r="I1511" s="16"/>
      <c r="J1511"/>
      <c r="K1511"/>
      <c r="L1511"/>
      <c r="M1511" s="17"/>
      <c r="N1511"/>
      <c r="O1511"/>
      <c r="P1511" s="34"/>
    </row>
    <row r="1512" spans="1:16" x14ac:dyDescent="0.25">
      <c r="A1512" s="14"/>
      <c r="B1512"/>
      <c r="C1512" s="15"/>
      <c r="D1512"/>
      <c r="E1512"/>
      <c r="F1512" s="16"/>
      <c r="G1512"/>
      <c r="H1512"/>
      <c r="I1512" s="16"/>
      <c r="J1512"/>
      <c r="K1512"/>
      <c r="L1512"/>
      <c r="M1512" s="17"/>
      <c r="N1512"/>
      <c r="O1512"/>
      <c r="P1512" s="34"/>
    </row>
    <row r="1513" spans="1:16" x14ac:dyDescent="0.25">
      <c r="A1513" s="14"/>
      <c r="B1513"/>
      <c r="C1513" s="15"/>
      <c r="D1513"/>
      <c r="E1513"/>
      <c r="F1513" s="16"/>
      <c r="G1513"/>
      <c r="H1513"/>
      <c r="I1513" s="16"/>
      <c r="J1513"/>
      <c r="K1513"/>
      <c r="L1513"/>
      <c r="M1513" s="17"/>
      <c r="N1513"/>
      <c r="O1513"/>
      <c r="P1513" s="34"/>
    </row>
    <row r="1514" spans="1:16" x14ac:dyDescent="0.25">
      <c r="A1514" s="14"/>
      <c r="B1514"/>
      <c r="C1514" s="15"/>
      <c r="D1514"/>
      <c r="E1514"/>
      <c r="F1514" s="16"/>
      <c r="G1514"/>
      <c r="H1514"/>
      <c r="I1514" s="16"/>
      <c r="J1514"/>
      <c r="K1514"/>
      <c r="L1514"/>
      <c r="M1514" s="17"/>
      <c r="N1514"/>
      <c r="O1514"/>
      <c r="P1514" s="34"/>
    </row>
    <row r="1515" spans="1:16" x14ac:dyDescent="0.25">
      <c r="A1515" s="14"/>
      <c r="B1515"/>
      <c r="C1515" s="15"/>
      <c r="D1515"/>
      <c r="E1515"/>
      <c r="F1515" s="16"/>
      <c r="G1515"/>
      <c r="H1515"/>
      <c r="I1515" s="16"/>
      <c r="J1515"/>
      <c r="K1515"/>
      <c r="L1515"/>
      <c r="M1515" s="17"/>
      <c r="N1515"/>
      <c r="O1515"/>
      <c r="P1515" s="34"/>
    </row>
    <row r="1516" spans="1:16" x14ac:dyDescent="0.25">
      <c r="A1516" s="14"/>
      <c r="B1516"/>
      <c r="C1516" s="15"/>
      <c r="D1516"/>
      <c r="E1516"/>
      <c r="F1516" s="16"/>
      <c r="G1516"/>
      <c r="H1516"/>
      <c r="I1516" s="16"/>
      <c r="J1516"/>
      <c r="K1516"/>
      <c r="L1516"/>
      <c r="M1516" s="17"/>
      <c r="N1516"/>
      <c r="O1516"/>
      <c r="P1516" s="34"/>
    </row>
    <row r="1517" spans="1:16" x14ac:dyDescent="0.25">
      <c r="A1517" s="14"/>
      <c r="B1517"/>
      <c r="C1517" s="15"/>
      <c r="D1517"/>
      <c r="E1517"/>
      <c r="F1517" s="16"/>
      <c r="G1517"/>
      <c r="H1517"/>
      <c r="I1517" s="16"/>
      <c r="J1517"/>
      <c r="K1517"/>
      <c r="L1517"/>
      <c r="M1517" s="17"/>
      <c r="N1517"/>
      <c r="O1517"/>
      <c r="P1517" s="34"/>
    </row>
    <row r="1518" spans="1:16" x14ac:dyDescent="0.25">
      <c r="A1518" s="14"/>
      <c r="B1518"/>
      <c r="C1518" s="15"/>
      <c r="D1518"/>
      <c r="E1518"/>
      <c r="F1518" s="16"/>
      <c r="G1518"/>
      <c r="H1518"/>
      <c r="I1518" s="16"/>
      <c r="J1518"/>
      <c r="K1518"/>
      <c r="L1518"/>
      <c r="M1518" s="17"/>
      <c r="N1518"/>
      <c r="O1518"/>
      <c r="P1518" s="34"/>
    </row>
    <row r="1519" spans="1:16" x14ac:dyDescent="0.25">
      <c r="A1519" s="14"/>
      <c r="B1519"/>
      <c r="C1519" s="15"/>
      <c r="D1519"/>
      <c r="E1519"/>
      <c r="F1519" s="16"/>
      <c r="G1519"/>
      <c r="H1519"/>
      <c r="I1519" s="16"/>
      <c r="J1519"/>
      <c r="K1519"/>
      <c r="L1519"/>
      <c r="M1519" s="17"/>
      <c r="N1519"/>
      <c r="O1519"/>
      <c r="P1519" s="34"/>
    </row>
    <row r="1520" spans="1:16" x14ac:dyDescent="0.25">
      <c r="A1520" s="14"/>
      <c r="B1520"/>
      <c r="C1520" s="15"/>
      <c r="D1520"/>
      <c r="E1520"/>
      <c r="F1520" s="16"/>
      <c r="G1520"/>
      <c r="H1520"/>
      <c r="I1520" s="16"/>
      <c r="J1520"/>
      <c r="K1520"/>
      <c r="L1520"/>
      <c r="M1520" s="17"/>
      <c r="N1520"/>
      <c r="O1520"/>
      <c r="P1520" s="34"/>
    </row>
    <row r="1521" spans="1:16" x14ac:dyDescent="0.25">
      <c r="A1521" s="14"/>
      <c r="B1521"/>
      <c r="C1521" s="15"/>
      <c r="D1521"/>
      <c r="E1521"/>
      <c r="F1521" s="16"/>
      <c r="G1521"/>
      <c r="H1521"/>
      <c r="I1521" s="16"/>
      <c r="J1521"/>
      <c r="K1521"/>
      <c r="L1521"/>
      <c r="M1521" s="17"/>
      <c r="N1521"/>
      <c r="O1521"/>
      <c r="P1521" s="34"/>
    </row>
    <row r="1522" spans="1:16" x14ac:dyDescent="0.25">
      <c r="A1522" s="14"/>
      <c r="B1522"/>
      <c r="C1522" s="15"/>
      <c r="D1522"/>
      <c r="E1522"/>
      <c r="F1522" s="16"/>
      <c r="G1522"/>
      <c r="H1522"/>
      <c r="I1522" s="16"/>
      <c r="J1522"/>
      <c r="K1522"/>
      <c r="L1522"/>
      <c r="M1522" s="17"/>
      <c r="N1522"/>
      <c r="O1522"/>
      <c r="P1522" s="34"/>
    </row>
    <row r="1523" spans="1:16" x14ac:dyDescent="0.25">
      <c r="A1523" s="14"/>
      <c r="B1523"/>
      <c r="C1523" s="15"/>
      <c r="D1523"/>
      <c r="E1523"/>
      <c r="F1523" s="16"/>
      <c r="G1523"/>
      <c r="H1523"/>
      <c r="I1523" s="16"/>
      <c r="J1523"/>
      <c r="K1523"/>
      <c r="L1523"/>
      <c r="M1523" s="17"/>
      <c r="N1523"/>
      <c r="O1523"/>
      <c r="P1523" s="34"/>
    </row>
    <row r="1524" spans="1:16" x14ac:dyDescent="0.25">
      <c r="A1524" s="14"/>
      <c r="B1524"/>
      <c r="C1524" s="15"/>
      <c r="D1524"/>
      <c r="E1524"/>
      <c r="F1524" s="16"/>
      <c r="G1524"/>
      <c r="H1524"/>
      <c r="I1524" s="16"/>
      <c r="J1524"/>
      <c r="K1524"/>
      <c r="L1524"/>
      <c r="M1524" s="17"/>
      <c r="N1524"/>
      <c r="O1524"/>
      <c r="P1524" s="34"/>
    </row>
    <row r="1525" spans="1:16" x14ac:dyDescent="0.25">
      <c r="A1525" s="14"/>
      <c r="B1525"/>
      <c r="C1525" s="15"/>
      <c r="D1525"/>
      <c r="E1525"/>
      <c r="F1525" s="16"/>
      <c r="G1525"/>
      <c r="H1525"/>
      <c r="I1525" s="16"/>
      <c r="J1525"/>
      <c r="K1525"/>
      <c r="L1525"/>
      <c r="M1525" s="17"/>
      <c r="N1525"/>
      <c r="O1525"/>
      <c r="P1525" s="34"/>
    </row>
    <row r="1526" spans="1:16" x14ac:dyDescent="0.25">
      <c r="A1526" s="14"/>
      <c r="B1526"/>
      <c r="C1526" s="15"/>
      <c r="D1526"/>
      <c r="E1526"/>
      <c r="F1526" s="16"/>
      <c r="G1526"/>
      <c r="H1526"/>
      <c r="I1526" s="16"/>
      <c r="J1526"/>
      <c r="K1526"/>
      <c r="L1526"/>
      <c r="M1526" s="17"/>
      <c r="N1526"/>
      <c r="O1526"/>
      <c r="P1526" s="34"/>
    </row>
    <row r="1527" spans="1:16" x14ac:dyDescent="0.25">
      <c r="A1527" s="14"/>
      <c r="B1527"/>
      <c r="C1527" s="15"/>
      <c r="D1527"/>
      <c r="E1527"/>
      <c r="F1527" s="16"/>
      <c r="G1527"/>
      <c r="H1527"/>
      <c r="I1527" s="16"/>
      <c r="J1527"/>
      <c r="K1527"/>
      <c r="L1527"/>
      <c r="M1527" s="17"/>
      <c r="N1527"/>
      <c r="O1527"/>
      <c r="P1527" s="34"/>
    </row>
    <row r="1528" spans="1:16" x14ac:dyDescent="0.25">
      <c r="A1528" s="14"/>
      <c r="B1528"/>
      <c r="C1528" s="15"/>
      <c r="D1528"/>
      <c r="E1528"/>
      <c r="F1528" s="16"/>
      <c r="G1528"/>
      <c r="H1528"/>
      <c r="I1528" s="16"/>
      <c r="J1528"/>
      <c r="K1528"/>
      <c r="L1528"/>
      <c r="M1528" s="17"/>
      <c r="N1528"/>
      <c r="O1528"/>
      <c r="P1528" s="34"/>
    </row>
    <row r="1529" spans="1:16" x14ac:dyDescent="0.25">
      <c r="A1529" s="14"/>
      <c r="B1529"/>
      <c r="C1529" s="15"/>
      <c r="D1529"/>
      <c r="E1529"/>
      <c r="F1529" s="16"/>
      <c r="G1529"/>
      <c r="H1529"/>
      <c r="I1529" s="16"/>
      <c r="J1529"/>
      <c r="K1529"/>
      <c r="L1529"/>
      <c r="M1529" s="17"/>
      <c r="N1529"/>
      <c r="O1529"/>
      <c r="P1529" s="34"/>
    </row>
    <row r="1530" spans="1:16" x14ac:dyDescent="0.25">
      <c r="A1530" s="14"/>
      <c r="B1530"/>
      <c r="C1530" s="15"/>
      <c r="D1530"/>
      <c r="E1530"/>
      <c r="F1530" s="16"/>
      <c r="G1530"/>
      <c r="H1530"/>
      <c r="I1530" s="16"/>
      <c r="J1530"/>
      <c r="K1530"/>
      <c r="L1530"/>
      <c r="M1530" s="17"/>
      <c r="N1530"/>
      <c r="O1530"/>
      <c r="P1530" s="34"/>
    </row>
    <row r="1531" spans="1:16" x14ac:dyDescent="0.25">
      <c r="A1531" s="14"/>
      <c r="B1531"/>
      <c r="C1531" s="15"/>
      <c r="D1531"/>
      <c r="E1531"/>
      <c r="F1531" s="16"/>
      <c r="G1531"/>
      <c r="H1531"/>
      <c r="I1531" s="16"/>
      <c r="J1531"/>
      <c r="K1531"/>
      <c r="L1531"/>
      <c r="M1531" s="17"/>
      <c r="N1531"/>
      <c r="O1531"/>
      <c r="P1531" s="34"/>
    </row>
    <row r="1532" spans="1:16" x14ac:dyDescent="0.25">
      <c r="A1532" s="14"/>
      <c r="B1532"/>
      <c r="C1532" s="15"/>
      <c r="D1532"/>
      <c r="E1532"/>
      <c r="F1532" s="16"/>
      <c r="G1532"/>
      <c r="H1532"/>
      <c r="I1532" s="16"/>
      <c r="J1532"/>
      <c r="K1532"/>
      <c r="L1532"/>
      <c r="M1532" s="17"/>
      <c r="N1532"/>
      <c r="O1532"/>
      <c r="P1532" s="34"/>
    </row>
    <row r="1533" spans="1:16" x14ac:dyDescent="0.25">
      <c r="A1533" s="14"/>
      <c r="B1533"/>
      <c r="C1533" s="15"/>
      <c r="D1533"/>
      <c r="E1533"/>
      <c r="F1533" s="16"/>
      <c r="G1533"/>
      <c r="H1533"/>
      <c r="I1533" s="16"/>
      <c r="J1533"/>
      <c r="K1533"/>
      <c r="L1533"/>
      <c r="M1533" s="17"/>
      <c r="N1533"/>
      <c r="O1533"/>
      <c r="P1533" s="34"/>
    </row>
    <row r="1534" spans="1:16" x14ac:dyDescent="0.25">
      <c r="A1534" s="14"/>
      <c r="B1534"/>
      <c r="C1534" s="15"/>
      <c r="D1534"/>
      <c r="E1534"/>
      <c r="F1534" s="16"/>
      <c r="G1534"/>
      <c r="H1534"/>
      <c r="I1534" s="16"/>
      <c r="J1534"/>
      <c r="K1534"/>
      <c r="L1534"/>
      <c r="M1534" s="17"/>
      <c r="N1534"/>
      <c r="O1534"/>
      <c r="P1534" s="34"/>
    </row>
    <row r="1535" spans="1:16" x14ac:dyDescent="0.25">
      <c r="A1535" s="14"/>
      <c r="B1535"/>
      <c r="C1535" s="15"/>
      <c r="D1535"/>
      <c r="E1535"/>
      <c r="F1535" s="16"/>
      <c r="G1535"/>
      <c r="H1535"/>
      <c r="I1535" s="16"/>
      <c r="J1535"/>
      <c r="K1535"/>
      <c r="L1535"/>
      <c r="M1535" s="17"/>
      <c r="N1535"/>
      <c r="O1535"/>
      <c r="P1535" s="34"/>
    </row>
    <row r="1536" spans="1:16" x14ac:dyDescent="0.25">
      <c r="A1536" s="14"/>
      <c r="B1536"/>
      <c r="C1536" s="15"/>
      <c r="D1536"/>
      <c r="E1536"/>
      <c r="F1536" s="16"/>
      <c r="G1536"/>
      <c r="H1536"/>
      <c r="I1536" s="16"/>
      <c r="J1536"/>
      <c r="K1536"/>
      <c r="L1536"/>
      <c r="M1536" s="17"/>
      <c r="N1536"/>
      <c r="O1536"/>
      <c r="P1536" s="34"/>
    </row>
    <row r="1537" spans="1:16" x14ac:dyDescent="0.25">
      <c r="A1537" s="14"/>
      <c r="B1537"/>
      <c r="C1537" s="15"/>
      <c r="D1537"/>
      <c r="E1537"/>
      <c r="F1537" s="16"/>
      <c r="G1537"/>
      <c r="H1537"/>
      <c r="I1537" s="16"/>
      <c r="J1537"/>
      <c r="K1537"/>
      <c r="L1537"/>
      <c r="M1537" s="17"/>
      <c r="N1537"/>
      <c r="O1537"/>
      <c r="P1537" s="34"/>
    </row>
    <row r="1538" spans="1:16" x14ac:dyDescent="0.25">
      <c r="A1538" s="14"/>
      <c r="B1538"/>
      <c r="C1538" s="15"/>
      <c r="D1538"/>
      <c r="E1538"/>
      <c r="F1538" s="16"/>
      <c r="G1538"/>
      <c r="H1538"/>
      <c r="I1538" s="16"/>
      <c r="J1538"/>
      <c r="K1538"/>
      <c r="L1538"/>
      <c r="M1538" s="17"/>
      <c r="N1538"/>
      <c r="O1538"/>
      <c r="P1538" s="34"/>
    </row>
    <row r="1539" spans="1:16" x14ac:dyDescent="0.25">
      <c r="A1539" s="14"/>
      <c r="B1539"/>
      <c r="C1539" s="15"/>
      <c r="D1539"/>
      <c r="E1539"/>
      <c r="F1539" s="16"/>
      <c r="G1539"/>
      <c r="H1539"/>
      <c r="I1539" s="16"/>
      <c r="J1539"/>
      <c r="K1539"/>
      <c r="L1539"/>
      <c r="M1539" s="17"/>
      <c r="N1539"/>
      <c r="O1539"/>
      <c r="P1539" s="34"/>
    </row>
    <row r="1540" spans="1:16" x14ac:dyDescent="0.25">
      <c r="A1540" s="14"/>
      <c r="B1540"/>
      <c r="C1540" s="15"/>
      <c r="D1540"/>
      <c r="E1540"/>
      <c r="F1540" s="16"/>
      <c r="G1540"/>
      <c r="H1540"/>
      <c r="I1540" s="16"/>
      <c r="J1540"/>
      <c r="K1540"/>
      <c r="L1540"/>
      <c r="M1540" s="17"/>
      <c r="N1540"/>
      <c r="O1540"/>
      <c r="P1540" s="34"/>
    </row>
    <row r="1541" spans="1:16" x14ac:dyDescent="0.25">
      <c r="A1541" s="14"/>
      <c r="B1541"/>
      <c r="C1541" s="15"/>
      <c r="D1541"/>
      <c r="E1541"/>
      <c r="F1541" s="16"/>
      <c r="G1541"/>
      <c r="H1541"/>
      <c r="I1541" s="16"/>
      <c r="J1541"/>
      <c r="K1541"/>
      <c r="L1541"/>
      <c r="M1541" s="17"/>
      <c r="N1541"/>
      <c r="O1541"/>
      <c r="P1541" s="34"/>
    </row>
    <row r="1542" spans="1:16" x14ac:dyDescent="0.25">
      <c r="A1542" s="14"/>
      <c r="B1542"/>
      <c r="C1542" s="15"/>
      <c r="D1542"/>
      <c r="E1542"/>
      <c r="F1542" s="16"/>
      <c r="G1542"/>
      <c r="H1542"/>
      <c r="I1542" s="16"/>
      <c r="J1542"/>
      <c r="K1542"/>
      <c r="L1542"/>
      <c r="M1542" s="17"/>
      <c r="N1542"/>
      <c r="O1542"/>
      <c r="P1542" s="34"/>
    </row>
    <row r="1543" spans="1:16" x14ac:dyDescent="0.25">
      <c r="A1543" s="14"/>
      <c r="B1543"/>
      <c r="C1543" s="15"/>
      <c r="D1543"/>
      <c r="E1543"/>
      <c r="F1543" s="16"/>
      <c r="G1543"/>
      <c r="H1543"/>
      <c r="I1543" s="16"/>
      <c r="J1543"/>
      <c r="K1543"/>
      <c r="L1543"/>
      <c r="M1543" s="17"/>
      <c r="N1543"/>
      <c r="O1543"/>
      <c r="P1543" s="34"/>
    </row>
    <row r="1544" spans="1:16" x14ac:dyDescent="0.25">
      <c r="A1544" s="14"/>
      <c r="B1544"/>
      <c r="C1544" s="15"/>
      <c r="D1544"/>
      <c r="E1544"/>
      <c r="F1544" s="16"/>
      <c r="G1544"/>
      <c r="H1544"/>
      <c r="I1544" s="16"/>
      <c r="J1544"/>
      <c r="K1544"/>
      <c r="L1544"/>
      <c r="M1544" s="17"/>
      <c r="N1544"/>
      <c r="O1544"/>
      <c r="P1544" s="34"/>
    </row>
    <row r="1545" spans="1:16" x14ac:dyDescent="0.25">
      <c r="A1545" s="14"/>
      <c r="B1545"/>
      <c r="C1545" s="15"/>
      <c r="D1545"/>
      <c r="E1545"/>
      <c r="F1545" s="16"/>
      <c r="G1545"/>
      <c r="H1545"/>
      <c r="I1545" s="16"/>
      <c r="J1545"/>
      <c r="K1545"/>
      <c r="L1545"/>
      <c r="M1545" s="17"/>
      <c r="N1545"/>
      <c r="O1545"/>
      <c r="P1545" s="34"/>
    </row>
    <row r="1546" spans="1:16" x14ac:dyDescent="0.25">
      <c r="A1546" s="14"/>
      <c r="B1546"/>
      <c r="C1546" s="15"/>
      <c r="D1546"/>
      <c r="E1546"/>
      <c r="F1546" s="16"/>
      <c r="G1546"/>
      <c r="H1546"/>
      <c r="I1546" s="16"/>
      <c r="J1546"/>
      <c r="K1546"/>
      <c r="L1546"/>
      <c r="M1546" s="17"/>
      <c r="N1546"/>
      <c r="O1546"/>
      <c r="P1546" s="34"/>
    </row>
    <row r="1547" spans="1:16" x14ac:dyDescent="0.25">
      <c r="A1547" s="14"/>
      <c r="B1547"/>
      <c r="C1547" s="15"/>
      <c r="D1547"/>
      <c r="E1547"/>
      <c r="F1547" s="16"/>
      <c r="G1547"/>
      <c r="H1547"/>
      <c r="I1547" s="16"/>
      <c r="J1547"/>
      <c r="K1547"/>
      <c r="L1547"/>
      <c r="M1547" s="17"/>
      <c r="N1547"/>
      <c r="O1547"/>
      <c r="P1547" s="34"/>
    </row>
    <row r="1548" spans="1:16" x14ac:dyDescent="0.25">
      <c r="A1548" s="14"/>
      <c r="B1548"/>
      <c r="C1548" s="15"/>
      <c r="D1548"/>
      <c r="E1548"/>
      <c r="F1548" s="16"/>
      <c r="G1548"/>
      <c r="H1548"/>
      <c r="I1548" s="16"/>
      <c r="J1548"/>
      <c r="K1548"/>
      <c r="L1548"/>
      <c r="M1548" s="17"/>
      <c r="N1548"/>
      <c r="O1548"/>
      <c r="P1548" s="34"/>
    </row>
    <row r="1549" spans="1:16" x14ac:dyDescent="0.25">
      <c r="A1549" s="14"/>
      <c r="B1549"/>
      <c r="C1549" s="15"/>
      <c r="D1549"/>
      <c r="E1549"/>
      <c r="F1549" s="16"/>
      <c r="G1549"/>
      <c r="H1549"/>
      <c r="I1549" s="16"/>
      <c r="J1549"/>
      <c r="K1549"/>
      <c r="L1549"/>
      <c r="M1549" s="17"/>
      <c r="N1549"/>
      <c r="O1549"/>
      <c r="P1549" s="34"/>
    </row>
    <row r="1550" spans="1:16" x14ac:dyDescent="0.25">
      <c r="A1550" s="14"/>
      <c r="B1550"/>
      <c r="C1550" s="15"/>
      <c r="D1550"/>
      <c r="E1550"/>
      <c r="F1550" s="16"/>
      <c r="G1550"/>
      <c r="H1550"/>
      <c r="I1550" s="16"/>
      <c r="J1550"/>
      <c r="K1550"/>
      <c r="L1550"/>
      <c r="M1550" s="17"/>
      <c r="N1550"/>
      <c r="O1550"/>
      <c r="P1550" s="34"/>
    </row>
    <row r="1551" spans="1:16" x14ac:dyDescent="0.25">
      <c r="A1551" s="14"/>
      <c r="B1551"/>
      <c r="C1551" s="15"/>
      <c r="D1551"/>
      <c r="E1551"/>
      <c r="F1551" s="16"/>
      <c r="G1551"/>
      <c r="H1551"/>
      <c r="I1551" s="16"/>
      <c r="J1551"/>
      <c r="K1551"/>
      <c r="L1551"/>
      <c r="M1551" s="17"/>
      <c r="N1551"/>
      <c r="O1551"/>
      <c r="P1551" s="34"/>
    </row>
    <row r="1552" spans="1:16" x14ac:dyDescent="0.25">
      <c r="A1552" s="14"/>
      <c r="B1552"/>
      <c r="C1552" s="15"/>
      <c r="D1552"/>
      <c r="E1552"/>
      <c r="F1552" s="16"/>
      <c r="G1552"/>
      <c r="H1552"/>
      <c r="I1552" s="16"/>
      <c r="J1552"/>
      <c r="K1552"/>
      <c r="L1552"/>
      <c r="M1552" s="17"/>
      <c r="N1552"/>
      <c r="O1552"/>
      <c r="P1552" s="34"/>
    </row>
    <row r="1553" spans="1:16" x14ac:dyDescent="0.25">
      <c r="A1553" s="14"/>
      <c r="B1553"/>
      <c r="C1553" s="15"/>
      <c r="D1553"/>
      <c r="E1553"/>
      <c r="F1553" s="16"/>
      <c r="G1553"/>
      <c r="H1553"/>
      <c r="I1553" s="16"/>
      <c r="J1553"/>
      <c r="K1553"/>
      <c r="L1553"/>
      <c r="M1553" s="17"/>
      <c r="N1553"/>
      <c r="O1553"/>
      <c r="P1553" s="34"/>
    </row>
    <row r="1554" spans="1:16" x14ac:dyDescent="0.25">
      <c r="A1554" s="14"/>
      <c r="B1554"/>
      <c r="C1554" s="15"/>
      <c r="D1554"/>
      <c r="E1554"/>
      <c r="F1554" s="16"/>
      <c r="G1554"/>
      <c r="H1554"/>
      <c r="I1554" s="16"/>
      <c r="J1554"/>
      <c r="K1554"/>
      <c r="L1554"/>
      <c r="M1554" s="17"/>
      <c r="N1554"/>
      <c r="O1554"/>
      <c r="P1554" s="34"/>
    </row>
    <row r="1555" spans="1:16" x14ac:dyDescent="0.25">
      <c r="A1555" s="14"/>
      <c r="B1555"/>
      <c r="C1555" s="15"/>
      <c r="D1555"/>
      <c r="E1555"/>
      <c r="F1555" s="16"/>
      <c r="G1555"/>
      <c r="H1555"/>
      <c r="I1555" s="16"/>
      <c r="J1555"/>
      <c r="K1555"/>
      <c r="L1555"/>
      <c r="M1555" s="17"/>
      <c r="N1555"/>
      <c r="O1555"/>
      <c r="P1555" s="34"/>
    </row>
    <row r="1556" spans="1:16" x14ac:dyDescent="0.25">
      <c r="A1556" s="14"/>
      <c r="B1556"/>
      <c r="C1556" s="15"/>
      <c r="D1556"/>
      <c r="E1556"/>
      <c r="F1556" s="16"/>
      <c r="G1556"/>
      <c r="H1556"/>
      <c r="I1556" s="16"/>
      <c r="J1556"/>
      <c r="K1556"/>
      <c r="L1556"/>
      <c r="M1556" s="17"/>
      <c r="N1556"/>
      <c r="O1556"/>
      <c r="P1556" s="34"/>
    </row>
    <row r="1557" spans="1:16" x14ac:dyDescent="0.25">
      <c r="A1557" s="14"/>
      <c r="B1557"/>
      <c r="C1557" s="15"/>
      <c r="D1557"/>
      <c r="E1557"/>
      <c r="F1557" s="16"/>
      <c r="G1557"/>
      <c r="H1557"/>
      <c r="I1557" s="16"/>
      <c r="J1557"/>
      <c r="K1557"/>
      <c r="L1557"/>
      <c r="M1557" s="17"/>
      <c r="N1557"/>
      <c r="O1557"/>
      <c r="P1557" s="34"/>
    </row>
    <row r="1558" spans="1:16" x14ac:dyDescent="0.25">
      <c r="A1558" s="14"/>
      <c r="B1558"/>
      <c r="C1558" s="15"/>
      <c r="D1558"/>
      <c r="E1558"/>
      <c r="F1558" s="16"/>
      <c r="G1558"/>
      <c r="H1558"/>
      <c r="I1558" s="16"/>
      <c r="J1558"/>
      <c r="K1558"/>
      <c r="L1558"/>
      <c r="M1558" s="17"/>
      <c r="N1558"/>
      <c r="O1558"/>
      <c r="P1558" s="34"/>
    </row>
    <row r="1559" spans="1:16" x14ac:dyDescent="0.25">
      <c r="A1559" s="14"/>
      <c r="B1559"/>
      <c r="C1559" s="15"/>
      <c r="D1559"/>
      <c r="E1559"/>
      <c r="F1559" s="16"/>
      <c r="G1559"/>
      <c r="H1559"/>
      <c r="I1559" s="16"/>
      <c r="J1559"/>
      <c r="K1559"/>
      <c r="L1559"/>
      <c r="M1559" s="17"/>
      <c r="N1559"/>
      <c r="O1559"/>
      <c r="P1559" s="34"/>
    </row>
    <row r="1560" spans="1:16" x14ac:dyDescent="0.25">
      <c r="A1560" s="14"/>
      <c r="B1560"/>
      <c r="C1560" s="15"/>
      <c r="D1560"/>
      <c r="E1560"/>
      <c r="F1560" s="16"/>
      <c r="G1560"/>
      <c r="H1560"/>
      <c r="I1560" s="16"/>
      <c r="J1560"/>
      <c r="K1560"/>
      <c r="L1560"/>
      <c r="M1560" s="17"/>
      <c r="N1560"/>
      <c r="O1560"/>
      <c r="P1560" s="34"/>
    </row>
    <row r="1561" spans="1:16" x14ac:dyDescent="0.25">
      <c r="A1561" s="14"/>
      <c r="B1561"/>
      <c r="C1561" s="15"/>
      <c r="D1561"/>
      <c r="E1561"/>
      <c r="F1561" s="16"/>
      <c r="G1561"/>
      <c r="H1561"/>
      <c r="I1561" s="16"/>
      <c r="J1561"/>
      <c r="K1561"/>
      <c r="L1561"/>
      <c r="M1561" s="17"/>
      <c r="N1561"/>
      <c r="O1561"/>
      <c r="P1561" s="34"/>
    </row>
    <row r="1562" spans="1:16" x14ac:dyDescent="0.25">
      <c r="A1562" s="14"/>
      <c r="B1562"/>
      <c r="C1562" s="15"/>
      <c r="D1562"/>
      <c r="E1562"/>
      <c r="F1562" s="16"/>
      <c r="G1562"/>
      <c r="H1562"/>
      <c r="I1562" s="16"/>
      <c r="J1562"/>
      <c r="K1562"/>
      <c r="L1562"/>
      <c r="M1562" s="17"/>
      <c r="N1562"/>
      <c r="O1562"/>
      <c r="P1562" s="34"/>
    </row>
    <row r="1563" spans="1:16" x14ac:dyDescent="0.25">
      <c r="A1563" s="14"/>
      <c r="B1563"/>
      <c r="C1563" s="15"/>
      <c r="D1563"/>
      <c r="E1563"/>
      <c r="F1563" s="16"/>
      <c r="G1563"/>
      <c r="H1563"/>
      <c r="I1563" s="16"/>
      <c r="J1563"/>
      <c r="K1563"/>
      <c r="L1563"/>
      <c r="M1563" s="17"/>
      <c r="N1563"/>
      <c r="O1563"/>
      <c r="P1563" s="34"/>
    </row>
    <row r="1564" spans="1:16" x14ac:dyDescent="0.25">
      <c r="A1564" s="14"/>
      <c r="B1564"/>
      <c r="C1564" s="15"/>
      <c r="D1564"/>
      <c r="E1564"/>
      <c r="F1564" s="16"/>
      <c r="G1564"/>
      <c r="H1564"/>
      <c r="I1564" s="16"/>
      <c r="J1564"/>
      <c r="K1564"/>
      <c r="L1564"/>
      <c r="M1564" s="17"/>
      <c r="N1564"/>
      <c r="O1564"/>
      <c r="P1564" s="34"/>
    </row>
    <row r="1565" spans="1:16" x14ac:dyDescent="0.25">
      <c r="A1565" s="14"/>
      <c r="B1565"/>
      <c r="C1565" s="15"/>
      <c r="D1565"/>
      <c r="E1565"/>
      <c r="F1565" s="16"/>
      <c r="G1565"/>
      <c r="H1565"/>
      <c r="I1565" s="16"/>
      <c r="J1565"/>
      <c r="K1565"/>
      <c r="L1565"/>
      <c r="M1565" s="17"/>
      <c r="N1565"/>
      <c r="O1565"/>
      <c r="P1565" s="34"/>
    </row>
    <row r="1566" spans="1:16" x14ac:dyDescent="0.25">
      <c r="A1566" s="14"/>
      <c r="B1566"/>
      <c r="C1566" s="15"/>
      <c r="D1566"/>
      <c r="E1566"/>
      <c r="F1566" s="16"/>
      <c r="G1566"/>
      <c r="H1566"/>
      <c r="I1566" s="16"/>
      <c r="J1566"/>
      <c r="K1566"/>
      <c r="L1566"/>
      <c r="M1566" s="17"/>
      <c r="N1566"/>
      <c r="O1566"/>
      <c r="P1566" s="34"/>
    </row>
    <row r="1567" spans="1:16" x14ac:dyDescent="0.25">
      <c r="A1567" s="14"/>
      <c r="B1567"/>
      <c r="C1567" s="15"/>
      <c r="D1567"/>
      <c r="E1567"/>
      <c r="F1567" s="16"/>
      <c r="G1567"/>
      <c r="H1567"/>
      <c r="I1567" s="16"/>
      <c r="J1567"/>
      <c r="K1567"/>
      <c r="L1567"/>
      <c r="M1567" s="17"/>
      <c r="N1567"/>
      <c r="O1567"/>
      <c r="P1567" s="34"/>
    </row>
    <row r="1568" spans="1:16" x14ac:dyDescent="0.25">
      <c r="A1568" s="14"/>
      <c r="B1568"/>
      <c r="C1568" s="15"/>
      <c r="D1568"/>
      <c r="E1568"/>
      <c r="F1568" s="16"/>
      <c r="G1568"/>
      <c r="H1568"/>
      <c r="I1568" s="16"/>
      <c r="J1568"/>
      <c r="K1568"/>
      <c r="L1568"/>
      <c r="M1568" s="17"/>
      <c r="N1568"/>
      <c r="O1568"/>
      <c r="P1568" s="34"/>
    </row>
    <row r="1569" spans="1:16" x14ac:dyDescent="0.25">
      <c r="A1569" s="14"/>
      <c r="B1569"/>
      <c r="C1569" s="15"/>
      <c r="D1569"/>
      <c r="E1569"/>
      <c r="F1569" s="16"/>
      <c r="G1569"/>
      <c r="H1569"/>
      <c r="I1569" s="16"/>
      <c r="J1569"/>
      <c r="K1569"/>
      <c r="L1569"/>
      <c r="M1569" s="17"/>
      <c r="N1569"/>
      <c r="O1569"/>
      <c r="P1569" s="34"/>
    </row>
    <row r="1570" spans="1:16" x14ac:dyDescent="0.25">
      <c r="A1570" s="14"/>
      <c r="B1570"/>
      <c r="C1570" s="15"/>
      <c r="D1570"/>
      <c r="E1570"/>
      <c r="F1570" s="16"/>
      <c r="G1570"/>
      <c r="H1570"/>
      <c r="I1570" s="16"/>
      <c r="J1570"/>
      <c r="K1570"/>
      <c r="L1570"/>
      <c r="M1570" s="17"/>
      <c r="N1570"/>
      <c r="O1570"/>
      <c r="P1570" s="34"/>
    </row>
    <row r="1571" spans="1:16" x14ac:dyDescent="0.25">
      <c r="A1571" s="14"/>
      <c r="B1571"/>
      <c r="C1571" s="15"/>
      <c r="D1571"/>
      <c r="E1571"/>
      <c r="F1571" s="16"/>
      <c r="G1571"/>
      <c r="H1571"/>
      <c r="I1571" s="16"/>
      <c r="J1571"/>
      <c r="K1571"/>
      <c r="L1571"/>
      <c r="M1571" s="17"/>
      <c r="N1571"/>
      <c r="O1571"/>
      <c r="P1571" s="34"/>
    </row>
    <row r="1572" spans="1:16" x14ac:dyDescent="0.25">
      <c r="A1572" s="14"/>
      <c r="B1572"/>
      <c r="C1572" s="15"/>
      <c r="D1572"/>
      <c r="E1572"/>
      <c r="F1572" s="16"/>
      <c r="G1572"/>
      <c r="H1572"/>
      <c r="I1572" s="16"/>
      <c r="J1572"/>
      <c r="K1572"/>
      <c r="L1572"/>
      <c r="M1572" s="17"/>
      <c r="N1572"/>
      <c r="O1572"/>
      <c r="P1572" s="34"/>
    </row>
    <row r="1573" spans="1:16" x14ac:dyDescent="0.25">
      <c r="A1573" s="14"/>
      <c r="B1573"/>
      <c r="C1573" s="15"/>
      <c r="D1573"/>
      <c r="E1573"/>
      <c r="F1573" s="16"/>
      <c r="G1573"/>
      <c r="H1573"/>
      <c r="I1573" s="16"/>
      <c r="J1573"/>
      <c r="K1573"/>
      <c r="L1573"/>
      <c r="M1573" s="17"/>
      <c r="N1573"/>
      <c r="O1573"/>
      <c r="P1573" s="34"/>
    </row>
    <row r="1574" spans="1:16" x14ac:dyDescent="0.25">
      <c r="A1574" s="14"/>
      <c r="B1574"/>
      <c r="C1574" s="15"/>
      <c r="D1574"/>
      <c r="E1574"/>
      <c r="F1574" s="16"/>
      <c r="G1574"/>
      <c r="H1574"/>
      <c r="I1574" s="16"/>
      <c r="J1574"/>
      <c r="K1574"/>
      <c r="L1574"/>
      <c r="M1574" s="17"/>
      <c r="N1574"/>
      <c r="O1574"/>
      <c r="P1574" s="34"/>
    </row>
    <row r="1575" spans="1:16" x14ac:dyDescent="0.25">
      <c r="A1575" s="14"/>
      <c r="B1575"/>
      <c r="C1575" s="15"/>
      <c r="D1575"/>
      <c r="E1575"/>
      <c r="F1575" s="16"/>
      <c r="G1575"/>
      <c r="H1575"/>
      <c r="I1575" s="16"/>
      <c r="J1575"/>
      <c r="K1575"/>
      <c r="L1575"/>
      <c r="M1575" s="17"/>
      <c r="N1575"/>
      <c r="O1575"/>
      <c r="P1575" s="34"/>
    </row>
    <row r="1576" spans="1:16" x14ac:dyDescent="0.25">
      <c r="A1576" s="14"/>
      <c r="B1576"/>
      <c r="C1576" s="15"/>
      <c r="D1576"/>
      <c r="E1576"/>
      <c r="F1576" s="16"/>
      <c r="G1576"/>
      <c r="H1576"/>
      <c r="I1576" s="16"/>
      <c r="J1576"/>
      <c r="K1576"/>
      <c r="L1576"/>
      <c r="M1576" s="17"/>
      <c r="N1576"/>
      <c r="O1576"/>
      <c r="P1576" s="34"/>
    </row>
    <row r="1577" spans="1:16" x14ac:dyDescent="0.25">
      <c r="A1577" s="14"/>
      <c r="B1577"/>
      <c r="C1577" s="15"/>
      <c r="D1577"/>
      <c r="E1577"/>
      <c r="F1577" s="16"/>
      <c r="G1577"/>
      <c r="H1577"/>
      <c r="I1577" s="16"/>
      <c r="J1577"/>
      <c r="K1577"/>
      <c r="L1577"/>
      <c r="M1577" s="17"/>
      <c r="N1577"/>
      <c r="O1577"/>
      <c r="P1577" s="34"/>
    </row>
    <row r="1578" spans="1:16" x14ac:dyDescent="0.25">
      <c r="A1578" s="14"/>
      <c r="B1578"/>
      <c r="C1578" s="15"/>
      <c r="D1578"/>
      <c r="E1578"/>
      <c r="F1578" s="16"/>
      <c r="G1578"/>
      <c r="H1578"/>
      <c r="I1578" s="16"/>
      <c r="J1578"/>
      <c r="K1578"/>
      <c r="L1578"/>
      <c r="M1578" s="17"/>
      <c r="N1578"/>
      <c r="O1578"/>
      <c r="P1578" s="34"/>
    </row>
    <row r="1579" spans="1:16" x14ac:dyDescent="0.25">
      <c r="A1579" s="14"/>
      <c r="B1579"/>
      <c r="C1579" s="15"/>
      <c r="D1579"/>
      <c r="E1579"/>
      <c r="F1579" s="16"/>
      <c r="G1579"/>
      <c r="H1579"/>
      <c r="I1579" s="16"/>
      <c r="J1579"/>
      <c r="K1579"/>
      <c r="L1579"/>
      <c r="M1579" s="17"/>
      <c r="N1579"/>
      <c r="O1579"/>
      <c r="P1579" s="34"/>
    </row>
    <row r="1580" spans="1:16" x14ac:dyDescent="0.25">
      <c r="A1580" s="14"/>
      <c r="B1580"/>
      <c r="C1580" s="15"/>
      <c r="D1580"/>
      <c r="E1580"/>
      <c r="F1580" s="16"/>
      <c r="G1580"/>
      <c r="H1580"/>
      <c r="I1580" s="16"/>
      <c r="J1580"/>
      <c r="K1580"/>
      <c r="L1580"/>
      <c r="M1580" s="17"/>
      <c r="N1580"/>
      <c r="O1580"/>
      <c r="P1580" s="34"/>
    </row>
    <row r="1581" spans="1:16" x14ac:dyDescent="0.25">
      <c r="A1581" s="14"/>
      <c r="B1581"/>
      <c r="C1581" s="15"/>
      <c r="D1581"/>
      <c r="E1581"/>
      <c r="F1581" s="16"/>
      <c r="G1581"/>
      <c r="H1581"/>
      <c r="I1581" s="16"/>
      <c r="J1581"/>
      <c r="K1581"/>
      <c r="L1581"/>
      <c r="M1581" s="17"/>
      <c r="N1581"/>
      <c r="O1581"/>
      <c r="P1581" s="34"/>
    </row>
    <row r="1582" spans="1:16" x14ac:dyDescent="0.25">
      <c r="A1582" s="14"/>
      <c r="B1582"/>
      <c r="C1582" s="15"/>
      <c r="D1582"/>
      <c r="E1582"/>
      <c r="F1582" s="16"/>
      <c r="G1582"/>
      <c r="H1582"/>
      <c r="I1582" s="16"/>
      <c r="J1582"/>
      <c r="K1582"/>
      <c r="L1582"/>
      <c r="M1582" s="17"/>
      <c r="N1582"/>
      <c r="O1582"/>
      <c r="P1582" s="34"/>
    </row>
    <row r="1583" spans="1:16" x14ac:dyDescent="0.25">
      <c r="A1583" s="14"/>
      <c r="B1583"/>
      <c r="C1583" s="15"/>
      <c r="D1583"/>
      <c r="E1583"/>
      <c r="F1583" s="16"/>
      <c r="G1583"/>
      <c r="H1583"/>
      <c r="I1583" s="16"/>
      <c r="J1583"/>
      <c r="K1583"/>
      <c r="L1583"/>
      <c r="M1583" s="17"/>
      <c r="N1583"/>
      <c r="O1583"/>
      <c r="P1583" s="34"/>
    </row>
    <row r="1584" spans="1:16" x14ac:dyDescent="0.25">
      <c r="A1584" s="14"/>
      <c r="B1584"/>
      <c r="C1584" s="15"/>
      <c r="D1584"/>
      <c r="E1584"/>
      <c r="F1584" s="16"/>
      <c r="G1584"/>
      <c r="H1584"/>
      <c r="I1584" s="16"/>
      <c r="J1584"/>
      <c r="K1584"/>
      <c r="L1584"/>
      <c r="M1584" s="17"/>
      <c r="N1584"/>
      <c r="O1584"/>
      <c r="P1584" s="34"/>
    </row>
    <row r="1585" spans="1:16" x14ac:dyDescent="0.25">
      <c r="A1585" s="14"/>
      <c r="B1585"/>
      <c r="C1585" s="15"/>
      <c r="D1585"/>
      <c r="E1585"/>
      <c r="F1585" s="16"/>
      <c r="G1585"/>
      <c r="H1585"/>
      <c r="I1585" s="16"/>
      <c r="J1585"/>
      <c r="K1585"/>
      <c r="L1585"/>
      <c r="M1585" s="17"/>
      <c r="N1585"/>
      <c r="O1585"/>
      <c r="P1585" s="34"/>
    </row>
    <row r="1586" spans="1:16" x14ac:dyDescent="0.25">
      <c r="A1586" s="14"/>
      <c r="B1586"/>
      <c r="C1586" s="15"/>
      <c r="D1586"/>
      <c r="E1586"/>
      <c r="F1586" s="16"/>
      <c r="G1586"/>
      <c r="H1586"/>
      <c r="I1586" s="16"/>
      <c r="J1586"/>
      <c r="K1586"/>
      <c r="L1586"/>
      <c r="M1586" s="17"/>
      <c r="N1586"/>
      <c r="O1586"/>
      <c r="P1586" s="34"/>
    </row>
    <row r="1587" spans="1:16" x14ac:dyDescent="0.25">
      <c r="A1587" s="14"/>
      <c r="B1587"/>
      <c r="C1587" s="15"/>
      <c r="D1587"/>
      <c r="E1587"/>
      <c r="F1587" s="16"/>
      <c r="G1587"/>
      <c r="H1587"/>
      <c r="I1587" s="16"/>
      <c r="J1587"/>
      <c r="K1587"/>
      <c r="L1587"/>
      <c r="M1587" s="17"/>
      <c r="N1587"/>
      <c r="O1587"/>
      <c r="P1587" s="34"/>
    </row>
    <row r="1588" spans="1:16" x14ac:dyDescent="0.25">
      <c r="A1588" s="14"/>
      <c r="B1588"/>
      <c r="C1588" s="15"/>
      <c r="D1588"/>
      <c r="E1588"/>
      <c r="F1588" s="16"/>
      <c r="G1588"/>
      <c r="H1588"/>
      <c r="I1588" s="16"/>
      <c r="J1588"/>
      <c r="K1588"/>
      <c r="L1588"/>
      <c r="M1588" s="17"/>
      <c r="N1588"/>
      <c r="O1588"/>
      <c r="P1588" s="34"/>
    </row>
    <row r="1589" spans="1:16" x14ac:dyDescent="0.25">
      <c r="A1589" s="14"/>
      <c r="B1589"/>
      <c r="C1589" s="15"/>
      <c r="D1589"/>
      <c r="E1589"/>
      <c r="F1589" s="16"/>
      <c r="G1589"/>
      <c r="H1589"/>
      <c r="I1589" s="16"/>
      <c r="J1589"/>
      <c r="K1589"/>
      <c r="L1589"/>
      <c r="M1589" s="17"/>
      <c r="N1589"/>
      <c r="O1589"/>
      <c r="P1589" s="34"/>
    </row>
    <row r="1590" spans="1:16" x14ac:dyDescent="0.25">
      <c r="A1590" s="14"/>
      <c r="B1590"/>
      <c r="C1590" s="15"/>
      <c r="D1590"/>
      <c r="E1590"/>
      <c r="F1590" s="16"/>
      <c r="G1590"/>
      <c r="H1590"/>
      <c r="I1590" s="16"/>
      <c r="J1590"/>
      <c r="K1590"/>
      <c r="L1590"/>
      <c r="M1590" s="17"/>
      <c r="N1590"/>
      <c r="O1590"/>
      <c r="P1590" s="34"/>
    </row>
    <row r="1591" spans="1:16" x14ac:dyDescent="0.25">
      <c r="A1591" s="14"/>
      <c r="B1591"/>
      <c r="C1591" s="15"/>
      <c r="D1591"/>
      <c r="E1591"/>
      <c r="F1591" s="16"/>
      <c r="G1591"/>
      <c r="H1591"/>
      <c r="I1591" s="16"/>
      <c r="J1591"/>
      <c r="K1591"/>
      <c r="L1591"/>
      <c r="M1591" s="17"/>
      <c r="N1591"/>
      <c r="O1591"/>
      <c r="P1591" s="34"/>
    </row>
    <row r="1592" spans="1:16" x14ac:dyDescent="0.25">
      <c r="A1592" s="14"/>
      <c r="B1592"/>
      <c r="C1592" s="15"/>
      <c r="D1592"/>
      <c r="E1592"/>
      <c r="F1592" s="16"/>
      <c r="G1592"/>
      <c r="H1592"/>
      <c r="I1592" s="16"/>
      <c r="J1592"/>
      <c r="K1592"/>
      <c r="L1592"/>
      <c r="M1592" s="17"/>
      <c r="N1592"/>
      <c r="O1592"/>
      <c r="P1592" s="34"/>
    </row>
    <row r="1593" spans="1:16" x14ac:dyDescent="0.25">
      <c r="A1593" s="14"/>
      <c r="B1593"/>
      <c r="C1593" s="15"/>
      <c r="D1593"/>
      <c r="E1593"/>
      <c r="F1593" s="16"/>
      <c r="G1593"/>
      <c r="H1593"/>
      <c r="I1593" s="16"/>
      <c r="J1593"/>
      <c r="K1593"/>
      <c r="L1593"/>
      <c r="M1593" s="17"/>
      <c r="N1593"/>
      <c r="O1593"/>
      <c r="P1593" s="34"/>
    </row>
    <row r="1594" spans="1:16" x14ac:dyDescent="0.25">
      <c r="A1594" s="14"/>
      <c r="B1594"/>
      <c r="C1594" s="15"/>
      <c r="D1594"/>
      <c r="E1594"/>
      <c r="F1594" s="16"/>
      <c r="G1594"/>
      <c r="H1594"/>
      <c r="I1594" s="16"/>
      <c r="J1594"/>
      <c r="K1594"/>
      <c r="L1594"/>
      <c r="M1594" s="17"/>
      <c r="N1594"/>
      <c r="O1594"/>
      <c r="P1594" s="34"/>
    </row>
    <row r="1595" spans="1:16" x14ac:dyDescent="0.25">
      <c r="A1595" s="14"/>
      <c r="B1595"/>
      <c r="C1595" s="15"/>
      <c r="D1595"/>
      <c r="E1595"/>
      <c r="F1595" s="16"/>
      <c r="G1595"/>
      <c r="H1595"/>
      <c r="I1595" s="16"/>
      <c r="J1595"/>
      <c r="K1595"/>
      <c r="L1595"/>
      <c r="M1595" s="17"/>
      <c r="N1595"/>
      <c r="O1595"/>
      <c r="P1595" s="34"/>
    </row>
    <row r="1596" spans="1:16" x14ac:dyDescent="0.25">
      <c r="A1596" s="14"/>
      <c r="B1596"/>
      <c r="C1596" s="15"/>
      <c r="D1596"/>
      <c r="E1596"/>
      <c r="F1596" s="16"/>
      <c r="G1596"/>
      <c r="H1596"/>
      <c r="I1596" s="16"/>
      <c r="J1596"/>
      <c r="K1596"/>
      <c r="L1596"/>
      <c r="M1596" s="17"/>
      <c r="N1596"/>
      <c r="O1596"/>
      <c r="P1596" s="34"/>
    </row>
    <row r="1597" spans="1:16" x14ac:dyDescent="0.25">
      <c r="A1597" s="14"/>
      <c r="B1597"/>
      <c r="C1597" s="15"/>
      <c r="D1597"/>
      <c r="E1597"/>
      <c r="F1597" s="16"/>
      <c r="G1597"/>
      <c r="H1597"/>
      <c r="I1597" s="16"/>
      <c r="J1597"/>
      <c r="K1597"/>
      <c r="L1597"/>
      <c r="M1597" s="17"/>
      <c r="N1597"/>
      <c r="O1597"/>
      <c r="P1597" s="34"/>
    </row>
    <row r="1598" spans="1:16" x14ac:dyDescent="0.25">
      <c r="A1598" s="14"/>
      <c r="B1598"/>
      <c r="C1598" s="15"/>
      <c r="D1598"/>
      <c r="E1598"/>
      <c r="F1598" s="16"/>
      <c r="G1598"/>
      <c r="H1598"/>
      <c r="I1598" s="16"/>
      <c r="J1598"/>
      <c r="K1598"/>
      <c r="L1598"/>
      <c r="M1598" s="17"/>
      <c r="N1598"/>
      <c r="O1598"/>
      <c r="P1598" s="34"/>
    </row>
    <row r="1599" spans="1:16" x14ac:dyDescent="0.25">
      <c r="A1599" s="14"/>
      <c r="B1599"/>
      <c r="C1599" s="15"/>
      <c r="D1599"/>
      <c r="E1599"/>
      <c r="F1599" s="16"/>
      <c r="G1599"/>
      <c r="H1599"/>
      <c r="I1599" s="16"/>
      <c r="J1599"/>
      <c r="K1599"/>
      <c r="L1599"/>
      <c r="M1599" s="17"/>
      <c r="N1599"/>
      <c r="O1599"/>
      <c r="P1599" s="34"/>
    </row>
    <row r="1600" spans="1:16" x14ac:dyDescent="0.25">
      <c r="A1600" s="14"/>
      <c r="B1600"/>
      <c r="C1600" s="15"/>
      <c r="D1600"/>
      <c r="E1600"/>
      <c r="F1600" s="16"/>
      <c r="G1600"/>
      <c r="H1600"/>
      <c r="I1600" s="16"/>
      <c r="J1600"/>
      <c r="K1600"/>
      <c r="L1600"/>
      <c r="M1600" s="17"/>
      <c r="N1600"/>
      <c r="O1600"/>
      <c r="P1600" s="34"/>
    </row>
    <row r="1601" spans="1:16" x14ac:dyDescent="0.25">
      <c r="A1601" s="14"/>
      <c r="B1601"/>
      <c r="C1601" s="15"/>
      <c r="D1601"/>
      <c r="E1601"/>
      <c r="F1601" s="16"/>
      <c r="G1601"/>
      <c r="H1601"/>
      <c r="I1601" s="16"/>
      <c r="J1601"/>
      <c r="K1601"/>
      <c r="L1601"/>
      <c r="M1601" s="17"/>
      <c r="N1601"/>
      <c r="O1601"/>
      <c r="P1601" s="34"/>
    </row>
    <row r="1602" spans="1:16" x14ac:dyDescent="0.25">
      <c r="A1602" s="14"/>
      <c r="B1602"/>
      <c r="C1602" s="15"/>
      <c r="D1602"/>
      <c r="E1602"/>
      <c r="F1602" s="16"/>
      <c r="G1602"/>
      <c r="H1602"/>
      <c r="I1602" s="16"/>
      <c r="J1602"/>
      <c r="K1602"/>
      <c r="L1602"/>
      <c r="M1602" s="17"/>
      <c r="N1602"/>
      <c r="O1602"/>
      <c r="P1602" s="34"/>
    </row>
    <row r="1603" spans="1:16" x14ac:dyDescent="0.25">
      <c r="A1603" s="14"/>
      <c r="B1603"/>
      <c r="C1603" s="15"/>
      <c r="D1603"/>
      <c r="E1603"/>
      <c r="F1603" s="16"/>
      <c r="G1603"/>
      <c r="H1603"/>
      <c r="I1603" s="16"/>
      <c r="J1603"/>
      <c r="K1603"/>
      <c r="L1603"/>
      <c r="M1603" s="17"/>
      <c r="N1603"/>
      <c r="O1603"/>
      <c r="P1603" s="34"/>
    </row>
    <row r="1604" spans="1:16" x14ac:dyDescent="0.25">
      <c r="A1604" s="14"/>
      <c r="B1604"/>
      <c r="C1604" s="15"/>
      <c r="D1604"/>
      <c r="E1604"/>
      <c r="F1604" s="16"/>
      <c r="G1604"/>
      <c r="H1604"/>
      <c r="I1604" s="16"/>
      <c r="J1604"/>
      <c r="K1604"/>
      <c r="L1604"/>
      <c r="M1604" s="17"/>
      <c r="N1604"/>
      <c r="O1604"/>
      <c r="P1604" s="34"/>
    </row>
    <row r="1605" spans="1:16" x14ac:dyDescent="0.25">
      <c r="A1605" s="14"/>
      <c r="B1605"/>
      <c r="C1605" s="15"/>
      <c r="D1605"/>
      <c r="E1605"/>
      <c r="F1605" s="16"/>
      <c r="G1605"/>
      <c r="H1605"/>
      <c r="I1605" s="16"/>
      <c r="J1605"/>
      <c r="K1605"/>
      <c r="L1605"/>
      <c r="M1605" s="17"/>
      <c r="N1605"/>
      <c r="O1605"/>
      <c r="P1605" s="34"/>
    </row>
    <row r="1606" spans="1:16" x14ac:dyDescent="0.25">
      <c r="A1606" s="14"/>
      <c r="B1606"/>
      <c r="C1606" s="15"/>
      <c r="D1606"/>
      <c r="E1606"/>
      <c r="F1606" s="16"/>
      <c r="G1606"/>
      <c r="H1606"/>
      <c r="I1606" s="16"/>
      <c r="J1606"/>
      <c r="K1606"/>
      <c r="L1606"/>
      <c r="M1606" s="17"/>
      <c r="N1606"/>
      <c r="O1606"/>
      <c r="P1606" s="34"/>
    </row>
    <row r="1607" spans="1:16" x14ac:dyDescent="0.25">
      <c r="A1607" s="14"/>
      <c r="B1607"/>
      <c r="C1607" s="15"/>
      <c r="D1607"/>
      <c r="E1607"/>
      <c r="F1607" s="16"/>
      <c r="G1607"/>
      <c r="H1607"/>
      <c r="I1607" s="16"/>
      <c r="J1607"/>
      <c r="K1607"/>
      <c r="L1607"/>
      <c r="M1607" s="17"/>
      <c r="N1607"/>
      <c r="O1607"/>
      <c r="P1607" s="34"/>
    </row>
    <row r="1608" spans="1:16" x14ac:dyDescent="0.25">
      <c r="A1608" s="14"/>
      <c r="B1608"/>
      <c r="C1608" s="15"/>
      <c r="D1608"/>
      <c r="E1608"/>
      <c r="F1608" s="16"/>
      <c r="G1608"/>
      <c r="H1608"/>
      <c r="I1608" s="16"/>
      <c r="J1608"/>
      <c r="K1608"/>
      <c r="L1608"/>
      <c r="M1608" s="17"/>
      <c r="N1608"/>
      <c r="O1608"/>
      <c r="P1608" s="34"/>
    </row>
    <row r="1609" spans="1:16" x14ac:dyDescent="0.25">
      <c r="A1609" s="14"/>
      <c r="B1609"/>
      <c r="C1609" s="15"/>
      <c r="D1609"/>
      <c r="E1609"/>
      <c r="F1609" s="16"/>
      <c r="G1609"/>
      <c r="H1609"/>
      <c r="I1609" s="16"/>
      <c r="J1609"/>
      <c r="K1609"/>
      <c r="L1609"/>
      <c r="M1609" s="17"/>
      <c r="N1609"/>
      <c r="O1609"/>
      <c r="P1609" s="34"/>
    </row>
    <row r="1610" spans="1:16" x14ac:dyDescent="0.25">
      <c r="A1610" s="14"/>
      <c r="B1610"/>
      <c r="C1610" s="15"/>
      <c r="D1610"/>
      <c r="E1610"/>
      <c r="F1610" s="16"/>
      <c r="G1610"/>
      <c r="H1610"/>
      <c r="I1610" s="16"/>
      <c r="J1610"/>
      <c r="K1610"/>
      <c r="L1610"/>
      <c r="M1610" s="17"/>
      <c r="N1610"/>
      <c r="O1610"/>
      <c r="P1610" s="34"/>
    </row>
    <row r="1611" spans="1:16" x14ac:dyDescent="0.25">
      <c r="A1611" s="14"/>
      <c r="B1611"/>
      <c r="C1611" s="15"/>
      <c r="D1611"/>
      <c r="E1611"/>
      <c r="F1611" s="16"/>
      <c r="G1611"/>
      <c r="H1611"/>
      <c r="I1611" s="16"/>
      <c r="J1611"/>
      <c r="K1611"/>
      <c r="L1611"/>
      <c r="M1611" s="17"/>
      <c r="N1611"/>
      <c r="O1611"/>
      <c r="P1611" s="34"/>
    </row>
    <row r="1612" spans="1:16" x14ac:dyDescent="0.25">
      <c r="A1612" s="14"/>
      <c r="B1612"/>
      <c r="C1612" s="15"/>
      <c r="D1612"/>
      <c r="E1612"/>
      <c r="F1612" s="16"/>
      <c r="G1612"/>
      <c r="H1612"/>
      <c r="I1612" s="16"/>
      <c r="J1612"/>
      <c r="K1612"/>
      <c r="L1612"/>
      <c r="M1612" s="17"/>
      <c r="N1612"/>
      <c r="O1612"/>
      <c r="P1612" s="34"/>
    </row>
    <row r="1613" spans="1:16" x14ac:dyDescent="0.25">
      <c r="A1613" s="14"/>
      <c r="B1613"/>
      <c r="C1613" s="15"/>
      <c r="D1613"/>
      <c r="E1613"/>
      <c r="F1613" s="16"/>
      <c r="G1613"/>
      <c r="H1613"/>
      <c r="I1613" s="16"/>
      <c r="J1613"/>
      <c r="K1613"/>
      <c r="L1613"/>
      <c r="M1613" s="17"/>
      <c r="N1613"/>
      <c r="O1613"/>
      <c r="P1613" s="34"/>
    </row>
    <row r="1614" spans="1:16" x14ac:dyDescent="0.25">
      <c r="A1614" s="14"/>
      <c r="B1614"/>
      <c r="C1614" s="15"/>
      <c r="D1614"/>
      <c r="E1614"/>
      <c r="F1614" s="16"/>
      <c r="G1614"/>
      <c r="H1614"/>
      <c r="I1614" s="16"/>
      <c r="J1614"/>
      <c r="K1614"/>
      <c r="L1614"/>
      <c r="M1614" s="17"/>
      <c r="N1614"/>
      <c r="O1614"/>
      <c r="P1614" s="34"/>
    </row>
    <row r="1615" spans="1:16" x14ac:dyDescent="0.25">
      <c r="A1615" s="14"/>
      <c r="B1615"/>
      <c r="C1615" s="15"/>
      <c r="D1615"/>
      <c r="E1615"/>
      <c r="F1615" s="16"/>
      <c r="G1615"/>
      <c r="H1615"/>
      <c r="I1615" s="16"/>
      <c r="J1615"/>
      <c r="K1615"/>
      <c r="L1615"/>
      <c r="M1615" s="17"/>
      <c r="N1615"/>
      <c r="O1615"/>
      <c r="P1615" s="34"/>
    </row>
    <row r="1616" spans="1:16" x14ac:dyDescent="0.25">
      <c r="A1616" s="14"/>
      <c r="B1616"/>
      <c r="C1616" s="15"/>
      <c r="D1616"/>
      <c r="E1616"/>
      <c r="F1616" s="16"/>
      <c r="G1616"/>
      <c r="H1616"/>
      <c r="I1616" s="16"/>
      <c r="J1616"/>
      <c r="K1616"/>
      <c r="L1616"/>
      <c r="M1616" s="17"/>
      <c r="N1616"/>
      <c r="O1616"/>
      <c r="P1616" s="34"/>
    </row>
    <row r="1617" spans="1:16" x14ac:dyDescent="0.25">
      <c r="A1617" s="14"/>
      <c r="B1617"/>
      <c r="C1617" s="15"/>
      <c r="D1617"/>
      <c r="E1617"/>
      <c r="F1617" s="16"/>
      <c r="G1617"/>
      <c r="H1617"/>
      <c r="I1617" s="16"/>
      <c r="J1617"/>
      <c r="K1617"/>
      <c r="L1617"/>
      <c r="M1617" s="17"/>
      <c r="N1617"/>
      <c r="O1617"/>
      <c r="P1617" s="34"/>
    </row>
    <row r="1618" spans="1:16" x14ac:dyDescent="0.25">
      <c r="A1618" s="14"/>
      <c r="B1618"/>
      <c r="C1618" s="15"/>
      <c r="D1618"/>
      <c r="E1618"/>
      <c r="F1618" s="16"/>
      <c r="G1618"/>
      <c r="H1618"/>
      <c r="I1618" s="16"/>
      <c r="J1618"/>
      <c r="K1618"/>
      <c r="L1618"/>
      <c r="M1618" s="17"/>
      <c r="N1618"/>
      <c r="O1618"/>
      <c r="P1618" s="34"/>
    </row>
    <row r="1619" spans="1:16" x14ac:dyDescent="0.25">
      <c r="A1619" s="14"/>
      <c r="B1619"/>
      <c r="C1619" s="15"/>
      <c r="D1619"/>
      <c r="E1619"/>
      <c r="F1619" s="16"/>
      <c r="G1619"/>
      <c r="H1619"/>
      <c r="I1619" s="16"/>
      <c r="J1619"/>
      <c r="K1619"/>
      <c r="L1619"/>
      <c r="M1619" s="17"/>
      <c r="N1619"/>
      <c r="O1619"/>
      <c r="P1619" s="34"/>
    </row>
    <row r="1620" spans="1:16" x14ac:dyDescent="0.25">
      <c r="A1620" s="14"/>
      <c r="B1620"/>
      <c r="C1620" s="15"/>
      <c r="D1620"/>
      <c r="E1620"/>
      <c r="F1620" s="16"/>
      <c r="G1620"/>
      <c r="H1620"/>
      <c r="I1620" s="16"/>
      <c r="J1620"/>
      <c r="K1620"/>
      <c r="L1620"/>
      <c r="M1620" s="17"/>
      <c r="N1620"/>
      <c r="O1620"/>
      <c r="P1620" s="34"/>
    </row>
    <row r="1621" spans="1:16" x14ac:dyDescent="0.25">
      <c r="A1621" s="14"/>
      <c r="B1621"/>
      <c r="C1621" s="15"/>
      <c r="D1621"/>
      <c r="E1621"/>
      <c r="F1621" s="16"/>
      <c r="G1621"/>
      <c r="H1621"/>
      <c r="I1621" s="16"/>
      <c r="J1621"/>
      <c r="K1621"/>
      <c r="L1621"/>
      <c r="M1621" s="17"/>
      <c r="N1621"/>
      <c r="O1621"/>
      <c r="P1621" s="34"/>
    </row>
    <row r="1622" spans="1:16" x14ac:dyDescent="0.25">
      <c r="A1622" s="14"/>
      <c r="B1622"/>
      <c r="C1622" s="15"/>
      <c r="D1622"/>
      <c r="E1622"/>
      <c r="F1622" s="16"/>
      <c r="G1622"/>
      <c r="H1622"/>
      <c r="I1622" s="16"/>
      <c r="J1622"/>
      <c r="K1622"/>
      <c r="L1622"/>
      <c r="M1622" s="17"/>
      <c r="N1622"/>
      <c r="O1622"/>
      <c r="P1622" s="34"/>
    </row>
    <row r="1623" spans="1:16" x14ac:dyDescent="0.25">
      <c r="A1623" s="14"/>
      <c r="B1623"/>
      <c r="C1623" s="15"/>
      <c r="D1623"/>
      <c r="E1623"/>
      <c r="F1623" s="16"/>
      <c r="G1623"/>
      <c r="H1623"/>
      <c r="I1623" s="16"/>
      <c r="J1623"/>
      <c r="K1623"/>
      <c r="L1623"/>
      <c r="M1623" s="17"/>
      <c r="N1623"/>
      <c r="O1623"/>
      <c r="P1623" s="34"/>
    </row>
    <row r="1624" spans="1:16" x14ac:dyDescent="0.25">
      <c r="A1624" s="14"/>
      <c r="B1624"/>
      <c r="C1624" s="15"/>
      <c r="D1624"/>
      <c r="E1624"/>
      <c r="F1624" s="16"/>
      <c r="G1624"/>
      <c r="H1624"/>
      <c r="I1624" s="16"/>
      <c r="J1624"/>
      <c r="K1624"/>
      <c r="L1624"/>
      <c r="M1624" s="17"/>
      <c r="N1624"/>
      <c r="O1624"/>
      <c r="P1624" s="34"/>
    </row>
    <row r="1625" spans="1:16" x14ac:dyDescent="0.25">
      <c r="A1625" s="14"/>
      <c r="B1625"/>
      <c r="C1625" s="15"/>
      <c r="D1625"/>
      <c r="E1625"/>
      <c r="F1625" s="16"/>
      <c r="G1625"/>
      <c r="H1625"/>
      <c r="I1625" s="16"/>
      <c r="J1625"/>
      <c r="K1625"/>
      <c r="L1625"/>
      <c r="M1625" s="17"/>
      <c r="N1625"/>
      <c r="O1625"/>
      <c r="P1625" s="34"/>
    </row>
    <row r="1626" spans="1:16" x14ac:dyDescent="0.25">
      <c r="A1626" s="14"/>
      <c r="B1626"/>
      <c r="C1626" s="15"/>
      <c r="D1626"/>
      <c r="E1626"/>
      <c r="F1626" s="16"/>
      <c r="G1626"/>
      <c r="H1626"/>
      <c r="I1626" s="16"/>
      <c r="J1626"/>
      <c r="K1626"/>
      <c r="L1626"/>
      <c r="M1626" s="17"/>
      <c r="N1626"/>
      <c r="O1626"/>
      <c r="P1626" s="34"/>
    </row>
    <row r="1627" spans="1:16" x14ac:dyDescent="0.25">
      <c r="A1627" s="14"/>
      <c r="B1627"/>
      <c r="C1627" s="15"/>
      <c r="D1627"/>
      <c r="E1627"/>
      <c r="F1627" s="16"/>
      <c r="G1627"/>
      <c r="H1627"/>
      <c r="I1627" s="16"/>
      <c r="J1627"/>
      <c r="K1627"/>
      <c r="L1627"/>
      <c r="M1627" s="17"/>
      <c r="N1627"/>
      <c r="O1627"/>
      <c r="P1627" s="34"/>
    </row>
    <row r="1628" spans="1:16" x14ac:dyDescent="0.25">
      <c r="A1628" s="14"/>
      <c r="B1628"/>
      <c r="C1628" s="15"/>
      <c r="D1628"/>
      <c r="E1628"/>
      <c r="F1628" s="16"/>
      <c r="G1628"/>
      <c r="H1628"/>
      <c r="I1628" s="16"/>
      <c r="J1628"/>
      <c r="K1628"/>
      <c r="L1628"/>
      <c r="M1628" s="17"/>
      <c r="N1628"/>
      <c r="O1628"/>
      <c r="P1628" s="34"/>
    </row>
    <row r="1629" spans="1:16" x14ac:dyDescent="0.25">
      <c r="A1629" s="14"/>
      <c r="B1629"/>
      <c r="C1629" s="15"/>
      <c r="D1629"/>
      <c r="E1629"/>
      <c r="F1629" s="16"/>
      <c r="G1629"/>
      <c r="H1629"/>
      <c r="I1629" s="16"/>
      <c r="J1629"/>
      <c r="K1629"/>
      <c r="L1629"/>
      <c r="M1629" s="17"/>
      <c r="N1629"/>
      <c r="O1629"/>
      <c r="P1629" s="34"/>
    </row>
    <row r="1630" spans="1:16" x14ac:dyDescent="0.25">
      <c r="A1630" s="14"/>
      <c r="B1630"/>
      <c r="C1630" s="15"/>
      <c r="D1630"/>
      <c r="E1630"/>
      <c r="F1630" s="16"/>
      <c r="G1630"/>
      <c r="H1630"/>
      <c r="I1630" s="16"/>
      <c r="J1630"/>
      <c r="K1630"/>
      <c r="L1630"/>
      <c r="M1630" s="17"/>
      <c r="N1630"/>
      <c r="O1630"/>
      <c r="P1630" s="34"/>
    </row>
    <row r="1631" spans="1:16" x14ac:dyDescent="0.25">
      <c r="A1631" s="14"/>
      <c r="B1631"/>
      <c r="C1631" s="15"/>
      <c r="D1631"/>
      <c r="E1631"/>
      <c r="F1631" s="16"/>
      <c r="G1631"/>
      <c r="H1631"/>
      <c r="I1631" s="16"/>
      <c r="J1631"/>
      <c r="K1631"/>
      <c r="L1631"/>
      <c r="M1631" s="17"/>
      <c r="N1631"/>
      <c r="O1631"/>
      <c r="P1631" s="34"/>
    </row>
    <row r="1632" spans="1:16" x14ac:dyDescent="0.25">
      <c r="A1632" s="14"/>
      <c r="B1632"/>
      <c r="C1632" s="15"/>
      <c r="D1632"/>
      <c r="E1632"/>
      <c r="F1632" s="16"/>
      <c r="G1632"/>
      <c r="H1632"/>
      <c r="I1632" s="16"/>
      <c r="J1632"/>
      <c r="K1632"/>
      <c r="L1632"/>
      <c r="M1632" s="17"/>
      <c r="N1632"/>
      <c r="O1632"/>
      <c r="P1632" s="34"/>
    </row>
    <row r="1633" spans="1:16" x14ac:dyDescent="0.25">
      <c r="A1633" s="14"/>
      <c r="B1633"/>
      <c r="C1633" s="15"/>
      <c r="D1633"/>
      <c r="E1633"/>
      <c r="F1633" s="16"/>
      <c r="G1633"/>
      <c r="H1633"/>
      <c r="I1633" s="16"/>
      <c r="J1633"/>
      <c r="K1633"/>
      <c r="L1633"/>
      <c r="M1633" s="17"/>
      <c r="N1633"/>
      <c r="O1633"/>
      <c r="P1633" s="34"/>
    </row>
    <row r="1634" spans="1:16" x14ac:dyDescent="0.25">
      <c r="A1634" s="14"/>
      <c r="B1634"/>
      <c r="C1634" s="15"/>
      <c r="D1634"/>
      <c r="E1634"/>
      <c r="F1634" s="16"/>
      <c r="G1634"/>
      <c r="H1634"/>
      <c r="I1634" s="16"/>
      <c r="J1634"/>
      <c r="K1634"/>
      <c r="L1634"/>
      <c r="M1634" s="17"/>
      <c r="N1634"/>
      <c r="O1634"/>
      <c r="P1634" s="34"/>
    </row>
    <row r="1635" spans="1:16" x14ac:dyDescent="0.25">
      <c r="A1635" s="14"/>
      <c r="B1635"/>
      <c r="C1635" s="15"/>
      <c r="D1635"/>
      <c r="E1635"/>
      <c r="F1635" s="16"/>
      <c r="G1635"/>
      <c r="H1635"/>
      <c r="I1635" s="16"/>
      <c r="J1635"/>
      <c r="K1635"/>
      <c r="L1635"/>
      <c r="M1635" s="17"/>
      <c r="N1635"/>
      <c r="O1635"/>
      <c r="P1635" s="34"/>
    </row>
    <row r="1636" spans="1:16" x14ac:dyDescent="0.25">
      <c r="A1636" s="14"/>
      <c r="B1636"/>
      <c r="C1636" s="15"/>
      <c r="D1636"/>
      <c r="E1636"/>
      <c r="F1636" s="16"/>
      <c r="G1636"/>
      <c r="H1636"/>
      <c r="I1636" s="16"/>
      <c r="J1636"/>
      <c r="K1636"/>
      <c r="L1636"/>
      <c r="M1636" s="17"/>
      <c r="N1636"/>
      <c r="O1636"/>
      <c r="P1636" s="34"/>
    </row>
    <row r="1637" spans="1:16" x14ac:dyDescent="0.25">
      <c r="A1637" s="14"/>
      <c r="B1637"/>
      <c r="C1637" s="15"/>
      <c r="D1637"/>
      <c r="E1637"/>
      <c r="F1637" s="16"/>
      <c r="G1637"/>
      <c r="H1637"/>
      <c r="I1637" s="16"/>
      <c r="J1637"/>
      <c r="K1637"/>
      <c r="L1637"/>
      <c r="M1637" s="17"/>
      <c r="N1637"/>
      <c r="O1637"/>
      <c r="P1637" s="34"/>
    </row>
    <row r="1638" spans="1:16" x14ac:dyDescent="0.25">
      <c r="A1638" s="14"/>
      <c r="B1638"/>
      <c r="C1638" s="15"/>
      <c r="D1638"/>
      <c r="E1638"/>
      <c r="F1638" s="16"/>
      <c r="G1638"/>
      <c r="H1638"/>
      <c r="I1638" s="16"/>
      <c r="J1638"/>
      <c r="K1638"/>
      <c r="L1638"/>
      <c r="M1638" s="17"/>
      <c r="N1638"/>
      <c r="O1638"/>
      <c r="P1638" s="34"/>
    </row>
    <row r="1639" spans="1:16" x14ac:dyDescent="0.25">
      <c r="A1639" s="14"/>
      <c r="B1639"/>
      <c r="C1639" s="15"/>
      <c r="D1639"/>
      <c r="E1639"/>
      <c r="F1639" s="16"/>
      <c r="G1639"/>
      <c r="H1639"/>
      <c r="I1639" s="16"/>
      <c r="J1639"/>
      <c r="K1639"/>
      <c r="L1639"/>
      <c r="M1639" s="17"/>
      <c r="N1639"/>
      <c r="O1639"/>
      <c r="P1639" s="34"/>
    </row>
    <row r="1640" spans="1:16" x14ac:dyDescent="0.25">
      <c r="A1640" s="14"/>
      <c r="B1640"/>
      <c r="C1640" s="15"/>
      <c r="D1640"/>
      <c r="E1640"/>
      <c r="F1640" s="16"/>
      <c r="G1640"/>
      <c r="H1640"/>
      <c r="I1640" s="16"/>
      <c r="J1640"/>
      <c r="K1640"/>
      <c r="L1640"/>
      <c r="M1640" s="17"/>
      <c r="N1640"/>
      <c r="O1640"/>
      <c r="P1640" s="34"/>
    </row>
    <row r="1641" spans="1:16" x14ac:dyDescent="0.25">
      <c r="A1641" s="14"/>
      <c r="B1641"/>
      <c r="C1641" s="15"/>
      <c r="D1641"/>
      <c r="E1641"/>
      <c r="F1641" s="16"/>
      <c r="G1641"/>
      <c r="H1641"/>
      <c r="I1641" s="16"/>
      <c r="J1641"/>
      <c r="K1641"/>
      <c r="L1641"/>
      <c r="M1641" s="17"/>
      <c r="N1641"/>
      <c r="O1641"/>
      <c r="P1641" s="34"/>
    </row>
    <row r="1642" spans="1:16" x14ac:dyDescent="0.25">
      <c r="A1642" s="14"/>
      <c r="B1642"/>
      <c r="C1642" s="15"/>
      <c r="D1642"/>
      <c r="E1642"/>
      <c r="F1642" s="16"/>
      <c r="G1642"/>
      <c r="H1642"/>
      <c r="I1642" s="16"/>
      <c r="J1642"/>
      <c r="K1642"/>
      <c r="L1642"/>
      <c r="M1642" s="17"/>
      <c r="N1642"/>
      <c r="O1642"/>
      <c r="P1642" s="34"/>
    </row>
    <row r="1643" spans="1:16" x14ac:dyDescent="0.25">
      <c r="A1643" s="14"/>
      <c r="B1643"/>
      <c r="C1643" s="15"/>
      <c r="D1643"/>
      <c r="E1643"/>
      <c r="F1643" s="16"/>
      <c r="G1643"/>
      <c r="H1643"/>
      <c r="I1643" s="16"/>
      <c r="J1643"/>
      <c r="K1643"/>
      <c r="L1643"/>
      <c r="M1643" s="17"/>
      <c r="N1643"/>
      <c r="O1643"/>
      <c r="P1643" s="34"/>
    </row>
    <row r="1644" spans="1:16" x14ac:dyDescent="0.25">
      <c r="A1644" s="14"/>
      <c r="B1644"/>
      <c r="C1644" s="15"/>
      <c r="D1644"/>
      <c r="E1644"/>
      <c r="F1644" s="16"/>
      <c r="G1644"/>
      <c r="H1644"/>
      <c r="I1644" s="16"/>
      <c r="J1644"/>
      <c r="K1644"/>
      <c r="L1644"/>
      <c r="M1644" s="17"/>
      <c r="N1644"/>
      <c r="O1644"/>
      <c r="P1644" s="34"/>
    </row>
    <row r="1645" spans="1:16" x14ac:dyDescent="0.25">
      <c r="A1645" s="14"/>
      <c r="B1645"/>
      <c r="C1645" s="15"/>
      <c r="D1645"/>
      <c r="E1645"/>
      <c r="F1645" s="16"/>
      <c r="G1645"/>
      <c r="H1645"/>
      <c r="I1645" s="16"/>
      <c r="J1645"/>
      <c r="K1645"/>
      <c r="L1645"/>
      <c r="M1645" s="17"/>
      <c r="N1645"/>
      <c r="O1645"/>
      <c r="P1645" s="34"/>
    </row>
    <row r="1646" spans="1:16" x14ac:dyDescent="0.25">
      <c r="A1646" s="14"/>
      <c r="B1646"/>
      <c r="C1646" s="15"/>
      <c r="D1646"/>
      <c r="E1646"/>
      <c r="F1646" s="16"/>
      <c r="G1646"/>
      <c r="H1646"/>
      <c r="I1646" s="16"/>
      <c r="J1646"/>
      <c r="K1646"/>
      <c r="L1646"/>
      <c r="M1646" s="17"/>
      <c r="N1646"/>
      <c r="O1646"/>
      <c r="P1646" s="34"/>
    </row>
    <row r="1647" spans="1:16" x14ac:dyDescent="0.25">
      <c r="A1647" s="14"/>
      <c r="B1647"/>
      <c r="C1647" s="15"/>
      <c r="D1647"/>
      <c r="E1647"/>
      <c r="F1647" s="16"/>
      <c r="G1647"/>
      <c r="H1647"/>
      <c r="I1647" s="16"/>
      <c r="J1647"/>
      <c r="K1647"/>
      <c r="L1647"/>
      <c r="M1647" s="17"/>
      <c r="N1647"/>
      <c r="O1647"/>
      <c r="P1647" s="34"/>
    </row>
    <row r="1648" spans="1:16" x14ac:dyDescent="0.25">
      <c r="A1648" s="14"/>
      <c r="B1648"/>
      <c r="C1648" s="15"/>
      <c r="D1648"/>
      <c r="E1648"/>
      <c r="F1648" s="16"/>
      <c r="G1648"/>
      <c r="H1648"/>
      <c r="I1648" s="16"/>
      <c r="J1648"/>
      <c r="K1648"/>
      <c r="L1648"/>
      <c r="M1648" s="17"/>
      <c r="N1648"/>
      <c r="O1648"/>
      <c r="P1648" s="34"/>
    </row>
    <row r="1649" spans="1:16" x14ac:dyDescent="0.25">
      <c r="A1649" s="14"/>
      <c r="B1649"/>
      <c r="C1649" s="15"/>
      <c r="D1649"/>
      <c r="E1649"/>
      <c r="F1649" s="16"/>
      <c r="G1649"/>
      <c r="H1649"/>
      <c r="I1649" s="16"/>
      <c r="J1649"/>
      <c r="K1649"/>
      <c r="L1649"/>
      <c r="M1649" s="17"/>
      <c r="N1649"/>
      <c r="O1649"/>
      <c r="P1649" s="34"/>
    </row>
    <row r="1650" spans="1:16" x14ac:dyDescent="0.25">
      <c r="A1650" s="14"/>
      <c r="B1650"/>
      <c r="C1650" s="15"/>
      <c r="D1650"/>
      <c r="E1650"/>
      <c r="F1650" s="16"/>
      <c r="G1650"/>
      <c r="H1650"/>
      <c r="I1650" s="16"/>
      <c r="J1650"/>
      <c r="K1650"/>
      <c r="L1650"/>
      <c r="M1650" s="17"/>
      <c r="N1650"/>
      <c r="O1650"/>
      <c r="P1650" s="34"/>
    </row>
    <row r="1651" spans="1:16" x14ac:dyDescent="0.25">
      <c r="A1651" s="14"/>
      <c r="B1651"/>
      <c r="C1651" s="15"/>
      <c r="D1651"/>
      <c r="E1651"/>
      <c r="F1651" s="16"/>
      <c r="G1651"/>
      <c r="H1651"/>
      <c r="I1651" s="16"/>
      <c r="J1651"/>
      <c r="K1651"/>
      <c r="L1651"/>
      <c r="M1651" s="17"/>
      <c r="N1651"/>
      <c r="O1651"/>
      <c r="P1651" s="34"/>
    </row>
    <row r="1652" spans="1:16" x14ac:dyDescent="0.25">
      <c r="A1652" s="14"/>
      <c r="B1652"/>
      <c r="C1652" s="15"/>
      <c r="D1652"/>
      <c r="E1652"/>
      <c r="F1652" s="16"/>
      <c r="G1652"/>
      <c r="H1652"/>
      <c r="I1652" s="16"/>
      <c r="J1652"/>
      <c r="K1652"/>
      <c r="L1652"/>
      <c r="M1652" s="17"/>
      <c r="N1652"/>
      <c r="O1652"/>
      <c r="P1652" s="34"/>
    </row>
    <row r="1653" spans="1:16" x14ac:dyDescent="0.25">
      <c r="A1653" s="14"/>
      <c r="B1653"/>
      <c r="C1653" s="15"/>
      <c r="D1653"/>
      <c r="E1653"/>
      <c r="F1653" s="16"/>
      <c r="G1653"/>
      <c r="H1653"/>
      <c r="I1653" s="16"/>
      <c r="J1653"/>
      <c r="K1653"/>
      <c r="L1653"/>
      <c r="M1653" s="17"/>
      <c r="N1653"/>
      <c r="O1653"/>
      <c r="P1653" s="34"/>
    </row>
    <row r="1654" spans="1:16" x14ac:dyDescent="0.25">
      <c r="A1654" s="14"/>
      <c r="B1654"/>
      <c r="C1654" s="15"/>
      <c r="D1654"/>
      <c r="E1654"/>
      <c r="F1654" s="16"/>
      <c r="G1654"/>
      <c r="H1654"/>
      <c r="I1654" s="16"/>
      <c r="J1654"/>
      <c r="K1654"/>
      <c r="L1654"/>
      <c r="M1654" s="17"/>
      <c r="N1654"/>
      <c r="O1654"/>
      <c r="P1654" s="34"/>
    </row>
    <row r="1655" spans="1:16" x14ac:dyDescent="0.25">
      <c r="A1655" s="14"/>
      <c r="B1655"/>
      <c r="C1655" s="15"/>
      <c r="D1655"/>
      <c r="E1655"/>
      <c r="F1655" s="16"/>
      <c r="G1655"/>
      <c r="H1655"/>
      <c r="I1655" s="16"/>
      <c r="J1655"/>
      <c r="K1655"/>
      <c r="L1655"/>
      <c r="M1655" s="17"/>
      <c r="N1655"/>
      <c r="O1655"/>
      <c r="P1655" s="34"/>
    </row>
    <row r="1656" spans="1:16" x14ac:dyDescent="0.25">
      <c r="A1656" s="14"/>
      <c r="B1656"/>
      <c r="C1656" s="15"/>
      <c r="D1656"/>
      <c r="E1656"/>
      <c r="F1656" s="16"/>
      <c r="G1656"/>
      <c r="H1656"/>
      <c r="I1656" s="16"/>
      <c r="J1656"/>
      <c r="K1656"/>
      <c r="L1656"/>
      <c r="M1656" s="17"/>
      <c r="N1656"/>
      <c r="O1656"/>
      <c r="P1656" s="34"/>
    </row>
    <row r="1657" spans="1:16" x14ac:dyDescent="0.25">
      <c r="A1657" s="14"/>
      <c r="B1657"/>
      <c r="C1657" s="15"/>
      <c r="D1657"/>
      <c r="E1657"/>
      <c r="F1657" s="16"/>
      <c r="G1657"/>
      <c r="H1657"/>
      <c r="I1657" s="16"/>
      <c r="J1657"/>
      <c r="K1657"/>
      <c r="L1657"/>
      <c r="M1657" s="17"/>
      <c r="N1657"/>
      <c r="O1657"/>
      <c r="P1657" s="34"/>
    </row>
    <row r="1658" spans="1:16" x14ac:dyDescent="0.25">
      <c r="A1658" s="14"/>
      <c r="B1658"/>
      <c r="C1658" s="15"/>
      <c r="D1658"/>
      <c r="E1658"/>
      <c r="F1658" s="16"/>
      <c r="G1658"/>
      <c r="H1658"/>
      <c r="I1658" s="16"/>
      <c r="J1658"/>
      <c r="K1658"/>
      <c r="L1658"/>
      <c r="M1658" s="17"/>
      <c r="N1658"/>
      <c r="O1658"/>
      <c r="P1658" s="34"/>
    </row>
    <row r="1659" spans="1:16" x14ac:dyDescent="0.25">
      <c r="A1659" s="14"/>
      <c r="B1659"/>
      <c r="C1659" s="15"/>
      <c r="D1659"/>
      <c r="E1659"/>
      <c r="F1659" s="16"/>
      <c r="G1659"/>
      <c r="H1659"/>
      <c r="I1659" s="16"/>
      <c r="J1659"/>
      <c r="K1659"/>
      <c r="L1659"/>
      <c r="M1659" s="17"/>
      <c r="N1659"/>
      <c r="O1659"/>
      <c r="P1659" s="34"/>
    </row>
    <row r="1660" spans="1:16" x14ac:dyDescent="0.25">
      <c r="A1660" s="14"/>
      <c r="B1660"/>
      <c r="C1660" s="15"/>
      <c r="D1660"/>
      <c r="E1660"/>
      <c r="F1660" s="16"/>
      <c r="G1660"/>
      <c r="H1660"/>
      <c r="I1660" s="16"/>
      <c r="J1660"/>
      <c r="K1660"/>
      <c r="L1660"/>
      <c r="M1660" s="17"/>
      <c r="N1660"/>
      <c r="O1660"/>
      <c r="P1660" s="34"/>
    </row>
    <row r="1661" spans="1:16" x14ac:dyDescent="0.25">
      <c r="A1661" s="14"/>
      <c r="B1661"/>
      <c r="C1661" s="15"/>
      <c r="D1661"/>
      <c r="E1661"/>
      <c r="F1661" s="16"/>
      <c r="G1661"/>
      <c r="H1661"/>
      <c r="I1661" s="16"/>
      <c r="J1661"/>
      <c r="K1661"/>
      <c r="L1661"/>
      <c r="M1661" s="17"/>
      <c r="N1661"/>
      <c r="O1661"/>
      <c r="P1661" s="34"/>
    </row>
    <row r="1662" spans="1:16" x14ac:dyDescent="0.25">
      <c r="A1662" s="14"/>
      <c r="B1662"/>
      <c r="C1662" s="15"/>
      <c r="D1662"/>
      <c r="E1662"/>
      <c r="F1662" s="16"/>
      <c r="G1662"/>
      <c r="H1662"/>
      <c r="I1662" s="16"/>
      <c r="J1662"/>
      <c r="K1662"/>
      <c r="L1662"/>
      <c r="M1662" s="17"/>
      <c r="N1662"/>
      <c r="O1662"/>
      <c r="P1662" s="34"/>
    </row>
    <row r="1663" spans="1:16" x14ac:dyDescent="0.25">
      <c r="A1663" s="14"/>
      <c r="B1663"/>
      <c r="C1663" s="15"/>
      <c r="D1663"/>
      <c r="E1663"/>
      <c r="F1663" s="16"/>
      <c r="G1663"/>
      <c r="H1663"/>
      <c r="I1663" s="16"/>
      <c r="J1663"/>
      <c r="K1663"/>
      <c r="L1663"/>
      <c r="M1663" s="17"/>
      <c r="N1663"/>
      <c r="O1663"/>
      <c r="P1663" s="34"/>
    </row>
    <row r="1664" spans="1:16" x14ac:dyDescent="0.25">
      <c r="A1664" s="14"/>
      <c r="B1664"/>
      <c r="C1664" s="15"/>
      <c r="D1664"/>
      <c r="E1664"/>
      <c r="F1664" s="16"/>
      <c r="G1664"/>
      <c r="H1664"/>
      <c r="I1664" s="16"/>
      <c r="J1664"/>
      <c r="K1664"/>
      <c r="L1664"/>
      <c r="M1664" s="17"/>
      <c r="N1664"/>
      <c r="O1664"/>
      <c r="P1664" s="34"/>
    </row>
    <row r="1665" spans="1:16" x14ac:dyDescent="0.25">
      <c r="A1665" s="14"/>
      <c r="B1665"/>
      <c r="C1665" s="15"/>
      <c r="D1665"/>
      <c r="E1665"/>
      <c r="F1665" s="16"/>
      <c r="G1665"/>
      <c r="H1665"/>
      <c r="I1665" s="16"/>
      <c r="J1665"/>
      <c r="K1665"/>
      <c r="L1665"/>
      <c r="M1665" s="17"/>
      <c r="N1665"/>
      <c r="O1665"/>
      <c r="P1665" s="34"/>
    </row>
    <row r="1666" spans="1:16" x14ac:dyDescent="0.25">
      <c r="A1666" s="14"/>
      <c r="B1666"/>
      <c r="C1666" s="15"/>
      <c r="D1666"/>
      <c r="E1666"/>
      <c r="F1666" s="16"/>
      <c r="G1666"/>
      <c r="H1666"/>
      <c r="I1666" s="16"/>
      <c r="J1666"/>
      <c r="K1666"/>
      <c r="L1666"/>
      <c r="M1666" s="17"/>
      <c r="N1666"/>
      <c r="O1666"/>
      <c r="P1666" s="34"/>
    </row>
    <row r="1667" spans="1:16" x14ac:dyDescent="0.25">
      <c r="A1667" s="14"/>
      <c r="B1667"/>
      <c r="C1667" s="15"/>
      <c r="D1667"/>
      <c r="E1667"/>
      <c r="F1667" s="16"/>
      <c r="G1667"/>
      <c r="H1667"/>
      <c r="I1667" s="16"/>
      <c r="J1667"/>
      <c r="K1667"/>
      <c r="L1667"/>
      <c r="M1667" s="17"/>
      <c r="N1667"/>
      <c r="O1667"/>
      <c r="P1667" s="34"/>
    </row>
    <row r="1668" spans="1:16" x14ac:dyDescent="0.25">
      <c r="A1668" s="14"/>
      <c r="B1668"/>
      <c r="C1668" s="15"/>
      <c r="D1668"/>
      <c r="E1668"/>
      <c r="F1668" s="16"/>
      <c r="G1668"/>
      <c r="H1668"/>
      <c r="I1668" s="16"/>
      <c r="J1668"/>
      <c r="K1668"/>
      <c r="L1668"/>
      <c r="M1668" s="17"/>
      <c r="N1668"/>
      <c r="O1668"/>
      <c r="P1668" s="34"/>
    </row>
    <row r="1669" spans="1:16" x14ac:dyDescent="0.25">
      <c r="A1669" s="14"/>
      <c r="B1669"/>
      <c r="C1669" s="15"/>
      <c r="D1669"/>
      <c r="E1669"/>
      <c r="F1669" s="16"/>
      <c r="G1669"/>
      <c r="H1669"/>
      <c r="I1669" s="16"/>
      <c r="J1669"/>
      <c r="K1669"/>
      <c r="L1669"/>
      <c r="M1669" s="17"/>
      <c r="N1669"/>
      <c r="O1669"/>
      <c r="P1669" s="34"/>
    </row>
    <row r="1670" spans="1:16" x14ac:dyDescent="0.25">
      <c r="A1670" s="14"/>
      <c r="B1670"/>
      <c r="C1670" s="15"/>
      <c r="D1670"/>
      <c r="E1670"/>
      <c r="F1670" s="16"/>
      <c r="G1670"/>
      <c r="H1670"/>
      <c r="I1670" s="16"/>
      <c r="J1670"/>
      <c r="K1670"/>
      <c r="L1670"/>
      <c r="M1670" s="17"/>
      <c r="N1670"/>
      <c r="O1670"/>
      <c r="P1670" s="34"/>
    </row>
    <row r="1671" spans="1:16" x14ac:dyDescent="0.25">
      <c r="A1671" s="14"/>
      <c r="B1671"/>
      <c r="C1671" s="15"/>
      <c r="D1671"/>
      <c r="E1671"/>
      <c r="F1671" s="16"/>
      <c r="G1671"/>
      <c r="H1671"/>
      <c r="I1671" s="16"/>
      <c r="J1671"/>
      <c r="K1671"/>
      <c r="L1671"/>
      <c r="M1671" s="17"/>
      <c r="N1671"/>
      <c r="O1671"/>
      <c r="P1671" s="34"/>
    </row>
    <row r="1672" spans="1:16" x14ac:dyDescent="0.25">
      <c r="A1672" s="14"/>
      <c r="B1672"/>
      <c r="C1672" s="15"/>
      <c r="D1672"/>
      <c r="E1672"/>
      <c r="F1672" s="16"/>
      <c r="G1672"/>
      <c r="H1672"/>
      <c r="I1672" s="16"/>
      <c r="J1672"/>
      <c r="K1672"/>
      <c r="L1672"/>
      <c r="M1672" s="17"/>
      <c r="N1672"/>
      <c r="O1672"/>
      <c r="P1672" s="34"/>
    </row>
    <row r="1673" spans="1:16" x14ac:dyDescent="0.25">
      <c r="A1673" s="14"/>
      <c r="B1673"/>
      <c r="C1673" s="15"/>
      <c r="D1673"/>
      <c r="E1673"/>
      <c r="F1673" s="16"/>
      <c r="G1673"/>
      <c r="H1673"/>
      <c r="I1673" s="16"/>
      <c r="J1673"/>
      <c r="K1673"/>
      <c r="L1673"/>
      <c r="M1673" s="17"/>
      <c r="N1673"/>
      <c r="O1673"/>
      <c r="P1673" s="34"/>
    </row>
    <row r="1674" spans="1:16" x14ac:dyDescent="0.25">
      <c r="A1674" s="14"/>
      <c r="B1674"/>
      <c r="C1674" s="15"/>
      <c r="D1674"/>
      <c r="E1674"/>
      <c r="F1674" s="16"/>
      <c r="G1674"/>
      <c r="H1674"/>
      <c r="I1674" s="16"/>
      <c r="J1674"/>
      <c r="K1674"/>
      <c r="L1674"/>
      <c r="M1674" s="17"/>
      <c r="N1674"/>
      <c r="O1674"/>
      <c r="P1674" s="34"/>
    </row>
    <row r="1675" spans="1:16" x14ac:dyDescent="0.25">
      <c r="A1675" s="14"/>
      <c r="B1675"/>
      <c r="C1675" s="15"/>
      <c r="D1675"/>
      <c r="E1675"/>
      <c r="F1675" s="16"/>
      <c r="G1675"/>
      <c r="H1675"/>
      <c r="I1675" s="16"/>
      <c r="J1675"/>
      <c r="K1675"/>
      <c r="L1675"/>
      <c r="M1675" s="17"/>
      <c r="N1675"/>
      <c r="O1675"/>
      <c r="P1675" s="34"/>
    </row>
    <row r="1676" spans="1:16" x14ac:dyDescent="0.25">
      <c r="A1676" s="14"/>
      <c r="B1676"/>
      <c r="C1676" s="15"/>
      <c r="D1676"/>
      <c r="E1676"/>
      <c r="F1676" s="16"/>
      <c r="G1676"/>
      <c r="H1676"/>
      <c r="I1676" s="16"/>
      <c r="J1676"/>
      <c r="K1676"/>
      <c r="L1676"/>
      <c r="M1676" s="17"/>
      <c r="N1676"/>
      <c r="O1676"/>
      <c r="P1676" s="34"/>
    </row>
    <row r="1677" spans="1:16" x14ac:dyDescent="0.25">
      <c r="A1677" s="14"/>
      <c r="B1677"/>
      <c r="C1677" s="15"/>
      <c r="D1677"/>
      <c r="E1677"/>
      <c r="F1677" s="16"/>
      <c r="G1677"/>
      <c r="H1677"/>
      <c r="I1677" s="16"/>
      <c r="J1677"/>
      <c r="K1677"/>
      <c r="L1677"/>
      <c r="M1677" s="17"/>
      <c r="N1677"/>
      <c r="O1677"/>
      <c r="P1677" s="34"/>
    </row>
    <row r="1678" spans="1:16" x14ac:dyDescent="0.25">
      <c r="A1678" s="14"/>
      <c r="B1678"/>
      <c r="C1678" s="15"/>
      <c r="D1678"/>
      <c r="E1678"/>
      <c r="F1678" s="16"/>
      <c r="G1678"/>
      <c r="H1678"/>
      <c r="I1678" s="16"/>
      <c r="J1678"/>
      <c r="K1678"/>
      <c r="L1678"/>
      <c r="M1678" s="17"/>
      <c r="N1678"/>
      <c r="O1678"/>
      <c r="P1678" s="34"/>
    </row>
    <row r="1679" spans="1:16" x14ac:dyDescent="0.25">
      <c r="A1679" s="14"/>
      <c r="B1679"/>
      <c r="C1679" s="15"/>
      <c r="D1679"/>
      <c r="E1679"/>
      <c r="F1679" s="16"/>
      <c r="G1679"/>
      <c r="H1679"/>
      <c r="I1679" s="16"/>
      <c r="J1679"/>
      <c r="K1679"/>
      <c r="L1679"/>
      <c r="M1679" s="17"/>
      <c r="N1679"/>
      <c r="O1679"/>
      <c r="P1679" s="34"/>
    </row>
    <row r="1680" spans="1:16" x14ac:dyDescent="0.25">
      <c r="A1680" s="14"/>
      <c r="B1680"/>
      <c r="C1680" s="15"/>
      <c r="D1680"/>
      <c r="E1680"/>
      <c r="F1680" s="16"/>
      <c r="G1680"/>
      <c r="H1680"/>
      <c r="I1680" s="16"/>
      <c r="J1680"/>
      <c r="K1680"/>
      <c r="L1680"/>
      <c r="M1680" s="17"/>
      <c r="N1680"/>
      <c r="O1680"/>
      <c r="P1680" s="34"/>
    </row>
    <row r="1681" spans="1:16" x14ac:dyDescent="0.25">
      <c r="A1681" s="14"/>
      <c r="B1681"/>
      <c r="C1681" s="15"/>
      <c r="D1681"/>
      <c r="E1681"/>
      <c r="F1681" s="16"/>
      <c r="G1681"/>
      <c r="H1681"/>
      <c r="I1681" s="16"/>
      <c r="J1681"/>
      <c r="K1681"/>
      <c r="L1681"/>
      <c r="M1681" s="17"/>
      <c r="N1681"/>
      <c r="O1681"/>
      <c r="P1681" s="34"/>
    </row>
    <row r="1682" spans="1:16" x14ac:dyDescent="0.25">
      <c r="A1682" s="14"/>
      <c r="B1682"/>
      <c r="C1682" s="15"/>
      <c r="D1682"/>
      <c r="E1682"/>
      <c r="F1682" s="16"/>
      <c r="G1682"/>
      <c r="H1682"/>
      <c r="I1682" s="16"/>
      <c r="J1682"/>
      <c r="K1682"/>
      <c r="L1682"/>
      <c r="M1682" s="17"/>
      <c r="N1682"/>
      <c r="O1682"/>
      <c r="P1682" s="34"/>
    </row>
    <row r="1683" spans="1:16" x14ac:dyDescent="0.25">
      <c r="A1683" s="14"/>
      <c r="B1683"/>
      <c r="C1683" s="15"/>
      <c r="D1683"/>
      <c r="E1683"/>
      <c r="F1683" s="16"/>
      <c r="G1683"/>
      <c r="H1683"/>
      <c r="I1683" s="16"/>
      <c r="J1683"/>
      <c r="K1683"/>
      <c r="L1683"/>
      <c r="M1683" s="17"/>
      <c r="N1683"/>
      <c r="O1683"/>
      <c r="P1683" s="34"/>
    </row>
    <row r="1684" spans="1:16" x14ac:dyDescent="0.25">
      <c r="A1684" s="14"/>
      <c r="B1684"/>
      <c r="C1684" s="15"/>
      <c r="D1684"/>
      <c r="E1684"/>
      <c r="F1684" s="16"/>
      <c r="G1684"/>
      <c r="H1684"/>
      <c r="I1684" s="16"/>
      <c r="J1684"/>
      <c r="K1684"/>
      <c r="L1684"/>
      <c r="M1684" s="17"/>
      <c r="N1684"/>
      <c r="O1684"/>
      <c r="P1684" s="34"/>
    </row>
    <row r="1685" spans="1:16" x14ac:dyDescent="0.25">
      <c r="A1685" s="14"/>
      <c r="B1685"/>
      <c r="C1685" s="15"/>
      <c r="D1685"/>
      <c r="E1685"/>
      <c r="F1685" s="16"/>
      <c r="G1685"/>
      <c r="H1685"/>
      <c r="I1685" s="16"/>
      <c r="J1685"/>
      <c r="K1685"/>
      <c r="L1685"/>
      <c r="M1685" s="17"/>
      <c r="N1685"/>
      <c r="O1685"/>
      <c r="P1685" s="34"/>
    </row>
    <row r="1686" spans="1:16" x14ac:dyDescent="0.25">
      <c r="A1686" s="14"/>
      <c r="B1686"/>
      <c r="C1686" s="15"/>
      <c r="D1686"/>
      <c r="E1686"/>
      <c r="F1686" s="16"/>
      <c r="G1686"/>
      <c r="H1686"/>
      <c r="I1686" s="16"/>
      <c r="J1686"/>
      <c r="K1686"/>
      <c r="L1686"/>
      <c r="M1686" s="17"/>
      <c r="N1686"/>
      <c r="O1686"/>
      <c r="P1686" s="34"/>
    </row>
    <row r="1687" spans="1:16" x14ac:dyDescent="0.25">
      <c r="A1687" s="14"/>
      <c r="B1687"/>
      <c r="C1687" s="15"/>
      <c r="D1687"/>
      <c r="E1687"/>
      <c r="F1687" s="16"/>
      <c r="G1687"/>
      <c r="H1687"/>
      <c r="I1687" s="16"/>
      <c r="J1687"/>
      <c r="K1687"/>
      <c r="L1687"/>
      <c r="M1687" s="17"/>
      <c r="N1687"/>
      <c r="O1687"/>
      <c r="P1687" s="34"/>
    </row>
    <row r="1688" spans="1:16" x14ac:dyDescent="0.25">
      <c r="A1688" s="14"/>
      <c r="B1688"/>
      <c r="C1688" s="15"/>
      <c r="D1688"/>
      <c r="E1688"/>
      <c r="F1688" s="16"/>
      <c r="G1688"/>
      <c r="H1688"/>
      <c r="I1688" s="16"/>
      <c r="J1688"/>
      <c r="K1688"/>
      <c r="L1688"/>
      <c r="M1688" s="17"/>
      <c r="N1688"/>
      <c r="O1688"/>
      <c r="P1688" s="34"/>
    </row>
    <row r="1689" spans="1:16" x14ac:dyDescent="0.25">
      <c r="A1689" s="14"/>
      <c r="B1689"/>
      <c r="C1689" s="15"/>
      <c r="D1689"/>
      <c r="E1689"/>
      <c r="F1689" s="16"/>
      <c r="G1689"/>
      <c r="H1689"/>
      <c r="I1689" s="16"/>
      <c r="J1689"/>
      <c r="K1689"/>
      <c r="L1689"/>
      <c r="M1689" s="17"/>
      <c r="N1689"/>
      <c r="O1689"/>
      <c r="P1689" s="34"/>
    </row>
    <row r="1690" spans="1:16" x14ac:dyDescent="0.25">
      <c r="A1690" s="14"/>
      <c r="B1690"/>
      <c r="C1690" s="15"/>
      <c r="D1690"/>
      <c r="E1690"/>
      <c r="F1690" s="16"/>
      <c r="G1690"/>
      <c r="H1690"/>
      <c r="I1690" s="16"/>
      <c r="J1690"/>
      <c r="K1690"/>
      <c r="L1690"/>
      <c r="M1690" s="17"/>
      <c r="N1690"/>
      <c r="O1690"/>
      <c r="P1690" s="34"/>
    </row>
    <row r="1691" spans="1:16" x14ac:dyDescent="0.25">
      <c r="A1691" s="14"/>
      <c r="B1691"/>
      <c r="C1691" s="15"/>
      <c r="D1691"/>
      <c r="E1691"/>
      <c r="F1691" s="16"/>
      <c r="G1691"/>
      <c r="H1691"/>
      <c r="I1691" s="16"/>
      <c r="J1691"/>
      <c r="K1691"/>
      <c r="L1691"/>
      <c r="M1691" s="17"/>
      <c r="N1691"/>
      <c r="O1691"/>
      <c r="P1691" s="34"/>
    </row>
    <row r="1692" spans="1:16" x14ac:dyDescent="0.25">
      <c r="A1692" s="14"/>
      <c r="B1692"/>
      <c r="C1692" s="15"/>
      <c r="D1692"/>
      <c r="E1692"/>
      <c r="F1692" s="16"/>
      <c r="G1692"/>
      <c r="H1692"/>
      <c r="I1692" s="16"/>
      <c r="J1692"/>
      <c r="K1692"/>
      <c r="L1692"/>
      <c r="M1692" s="17"/>
      <c r="N1692"/>
      <c r="O1692"/>
      <c r="P1692" s="34"/>
    </row>
    <row r="1693" spans="1:16" x14ac:dyDescent="0.25">
      <c r="A1693" s="14"/>
      <c r="B1693"/>
      <c r="C1693" s="15"/>
      <c r="D1693"/>
      <c r="E1693"/>
      <c r="F1693" s="16"/>
      <c r="G1693"/>
      <c r="H1693"/>
      <c r="I1693" s="16"/>
      <c r="J1693"/>
      <c r="K1693"/>
      <c r="L1693"/>
      <c r="M1693" s="17"/>
      <c r="N1693"/>
      <c r="O1693"/>
      <c r="P1693" s="34"/>
    </row>
    <row r="1694" spans="1:16" x14ac:dyDescent="0.25">
      <c r="A1694" s="14"/>
      <c r="B1694"/>
      <c r="C1694" s="15"/>
      <c r="D1694"/>
      <c r="E1694"/>
      <c r="F1694" s="16"/>
      <c r="G1694"/>
      <c r="H1694"/>
      <c r="I1694" s="16"/>
      <c r="J1694"/>
      <c r="K1694"/>
      <c r="L1694"/>
      <c r="M1694" s="17"/>
      <c r="N1694"/>
      <c r="O1694"/>
      <c r="P1694" s="34"/>
    </row>
    <row r="1695" spans="1:16" x14ac:dyDescent="0.25">
      <c r="A1695" s="14"/>
      <c r="B1695"/>
      <c r="C1695" s="15"/>
      <c r="D1695"/>
      <c r="E1695"/>
      <c r="F1695" s="16"/>
      <c r="G1695"/>
      <c r="H1695"/>
      <c r="I1695" s="16"/>
      <c r="J1695"/>
      <c r="K1695"/>
      <c r="L1695"/>
      <c r="M1695" s="17"/>
      <c r="N1695"/>
      <c r="O1695"/>
      <c r="P1695" s="34"/>
    </row>
    <row r="1696" spans="1:16" x14ac:dyDescent="0.25">
      <c r="A1696" s="14"/>
      <c r="B1696"/>
      <c r="C1696" s="15"/>
      <c r="D1696"/>
      <c r="E1696"/>
      <c r="F1696" s="16"/>
      <c r="G1696"/>
      <c r="H1696"/>
      <c r="I1696" s="16"/>
      <c r="J1696"/>
      <c r="K1696"/>
      <c r="L1696"/>
      <c r="M1696" s="17"/>
      <c r="N1696"/>
      <c r="O1696"/>
      <c r="P1696" s="34"/>
    </row>
    <row r="1697" spans="1:16" x14ac:dyDescent="0.25">
      <c r="A1697" s="14"/>
      <c r="B1697"/>
      <c r="C1697" s="15"/>
      <c r="D1697"/>
      <c r="E1697"/>
      <c r="F1697" s="16"/>
      <c r="G1697"/>
      <c r="H1697"/>
      <c r="I1697" s="16"/>
      <c r="J1697"/>
      <c r="K1697"/>
      <c r="L1697"/>
      <c r="M1697" s="17"/>
      <c r="N1697"/>
      <c r="O1697"/>
      <c r="P1697" s="34"/>
    </row>
    <row r="1698" spans="1:16" x14ac:dyDescent="0.25">
      <c r="A1698" s="14"/>
      <c r="B1698"/>
      <c r="C1698" s="15"/>
      <c r="D1698"/>
      <c r="E1698"/>
      <c r="F1698" s="16"/>
      <c r="G1698"/>
      <c r="H1698"/>
      <c r="I1698" s="16"/>
      <c r="J1698"/>
      <c r="K1698"/>
      <c r="L1698"/>
      <c r="M1698" s="17"/>
      <c r="N1698"/>
      <c r="O1698"/>
      <c r="P1698" s="34"/>
    </row>
    <row r="1699" spans="1:16" x14ac:dyDescent="0.25">
      <c r="A1699" s="14"/>
      <c r="B1699"/>
      <c r="C1699" s="15"/>
      <c r="D1699"/>
      <c r="E1699"/>
      <c r="F1699" s="16"/>
      <c r="G1699"/>
      <c r="H1699"/>
      <c r="I1699" s="16"/>
      <c r="J1699"/>
      <c r="K1699"/>
      <c r="L1699"/>
      <c r="M1699" s="17"/>
      <c r="N1699"/>
      <c r="O1699"/>
      <c r="P1699" s="34"/>
    </row>
    <row r="1700" spans="1:16" x14ac:dyDescent="0.25">
      <c r="A1700" s="14"/>
      <c r="B1700"/>
      <c r="C1700" s="15"/>
      <c r="D1700"/>
      <c r="E1700"/>
      <c r="F1700" s="16"/>
      <c r="G1700"/>
      <c r="H1700"/>
      <c r="I1700" s="16"/>
      <c r="J1700"/>
      <c r="K1700"/>
      <c r="L1700"/>
      <c r="M1700" s="17"/>
      <c r="N1700"/>
      <c r="O1700"/>
      <c r="P1700" s="34"/>
    </row>
    <row r="1701" spans="1:16" x14ac:dyDescent="0.25">
      <c r="A1701" s="14"/>
      <c r="B1701"/>
      <c r="C1701" s="15"/>
      <c r="D1701"/>
      <c r="E1701"/>
      <c r="F1701" s="16"/>
      <c r="G1701"/>
      <c r="H1701"/>
      <c r="I1701" s="16"/>
      <c r="J1701"/>
      <c r="K1701"/>
      <c r="L1701"/>
      <c r="M1701" s="17"/>
      <c r="N1701"/>
      <c r="O1701"/>
      <c r="P1701" s="34"/>
    </row>
    <row r="1702" spans="1:16" x14ac:dyDescent="0.25">
      <c r="A1702" s="14"/>
      <c r="B1702"/>
      <c r="C1702" s="15"/>
      <c r="D1702"/>
      <c r="E1702"/>
      <c r="F1702" s="16"/>
      <c r="G1702"/>
      <c r="H1702"/>
      <c r="I1702" s="16"/>
      <c r="J1702"/>
      <c r="K1702"/>
      <c r="L1702"/>
      <c r="M1702" s="17"/>
      <c r="N1702"/>
      <c r="O1702"/>
      <c r="P1702" s="34"/>
    </row>
    <row r="1703" spans="1:16" x14ac:dyDescent="0.25">
      <c r="A1703" s="14"/>
      <c r="B1703"/>
      <c r="C1703" s="15"/>
      <c r="D1703"/>
      <c r="E1703"/>
      <c r="F1703" s="16"/>
      <c r="G1703"/>
      <c r="H1703"/>
      <c r="I1703" s="16"/>
      <c r="J1703"/>
      <c r="K1703"/>
      <c r="L1703"/>
      <c r="M1703" s="17"/>
      <c r="N1703"/>
      <c r="O1703"/>
      <c r="P1703" s="34"/>
    </row>
    <row r="1704" spans="1:16" x14ac:dyDescent="0.25">
      <c r="A1704" s="14"/>
      <c r="B1704"/>
      <c r="C1704" s="15"/>
      <c r="D1704"/>
      <c r="E1704"/>
      <c r="F1704" s="16"/>
      <c r="G1704"/>
      <c r="H1704"/>
      <c r="I1704" s="16"/>
      <c r="J1704"/>
      <c r="K1704"/>
      <c r="L1704"/>
      <c r="M1704" s="17"/>
      <c r="N1704"/>
      <c r="O1704"/>
      <c r="P1704" s="34"/>
    </row>
    <row r="1705" spans="1:16" x14ac:dyDescent="0.25">
      <c r="A1705" s="14"/>
      <c r="B1705"/>
      <c r="C1705" s="15"/>
      <c r="D1705"/>
      <c r="E1705"/>
      <c r="F1705" s="16"/>
      <c r="G1705"/>
      <c r="H1705"/>
      <c r="I1705" s="16"/>
      <c r="J1705"/>
      <c r="K1705"/>
      <c r="L1705"/>
      <c r="M1705" s="17"/>
      <c r="N1705"/>
      <c r="O1705"/>
      <c r="P1705" s="34"/>
    </row>
    <row r="1706" spans="1:16" x14ac:dyDescent="0.25">
      <c r="A1706" s="14"/>
      <c r="B1706"/>
      <c r="C1706" s="15"/>
      <c r="D1706"/>
      <c r="E1706"/>
      <c r="F1706" s="16"/>
      <c r="G1706"/>
      <c r="H1706"/>
      <c r="I1706" s="16"/>
      <c r="J1706"/>
      <c r="K1706"/>
      <c r="L1706"/>
      <c r="M1706" s="17"/>
      <c r="N1706"/>
      <c r="O1706"/>
      <c r="P1706" s="34"/>
    </row>
    <row r="1707" spans="1:16" x14ac:dyDescent="0.25">
      <c r="A1707" s="14"/>
      <c r="B1707"/>
      <c r="C1707" s="15"/>
      <c r="D1707"/>
      <c r="E1707"/>
      <c r="F1707" s="16"/>
      <c r="G1707"/>
      <c r="H1707"/>
      <c r="I1707" s="16"/>
      <c r="J1707"/>
      <c r="K1707"/>
      <c r="L1707"/>
      <c r="M1707" s="17"/>
      <c r="N1707"/>
      <c r="O1707"/>
      <c r="P1707" s="34"/>
    </row>
    <row r="1708" spans="1:16" x14ac:dyDescent="0.25">
      <c r="A1708" s="14"/>
      <c r="B1708"/>
      <c r="C1708" s="15"/>
      <c r="D1708"/>
      <c r="E1708"/>
      <c r="F1708" s="16"/>
      <c r="G1708"/>
      <c r="H1708"/>
      <c r="I1708" s="16"/>
      <c r="J1708"/>
      <c r="K1708"/>
      <c r="L1708"/>
      <c r="M1708" s="17"/>
      <c r="N1708"/>
      <c r="O1708"/>
      <c r="P1708" s="34"/>
    </row>
    <row r="1709" spans="1:16" x14ac:dyDescent="0.25">
      <c r="A1709" s="14"/>
      <c r="B1709"/>
      <c r="C1709" s="15"/>
      <c r="D1709"/>
      <c r="E1709"/>
      <c r="F1709" s="16"/>
      <c r="G1709"/>
      <c r="H1709"/>
      <c r="I1709" s="16"/>
      <c r="J1709"/>
      <c r="K1709"/>
      <c r="L1709"/>
      <c r="M1709" s="17"/>
      <c r="N1709"/>
      <c r="O1709"/>
      <c r="P1709" s="34"/>
    </row>
    <row r="1710" spans="1:16" x14ac:dyDescent="0.25">
      <c r="A1710" s="14"/>
      <c r="B1710"/>
      <c r="C1710" s="15"/>
      <c r="D1710"/>
      <c r="E1710"/>
      <c r="F1710" s="16"/>
      <c r="G1710"/>
      <c r="H1710"/>
      <c r="I1710" s="16"/>
      <c r="J1710"/>
      <c r="K1710"/>
      <c r="L1710"/>
      <c r="M1710" s="17"/>
      <c r="N1710"/>
      <c r="O1710"/>
      <c r="P1710" s="34"/>
    </row>
    <row r="1711" spans="1:16" x14ac:dyDescent="0.25">
      <c r="A1711" s="14"/>
      <c r="B1711"/>
      <c r="C1711" s="15"/>
      <c r="D1711"/>
      <c r="E1711"/>
      <c r="F1711" s="16"/>
      <c r="G1711"/>
      <c r="H1711"/>
      <c r="I1711" s="16"/>
      <c r="J1711"/>
      <c r="K1711"/>
      <c r="L1711"/>
      <c r="M1711" s="17"/>
      <c r="N1711"/>
      <c r="O1711"/>
      <c r="P1711" s="34"/>
    </row>
    <row r="1712" spans="1:16" x14ac:dyDescent="0.25">
      <c r="A1712" s="14"/>
      <c r="B1712"/>
      <c r="C1712" s="15"/>
      <c r="D1712"/>
      <c r="E1712"/>
      <c r="F1712" s="16"/>
      <c r="G1712"/>
      <c r="H1712"/>
      <c r="I1712" s="16"/>
      <c r="J1712"/>
      <c r="K1712"/>
      <c r="L1712"/>
      <c r="M1712" s="17"/>
      <c r="N1712"/>
      <c r="O1712"/>
      <c r="P1712" s="34"/>
    </row>
    <row r="1713" spans="1:16" x14ac:dyDescent="0.25">
      <c r="A1713" s="14"/>
      <c r="B1713"/>
      <c r="C1713" s="15"/>
      <c r="D1713"/>
      <c r="E1713"/>
      <c r="F1713" s="16"/>
      <c r="G1713"/>
      <c r="H1713"/>
      <c r="I1713" s="16"/>
      <c r="J1713"/>
      <c r="K1713"/>
      <c r="L1713"/>
      <c r="M1713" s="17"/>
      <c r="N1713"/>
      <c r="O1713"/>
      <c r="P1713" s="34"/>
    </row>
    <row r="1714" spans="1:16" x14ac:dyDescent="0.25">
      <c r="A1714" s="14"/>
      <c r="B1714"/>
      <c r="C1714" s="15"/>
      <c r="D1714"/>
      <c r="E1714"/>
      <c r="F1714" s="16"/>
      <c r="G1714"/>
      <c r="H1714"/>
      <c r="I1714" s="16"/>
      <c r="J1714"/>
      <c r="K1714"/>
      <c r="L1714"/>
      <c r="M1714" s="17"/>
      <c r="N1714"/>
      <c r="O1714"/>
      <c r="P1714" s="34"/>
    </row>
    <row r="1715" spans="1:16" x14ac:dyDescent="0.25">
      <c r="A1715" s="14"/>
      <c r="B1715"/>
      <c r="C1715" s="15"/>
      <c r="D1715"/>
      <c r="E1715"/>
      <c r="F1715" s="16"/>
      <c r="G1715"/>
      <c r="H1715"/>
      <c r="I1715" s="16"/>
      <c r="J1715"/>
      <c r="K1715"/>
      <c r="L1715"/>
      <c r="M1715" s="17"/>
      <c r="N1715"/>
      <c r="O1715"/>
      <c r="P1715" s="34"/>
    </row>
    <row r="1716" spans="1:16" x14ac:dyDescent="0.25">
      <c r="A1716" s="14"/>
      <c r="B1716"/>
      <c r="C1716" s="15"/>
      <c r="D1716"/>
      <c r="E1716"/>
      <c r="F1716" s="16"/>
      <c r="G1716"/>
      <c r="H1716"/>
      <c r="I1716" s="16"/>
      <c r="J1716"/>
      <c r="K1716"/>
      <c r="L1716"/>
      <c r="M1716" s="17"/>
      <c r="N1716"/>
      <c r="O1716"/>
      <c r="P1716" s="34"/>
    </row>
    <row r="1717" spans="1:16" x14ac:dyDescent="0.25">
      <c r="A1717" s="14"/>
      <c r="B1717"/>
      <c r="C1717" s="15"/>
      <c r="D1717"/>
      <c r="E1717"/>
      <c r="F1717" s="16"/>
      <c r="G1717"/>
      <c r="H1717"/>
      <c r="I1717" s="16"/>
      <c r="J1717"/>
      <c r="K1717"/>
      <c r="L1717"/>
      <c r="M1717" s="17"/>
      <c r="N1717"/>
      <c r="O1717"/>
      <c r="P1717" s="34"/>
    </row>
    <row r="1718" spans="1:16" x14ac:dyDescent="0.25">
      <c r="A1718" s="14"/>
      <c r="B1718"/>
      <c r="C1718" s="15"/>
      <c r="D1718"/>
      <c r="E1718"/>
      <c r="F1718" s="16"/>
      <c r="G1718"/>
      <c r="H1718"/>
      <c r="I1718" s="16"/>
      <c r="J1718"/>
      <c r="K1718"/>
      <c r="L1718"/>
      <c r="M1718" s="17"/>
      <c r="N1718"/>
      <c r="O1718"/>
      <c r="P1718" s="34"/>
    </row>
    <row r="1719" spans="1:16" x14ac:dyDescent="0.25">
      <c r="A1719" s="14"/>
      <c r="B1719"/>
      <c r="C1719" s="15"/>
      <c r="D1719"/>
      <c r="E1719"/>
      <c r="F1719" s="16"/>
      <c r="G1719"/>
      <c r="H1719"/>
      <c r="I1719" s="16"/>
      <c r="J1719"/>
      <c r="K1719"/>
      <c r="L1719"/>
      <c r="M1719" s="17"/>
      <c r="N1719"/>
      <c r="O1719"/>
      <c r="P1719" s="34"/>
    </row>
    <row r="1720" spans="1:16" x14ac:dyDescent="0.25">
      <c r="A1720" s="14"/>
      <c r="B1720"/>
      <c r="C1720" s="15"/>
      <c r="D1720"/>
      <c r="E1720"/>
      <c r="F1720" s="16"/>
      <c r="G1720"/>
      <c r="H1720"/>
      <c r="I1720" s="16"/>
      <c r="J1720"/>
      <c r="K1720"/>
      <c r="L1720"/>
      <c r="M1720" s="17"/>
      <c r="N1720"/>
      <c r="O1720"/>
      <c r="P1720" s="34"/>
    </row>
    <row r="1721" spans="1:16" x14ac:dyDescent="0.25">
      <c r="A1721" s="14"/>
      <c r="B1721"/>
      <c r="C1721" s="15"/>
      <c r="D1721"/>
      <c r="E1721"/>
      <c r="F1721" s="16"/>
      <c r="G1721"/>
      <c r="H1721"/>
      <c r="I1721" s="16"/>
      <c r="J1721"/>
      <c r="K1721"/>
      <c r="L1721"/>
      <c r="M1721" s="17"/>
      <c r="N1721"/>
      <c r="O1721"/>
      <c r="P1721" s="34"/>
    </row>
    <row r="1722" spans="1:16" x14ac:dyDescent="0.25">
      <c r="A1722" s="14"/>
      <c r="B1722"/>
      <c r="C1722" s="15"/>
      <c r="D1722"/>
      <c r="E1722"/>
      <c r="F1722" s="16"/>
      <c r="G1722"/>
      <c r="H1722"/>
      <c r="I1722" s="16"/>
      <c r="J1722"/>
      <c r="K1722"/>
      <c r="L1722"/>
      <c r="M1722" s="17"/>
      <c r="N1722"/>
      <c r="O1722"/>
      <c r="P1722" s="34"/>
    </row>
    <row r="1723" spans="1:16" x14ac:dyDescent="0.25">
      <c r="A1723" s="14"/>
      <c r="B1723"/>
      <c r="C1723" s="15"/>
      <c r="D1723"/>
      <c r="E1723"/>
      <c r="F1723" s="16"/>
      <c r="G1723"/>
      <c r="H1723"/>
      <c r="I1723" s="16"/>
      <c r="J1723"/>
      <c r="K1723"/>
      <c r="L1723"/>
      <c r="M1723" s="17"/>
      <c r="N1723"/>
      <c r="O1723"/>
      <c r="P1723" s="34"/>
    </row>
    <row r="1724" spans="1:16" x14ac:dyDescent="0.25">
      <c r="A1724" s="14"/>
      <c r="B1724"/>
      <c r="C1724" s="15"/>
      <c r="D1724"/>
      <c r="E1724"/>
      <c r="F1724" s="16"/>
      <c r="G1724"/>
      <c r="H1724"/>
      <c r="I1724" s="16"/>
      <c r="J1724"/>
      <c r="K1724"/>
      <c r="L1724"/>
      <c r="M1724" s="17"/>
      <c r="N1724"/>
      <c r="O1724"/>
      <c r="P1724" s="34"/>
    </row>
    <row r="1725" spans="1:16" x14ac:dyDescent="0.25">
      <c r="A1725" s="14"/>
      <c r="B1725"/>
      <c r="C1725" s="15"/>
      <c r="D1725"/>
      <c r="E1725"/>
      <c r="F1725" s="16"/>
      <c r="G1725"/>
      <c r="H1725"/>
      <c r="I1725" s="16"/>
      <c r="J1725"/>
      <c r="K1725"/>
      <c r="L1725"/>
      <c r="M1725" s="17"/>
      <c r="N1725"/>
      <c r="O1725"/>
      <c r="P1725" s="34"/>
    </row>
    <row r="1726" spans="1:16" x14ac:dyDescent="0.25">
      <c r="A1726" s="14"/>
      <c r="B1726"/>
      <c r="C1726" s="15"/>
      <c r="D1726"/>
      <c r="E1726"/>
      <c r="F1726" s="16"/>
      <c r="G1726"/>
      <c r="H1726"/>
      <c r="I1726" s="16"/>
      <c r="J1726"/>
      <c r="K1726"/>
      <c r="L1726"/>
      <c r="M1726" s="17"/>
      <c r="N1726"/>
      <c r="O1726"/>
      <c r="P1726" s="34"/>
    </row>
    <row r="1727" spans="1:16" x14ac:dyDescent="0.25">
      <c r="A1727" s="14"/>
      <c r="B1727"/>
      <c r="C1727" s="15"/>
      <c r="D1727"/>
      <c r="E1727"/>
      <c r="F1727" s="16"/>
      <c r="G1727"/>
      <c r="H1727"/>
      <c r="I1727" s="16"/>
      <c r="J1727"/>
      <c r="K1727"/>
      <c r="L1727"/>
      <c r="M1727" s="17"/>
      <c r="N1727"/>
      <c r="O1727"/>
      <c r="P1727" s="34"/>
    </row>
    <row r="1728" spans="1:16" x14ac:dyDescent="0.25">
      <c r="A1728" s="14"/>
      <c r="B1728"/>
      <c r="C1728" s="15"/>
      <c r="D1728"/>
      <c r="E1728"/>
      <c r="F1728" s="16"/>
      <c r="G1728"/>
      <c r="H1728"/>
      <c r="I1728" s="16"/>
      <c r="J1728"/>
      <c r="K1728"/>
      <c r="L1728"/>
      <c r="M1728" s="17"/>
      <c r="N1728"/>
      <c r="O1728"/>
      <c r="P1728" s="34"/>
    </row>
    <row r="1729" spans="1:16" x14ac:dyDescent="0.25">
      <c r="A1729" s="14"/>
      <c r="B1729"/>
      <c r="C1729" s="15"/>
      <c r="D1729"/>
      <c r="E1729"/>
      <c r="F1729" s="16"/>
      <c r="G1729"/>
      <c r="H1729"/>
      <c r="I1729" s="16"/>
      <c r="J1729"/>
      <c r="K1729"/>
      <c r="L1729"/>
      <c r="M1729" s="17"/>
      <c r="N1729"/>
      <c r="O1729"/>
      <c r="P1729" s="34"/>
    </row>
    <row r="1730" spans="1:16" x14ac:dyDescent="0.25">
      <c r="A1730" s="14"/>
      <c r="B1730"/>
      <c r="C1730" s="15"/>
      <c r="D1730"/>
      <c r="E1730"/>
      <c r="F1730" s="16"/>
      <c r="G1730"/>
      <c r="H1730"/>
      <c r="I1730" s="16"/>
      <c r="J1730"/>
      <c r="K1730"/>
      <c r="L1730"/>
      <c r="M1730" s="17"/>
      <c r="N1730"/>
      <c r="O1730"/>
      <c r="P1730" s="34"/>
    </row>
    <row r="1731" spans="1:16" x14ac:dyDescent="0.25">
      <c r="A1731" s="14"/>
      <c r="B1731"/>
      <c r="C1731" s="15"/>
      <c r="D1731"/>
      <c r="E1731"/>
      <c r="F1731" s="16"/>
      <c r="G1731"/>
      <c r="H1731"/>
      <c r="I1731" s="16"/>
      <c r="J1731"/>
      <c r="K1731"/>
      <c r="L1731"/>
      <c r="M1731" s="17"/>
      <c r="N1731"/>
      <c r="O1731"/>
      <c r="P1731" s="34"/>
    </row>
    <row r="1732" spans="1:16" x14ac:dyDescent="0.25">
      <c r="A1732" s="14"/>
      <c r="B1732"/>
      <c r="C1732" s="15"/>
      <c r="D1732"/>
      <c r="E1732"/>
      <c r="F1732" s="16"/>
      <c r="G1732"/>
      <c r="H1732"/>
      <c r="I1732" s="16"/>
      <c r="J1732"/>
      <c r="K1732"/>
      <c r="L1732"/>
      <c r="M1732" s="17"/>
      <c r="N1732"/>
      <c r="O1732"/>
      <c r="P1732" s="34"/>
    </row>
    <row r="1733" spans="1:16" x14ac:dyDescent="0.25">
      <c r="A1733" s="14"/>
      <c r="B1733"/>
      <c r="C1733" s="15"/>
      <c r="D1733"/>
      <c r="E1733"/>
      <c r="F1733" s="16"/>
      <c r="G1733"/>
      <c r="H1733"/>
      <c r="I1733" s="16"/>
      <c r="J1733"/>
      <c r="K1733"/>
      <c r="L1733"/>
      <c r="M1733" s="17"/>
      <c r="N1733"/>
      <c r="O1733"/>
      <c r="P1733" s="34"/>
    </row>
    <row r="1734" spans="1:16" x14ac:dyDescent="0.25">
      <c r="A1734" s="14"/>
      <c r="B1734"/>
      <c r="C1734" s="15"/>
      <c r="D1734"/>
      <c r="E1734"/>
      <c r="F1734" s="16"/>
      <c r="G1734"/>
      <c r="H1734"/>
      <c r="I1734" s="16"/>
      <c r="J1734"/>
      <c r="K1734"/>
      <c r="L1734"/>
      <c r="M1734" s="17"/>
      <c r="N1734"/>
      <c r="O1734"/>
      <c r="P1734" s="34"/>
    </row>
    <row r="1735" spans="1:16" x14ac:dyDescent="0.25">
      <c r="A1735" s="14"/>
      <c r="B1735"/>
      <c r="C1735" s="15"/>
      <c r="D1735"/>
      <c r="E1735"/>
      <c r="F1735" s="16"/>
      <c r="G1735"/>
      <c r="H1735"/>
      <c r="I1735" s="16"/>
      <c r="J1735"/>
      <c r="K1735"/>
      <c r="L1735"/>
      <c r="M1735" s="17"/>
      <c r="N1735"/>
      <c r="O1735"/>
      <c r="P1735" s="34"/>
    </row>
    <row r="1736" spans="1:16" x14ac:dyDescent="0.25">
      <c r="A1736" s="14"/>
      <c r="B1736"/>
      <c r="C1736" s="15"/>
      <c r="D1736"/>
      <c r="E1736"/>
      <c r="F1736" s="16"/>
      <c r="G1736"/>
      <c r="H1736"/>
      <c r="I1736" s="16"/>
      <c r="J1736"/>
      <c r="K1736"/>
      <c r="L1736"/>
      <c r="M1736" s="17"/>
      <c r="N1736"/>
      <c r="O1736"/>
      <c r="P1736" s="34"/>
    </row>
    <row r="1737" spans="1:16" x14ac:dyDescent="0.25">
      <c r="A1737" s="14"/>
      <c r="B1737"/>
      <c r="C1737" s="15"/>
      <c r="D1737"/>
      <c r="E1737"/>
      <c r="F1737" s="16"/>
      <c r="G1737"/>
      <c r="H1737"/>
      <c r="I1737" s="16"/>
      <c r="J1737"/>
      <c r="K1737"/>
      <c r="L1737"/>
      <c r="M1737" s="17"/>
      <c r="N1737"/>
      <c r="O1737"/>
      <c r="P1737" s="34"/>
    </row>
    <row r="1738" spans="1:16" x14ac:dyDescent="0.25">
      <c r="A1738" s="14"/>
      <c r="B1738"/>
      <c r="C1738" s="15"/>
      <c r="D1738"/>
      <c r="E1738"/>
      <c r="F1738" s="16"/>
      <c r="G1738"/>
      <c r="H1738"/>
      <c r="I1738" s="16"/>
      <c r="J1738"/>
      <c r="K1738"/>
      <c r="L1738"/>
      <c r="M1738" s="17"/>
      <c r="N1738"/>
      <c r="O1738"/>
      <c r="P1738" s="34"/>
    </row>
    <row r="1739" spans="1:16" x14ac:dyDescent="0.25">
      <c r="A1739" s="14"/>
      <c r="B1739"/>
      <c r="C1739" s="15"/>
      <c r="D1739"/>
      <c r="E1739"/>
      <c r="F1739" s="16"/>
      <c r="G1739"/>
      <c r="H1739"/>
      <c r="I1739" s="16"/>
      <c r="J1739"/>
      <c r="K1739"/>
      <c r="L1739"/>
      <c r="M1739" s="17"/>
      <c r="N1739"/>
      <c r="O1739"/>
      <c r="P1739" s="34"/>
    </row>
    <row r="1740" spans="1:16" x14ac:dyDescent="0.25">
      <c r="A1740" s="14"/>
      <c r="B1740"/>
      <c r="C1740" s="15"/>
      <c r="D1740"/>
      <c r="E1740"/>
      <c r="F1740" s="16"/>
      <c r="G1740"/>
      <c r="H1740"/>
      <c r="I1740" s="16"/>
      <c r="J1740"/>
      <c r="K1740"/>
      <c r="L1740"/>
      <c r="M1740" s="17"/>
      <c r="N1740"/>
      <c r="O1740"/>
      <c r="P1740" s="34"/>
    </row>
    <row r="1741" spans="1:16" x14ac:dyDescent="0.25">
      <c r="A1741" s="14"/>
      <c r="B1741"/>
      <c r="C1741" s="15"/>
      <c r="D1741"/>
      <c r="E1741"/>
      <c r="F1741" s="16"/>
      <c r="G1741"/>
      <c r="H1741"/>
      <c r="I1741" s="16"/>
      <c r="J1741"/>
      <c r="K1741"/>
      <c r="L1741"/>
      <c r="M1741" s="17"/>
      <c r="N1741"/>
      <c r="O1741"/>
      <c r="P1741" s="34"/>
    </row>
    <row r="1742" spans="1:16" x14ac:dyDescent="0.25">
      <c r="A1742" s="14"/>
      <c r="B1742"/>
      <c r="C1742" s="15"/>
      <c r="D1742"/>
      <c r="E1742"/>
      <c r="F1742" s="16"/>
      <c r="G1742"/>
      <c r="H1742"/>
      <c r="I1742" s="16"/>
      <c r="J1742"/>
      <c r="K1742"/>
      <c r="L1742"/>
      <c r="M1742" s="17"/>
      <c r="N1742"/>
      <c r="O1742"/>
      <c r="P1742" s="34"/>
    </row>
    <row r="1743" spans="1:16" x14ac:dyDescent="0.25">
      <c r="A1743" s="14"/>
      <c r="B1743"/>
      <c r="C1743" s="15"/>
      <c r="D1743"/>
      <c r="E1743"/>
      <c r="F1743" s="16"/>
      <c r="G1743"/>
      <c r="H1743"/>
      <c r="I1743" s="16"/>
      <c r="J1743"/>
      <c r="K1743"/>
      <c r="L1743"/>
      <c r="M1743" s="17"/>
      <c r="N1743"/>
      <c r="O1743"/>
      <c r="P1743" s="34"/>
    </row>
    <row r="1744" spans="1:16" x14ac:dyDescent="0.25">
      <c r="A1744" s="14"/>
      <c r="B1744"/>
      <c r="C1744" s="15"/>
      <c r="D1744"/>
      <c r="E1744"/>
      <c r="F1744" s="16"/>
      <c r="G1744"/>
      <c r="H1744"/>
      <c r="I1744" s="16"/>
      <c r="J1744"/>
      <c r="K1744"/>
      <c r="L1744"/>
      <c r="M1744" s="17"/>
      <c r="N1744"/>
      <c r="O1744"/>
      <c r="P1744" s="34"/>
    </row>
    <row r="1745" spans="1:16" x14ac:dyDescent="0.25">
      <c r="A1745" s="14"/>
      <c r="B1745"/>
      <c r="C1745" s="15"/>
      <c r="D1745"/>
      <c r="E1745"/>
      <c r="F1745" s="16"/>
      <c r="G1745"/>
      <c r="H1745"/>
      <c r="I1745" s="16"/>
      <c r="J1745"/>
      <c r="K1745"/>
      <c r="L1745"/>
      <c r="M1745" s="17"/>
      <c r="N1745"/>
      <c r="O1745"/>
      <c r="P1745" s="34"/>
    </row>
    <row r="1746" spans="1:16" x14ac:dyDescent="0.25">
      <c r="A1746" s="14"/>
      <c r="B1746"/>
      <c r="C1746" s="15"/>
      <c r="D1746"/>
      <c r="E1746"/>
      <c r="F1746" s="16"/>
      <c r="G1746"/>
      <c r="H1746"/>
      <c r="I1746" s="16"/>
      <c r="J1746"/>
      <c r="K1746"/>
      <c r="L1746"/>
      <c r="M1746" s="17"/>
      <c r="N1746"/>
      <c r="O1746"/>
      <c r="P1746" s="34"/>
    </row>
    <row r="1747" spans="1:16" x14ac:dyDescent="0.25">
      <c r="A1747" s="14"/>
      <c r="B1747"/>
      <c r="C1747" s="15"/>
      <c r="D1747"/>
      <c r="E1747"/>
      <c r="F1747" s="16"/>
      <c r="G1747"/>
      <c r="H1747"/>
      <c r="I1747" s="16"/>
      <c r="J1747"/>
      <c r="K1747"/>
      <c r="L1747"/>
      <c r="M1747" s="17"/>
      <c r="N1747"/>
      <c r="O1747"/>
      <c r="P1747" s="34"/>
    </row>
    <row r="1748" spans="1:16" x14ac:dyDescent="0.25">
      <c r="A1748" s="14"/>
      <c r="B1748"/>
      <c r="C1748" s="15"/>
      <c r="D1748"/>
      <c r="E1748"/>
      <c r="F1748" s="16"/>
      <c r="G1748"/>
      <c r="H1748"/>
      <c r="I1748" s="16"/>
      <c r="J1748"/>
      <c r="K1748"/>
      <c r="L1748"/>
      <c r="M1748" s="17"/>
      <c r="N1748"/>
      <c r="O1748"/>
      <c r="P1748" s="34"/>
    </row>
    <row r="1749" spans="1:16" x14ac:dyDescent="0.25">
      <c r="A1749" s="14"/>
      <c r="B1749"/>
      <c r="C1749" s="15"/>
      <c r="D1749"/>
      <c r="E1749"/>
      <c r="F1749" s="16"/>
      <c r="G1749"/>
      <c r="H1749"/>
      <c r="I1749" s="16"/>
      <c r="J1749"/>
      <c r="K1749"/>
      <c r="L1749"/>
      <c r="M1749" s="17"/>
      <c r="N1749"/>
      <c r="O1749"/>
      <c r="P1749" s="34"/>
    </row>
    <row r="1750" spans="1:16" x14ac:dyDescent="0.25">
      <c r="A1750" s="14"/>
      <c r="B1750"/>
      <c r="C1750" s="15"/>
      <c r="D1750"/>
      <c r="E1750"/>
      <c r="F1750" s="16"/>
      <c r="G1750"/>
      <c r="H1750"/>
      <c r="I1750" s="16"/>
      <c r="J1750"/>
      <c r="K1750"/>
      <c r="L1750"/>
      <c r="M1750" s="17"/>
      <c r="N1750"/>
      <c r="O1750"/>
      <c r="P1750" s="34"/>
    </row>
    <row r="1751" spans="1:16" x14ac:dyDescent="0.25">
      <c r="A1751" s="14"/>
      <c r="B1751"/>
      <c r="C1751" s="15"/>
      <c r="D1751"/>
      <c r="E1751"/>
      <c r="F1751" s="16"/>
      <c r="G1751"/>
      <c r="H1751"/>
      <c r="I1751" s="16"/>
      <c r="J1751"/>
      <c r="K1751"/>
      <c r="L1751"/>
      <c r="M1751" s="17"/>
      <c r="N1751"/>
      <c r="O1751"/>
      <c r="P1751" s="34"/>
    </row>
    <row r="1752" spans="1:16" x14ac:dyDescent="0.25">
      <c r="A1752" s="14"/>
      <c r="B1752"/>
      <c r="C1752" s="15"/>
      <c r="D1752"/>
      <c r="E1752"/>
      <c r="F1752" s="16"/>
      <c r="G1752"/>
      <c r="H1752"/>
      <c r="I1752" s="16"/>
      <c r="J1752"/>
      <c r="K1752"/>
      <c r="L1752"/>
      <c r="M1752" s="17"/>
      <c r="N1752"/>
      <c r="O1752"/>
      <c r="P1752" s="34"/>
    </row>
    <row r="1753" spans="1:16" x14ac:dyDescent="0.25">
      <c r="A1753" s="14"/>
      <c r="B1753"/>
      <c r="C1753" s="15"/>
      <c r="D1753"/>
      <c r="E1753"/>
      <c r="F1753" s="16"/>
      <c r="G1753"/>
      <c r="H1753"/>
      <c r="I1753" s="16"/>
      <c r="J1753"/>
      <c r="K1753"/>
      <c r="L1753"/>
      <c r="M1753" s="17"/>
      <c r="N1753"/>
      <c r="O1753"/>
      <c r="P1753" s="34"/>
    </row>
    <row r="1754" spans="1:16" x14ac:dyDescent="0.25">
      <c r="A1754" s="14"/>
      <c r="B1754"/>
      <c r="C1754" s="15"/>
      <c r="D1754"/>
      <c r="E1754"/>
      <c r="F1754" s="16"/>
      <c r="G1754"/>
      <c r="H1754"/>
      <c r="I1754" s="16"/>
      <c r="J1754"/>
      <c r="K1754"/>
      <c r="L1754"/>
      <c r="M1754" s="17"/>
      <c r="N1754"/>
      <c r="O1754"/>
      <c r="P1754" s="34"/>
    </row>
    <row r="1755" spans="1:16" x14ac:dyDescent="0.25">
      <c r="A1755" s="14"/>
      <c r="B1755"/>
      <c r="C1755" s="15"/>
      <c r="D1755"/>
      <c r="E1755"/>
      <c r="F1755" s="16"/>
      <c r="G1755"/>
      <c r="H1755"/>
      <c r="I1755" s="16"/>
      <c r="J1755"/>
      <c r="K1755"/>
      <c r="L1755"/>
      <c r="M1755" s="17"/>
      <c r="N1755"/>
      <c r="O1755"/>
      <c r="P1755" s="34"/>
    </row>
    <row r="1756" spans="1:16" x14ac:dyDescent="0.25">
      <c r="A1756" s="14"/>
      <c r="B1756"/>
      <c r="C1756" s="15"/>
      <c r="D1756"/>
      <c r="E1756"/>
      <c r="F1756" s="16"/>
      <c r="G1756"/>
      <c r="H1756"/>
      <c r="I1756" s="16"/>
      <c r="J1756"/>
      <c r="K1756"/>
      <c r="L1756"/>
      <c r="M1756" s="17"/>
      <c r="N1756"/>
      <c r="O1756"/>
      <c r="P1756" s="34"/>
    </row>
    <row r="1757" spans="1:16" x14ac:dyDescent="0.25">
      <c r="A1757" s="14"/>
      <c r="B1757"/>
      <c r="C1757" s="15"/>
      <c r="D1757"/>
      <c r="E1757"/>
      <c r="F1757" s="16"/>
      <c r="G1757"/>
      <c r="H1757"/>
      <c r="I1757" s="16"/>
      <c r="J1757"/>
      <c r="K1757"/>
      <c r="L1757"/>
      <c r="M1757" s="17"/>
      <c r="N1757"/>
      <c r="O1757"/>
      <c r="P1757" s="34"/>
    </row>
    <row r="1758" spans="1:16" x14ac:dyDescent="0.25">
      <c r="A1758" s="14"/>
      <c r="B1758"/>
      <c r="C1758" s="15"/>
      <c r="D1758"/>
      <c r="E1758"/>
      <c r="F1758" s="16"/>
      <c r="G1758"/>
      <c r="H1758"/>
      <c r="I1758" s="16"/>
      <c r="J1758"/>
      <c r="K1758"/>
      <c r="L1758"/>
      <c r="M1758" s="17"/>
      <c r="N1758"/>
      <c r="O1758"/>
      <c r="P1758" s="34"/>
    </row>
    <row r="1759" spans="1:16" x14ac:dyDescent="0.25">
      <c r="A1759" s="14"/>
      <c r="B1759"/>
      <c r="C1759" s="15"/>
      <c r="D1759"/>
      <c r="E1759"/>
      <c r="F1759" s="16"/>
      <c r="G1759"/>
      <c r="H1759"/>
      <c r="I1759" s="16"/>
      <c r="J1759"/>
      <c r="K1759"/>
      <c r="L1759"/>
      <c r="M1759" s="17"/>
      <c r="N1759"/>
      <c r="O1759"/>
      <c r="P1759" s="34"/>
    </row>
    <row r="1760" spans="1:16" x14ac:dyDescent="0.25">
      <c r="A1760" s="14"/>
      <c r="B1760"/>
      <c r="C1760" s="15"/>
      <c r="D1760"/>
      <c r="E1760"/>
      <c r="F1760" s="16"/>
      <c r="G1760"/>
      <c r="H1760"/>
      <c r="I1760" s="16"/>
      <c r="J1760"/>
      <c r="K1760"/>
      <c r="L1760"/>
      <c r="M1760" s="17"/>
      <c r="N1760"/>
      <c r="O1760"/>
      <c r="P1760" s="34"/>
    </row>
    <row r="1761" spans="1:16" x14ac:dyDescent="0.25">
      <c r="A1761" s="14"/>
      <c r="B1761"/>
      <c r="C1761" s="15"/>
      <c r="D1761"/>
      <c r="E1761"/>
      <c r="F1761" s="16"/>
      <c r="G1761"/>
      <c r="H1761"/>
      <c r="I1761" s="16"/>
      <c r="J1761"/>
      <c r="K1761"/>
      <c r="L1761"/>
      <c r="M1761" s="17"/>
      <c r="N1761"/>
      <c r="O1761"/>
      <c r="P1761" s="34"/>
    </row>
    <row r="1762" spans="1:16" x14ac:dyDescent="0.25">
      <c r="A1762" s="14"/>
      <c r="B1762"/>
      <c r="C1762" s="15"/>
      <c r="D1762"/>
      <c r="E1762"/>
      <c r="F1762" s="16"/>
      <c r="G1762"/>
      <c r="H1762"/>
      <c r="I1762" s="16"/>
      <c r="J1762"/>
      <c r="K1762"/>
      <c r="L1762"/>
      <c r="M1762" s="17"/>
      <c r="N1762"/>
      <c r="O1762"/>
      <c r="P1762" s="34"/>
    </row>
    <row r="1763" spans="1:16" x14ac:dyDescent="0.25">
      <c r="A1763" s="14"/>
      <c r="B1763"/>
      <c r="C1763" s="15"/>
      <c r="D1763"/>
      <c r="E1763"/>
      <c r="F1763" s="16"/>
      <c r="G1763"/>
      <c r="H1763"/>
      <c r="I1763" s="16"/>
      <c r="J1763"/>
      <c r="K1763"/>
      <c r="L1763"/>
      <c r="M1763" s="17"/>
      <c r="N1763"/>
      <c r="O1763"/>
      <c r="P1763" s="34"/>
    </row>
    <row r="1764" spans="1:16" x14ac:dyDescent="0.25">
      <c r="A1764" s="14"/>
      <c r="B1764"/>
      <c r="C1764" s="15"/>
      <c r="D1764"/>
      <c r="E1764"/>
      <c r="F1764" s="16"/>
      <c r="G1764"/>
      <c r="H1764"/>
      <c r="I1764" s="16"/>
      <c r="J1764"/>
      <c r="K1764"/>
      <c r="L1764"/>
      <c r="M1764" s="17"/>
      <c r="N1764"/>
      <c r="O1764"/>
      <c r="P1764" s="34"/>
    </row>
    <row r="1765" spans="1:16" x14ac:dyDescent="0.25">
      <c r="A1765" s="14"/>
      <c r="B1765"/>
      <c r="C1765" s="15"/>
      <c r="D1765"/>
      <c r="E1765"/>
      <c r="F1765" s="16"/>
      <c r="G1765"/>
      <c r="H1765"/>
      <c r="I1765" s="16"/>
      <c r="J1765"/>
      <c r="K1765"/>
      <c r="L1765"/>
      <c r="M1765" s="17"/>
      <c r="N1765"/>
      <c r="O1765"/>
      <c r="P1765" s="34"/>
    </row>
    <row r="1766" spans="1:16" x14ac:dyDescent="0.25">
      <c r="A1766" s="14"/>
      <c r="B1766"/>
      <c r="C1766" s="15"/>
      <c r="D1766"/>
      <c r="E1766"/>
      <c r="F1766" s="16"/>
      <c r="G1766"/>
      <c r="H1766"/>
      <c r="I1766" s="16"/>
      <c r="J1766"/>
      <c r="K1766"/>
      <c r="L1766"/>
      <c r="M1766" s="17"/>
      <c r="N1766"/>
      <c r="O1766"/>
      <c r="P1766" s="34"/>
    </row>
    <row r="1767" spans="1:16" x14ac:dyDescent="0.25">
      <c r="A1767" s="14"/>
      <c r="B1767"/>
      <c r="C1767" s="15"/>
      <c r="D1767"/>
      <c r="E1767"/>
      <c r="F1767" s="16"/>
      <c r="G1767"/>
      <c r="H1767"/>
      <c r="I1767" s="16"/>
      <c r="J1767"/>
      <c r="K1767"/>
      <c r="L1767"/>
      <c r="M1767" s="17"/>
      <c r="N1767"/>
      <c r="O1767"/>
      <c r="P1767" s="34"/>
    </row>
    <row r="1768" spans="1:16" x14ac:dyDescent="0.25">
      <c r="A1768" s="14"/>
      <c r="B1768"/>
      <c r="C1768" s="15"/>
      <c r="D1768"/>
      <c r="E1768"/>
      <c r="F1768" s="16"/>
      <c r="G1768"/>
      <c r="H1768"/>
      <c r="I1768" s="16"/>
      <c r="J1768"/>
      <c r="K1768"/>
      <c r="L1768"/>
      <c r="M1768" s="17"/>
      <c r="N1768"/>
      <c r="O1768"/>
      <c r="P1768" s="34"/>
    </row>
    <row r="1769" spans="1:16" x14ac:dyDescent="0.25">
      <c r="A1769" s="14"/>
      <c r="B1769"/>
      <c r="C1769" s="15"/>
      <c r="D1769"/>
      <c r="E1769"/>
      <c r="F1769" s="16"/>
      <c r="G1769"/>
      <c r="H1769"/>
      <c r="I1769" s="16"/>
      <c r="J1769"/>
      <c r="K1769"/>
      <c r="L1769"/>
      <c r="M1769" s="17"/>
      <c r="N1769"/>
      <c r="O1769"/>
      <c r="P1769" s="34"/>
    </row>
    <row r="1770" spans="1:16" x14ac:dyDescent="0.25">
      <c r="A1770" s="14"/>
      <c r="B1770"/>
      <c r="C1770" s="15"/>
      <c r="D1770"/>
      <c r="E1770"/>
      <c r="F1770" s="16"/>
      <c r="G1770"/>
      <c r="H1770"/>
      <c r="I1770" s="16"/>
      <c r="J1770"/>
      <c r="K1770"/>
      <c r="L1770"/>
      <c r="M1770" s="17"/>
      <c r="N1770"/>
      <c r="O1770"/>
      <c r="P1770" s="34"/>
    </row>
    <row r="1771" spans="1:16" x14ac:dyDescent="0.25">
      <c r="A1771" s="14"/>
      <c r="B1771"/>
      <c r="C1771" s="15"/>
      <c r="D1771"/>
      <c r="E1771"/>
      <c r="F1771" s="16"/>
      <c r="G1771"/>
      <c r="H1771"/>
      <c r="I1771" s="16"/>
      <c r="J1771"/>
      <c r="K1771"/>
      <c r="L1771"/>
      <c r="M1771" s="17"/>
      <c r="N1771"/>
      <c r="O1771"/>
      <c r="P1771" s="34"/>
    </row>
    <row r="1772" spans="1:16" x14ac:dyDescent="0.25">
      <c r="A1772" s="14"/>
      <c r="B1772"/>
      <c r="C1772" s="15"/>
      <c r="D1772"/>
      <c r="E1772"/>
      <c r="F1772" s="16"/>
      <c r="G1772"/>
      <c r="H1772"/>
      <c r="I1772" s="16"/>
      <c r="J1772"/>
      <c r="K1772"/>
      <c r="L1772"/>
      <c r="M1772" s="17"/>
      <c r="N1772"/>
      <c r="O1772"/>
      <c r="P1772" s="34"/>
    </row>
    <row r="1773" spans="1:16" x14ac:dyDescent="0.25">
      <c r="A1773" s="14"/>
      <c r="B1773"/>
      <c r="C1773" s="15"/>
      <c r="D1773"/>
      <c r="E1773"/>
      <c r="F1773" s="16"/>
      <c r="G1773"/>
      <c r="H1773"/>
      <c r="I1773" s="16"/>
      <c r="J1773"/>
      <c r="K1773"/>
      <c r="L1773"/>
      <c r="M1773" s="17"/>
      <c r="N1773"/>
      <c r="O1773"/>
      <c r="P1773" s="34"/>
    </row>
    <row r="1774" spans="1:16" x14ac:dyDescent="0.25">
      <c r="A1774" s="14"/>
      <c r="B1774"/>
      <c r="C1774" s="15"/>
      <c r="D1774"/>
      <c r="E1774"/>
      <c r="F1774" s="16"/>
      <c r="G1774"/>
      <c r="H1774"/>
      <c r="I1774" s="16"/>
      <c r="J1774"/>
      <c r="K1774"/>
      <c r="L1774"/>
      <c r="M1774" s="17"/>
      <c r="N1774"/>
      <c r="O1774"/>
      <c r="P1774" s="34"/>
    </row>
    <row r="1775" spans="1:16" x14ac:dyDescent="0.25">
      <c r="A1775" s="14"/>
      <c r="B1775"/>
      <c r="C1775" s="15"/>
      <c r="D1775"/>
      <c r="E1775"/>
      <c r="F1775" s="16"/>
      <c r="G1775"/>
      <c r="H1775"/>
      <c r="I1775" s="16"/>
      <c r="J1775"/>
      <c r="K1775"/>
      <c r="L1775"/>
      <c r="M1775" s="17"/>
      <c r="N1775"/>
      <c r="O1775"/>
      <c r="P1775" s="34"/>
    </row>
    <row r="1776" spans="1:16" x14ac:dyDescent="0.25">
      <c r="A1776" s="14"/>
      <c r="B1776"/>
      <c r="C1776" s="15"/>
      <c r="D1776"/>
      <c r="E1776"/>
      <c r="F1776" s="16"/>
      <c r="G1776"/>
      <c r="H1776"/>
      <c r="I1776" s="16"/>
      <c r="J1776"/>
      <c r="K1776"/>
      <c r="L1776"/>
      <c r="M1776" s="17"/>
      <c r="N1776"/>
      <c r="O1776"/>
      <c r="P1776" s="34"/>
    </row>
    <row r="1777" spans="1:16" x14ac:dyDescent="0.25">
      <c r="A1777" s="14"/>
      <c r="B1777"/>
      <c r="C1777" s="15"/>
      <c r="D1777"/>
      <c r="E1777"/>
      <c r="F1777" s="16"/>
      <c r="G1777"/>
      <c r="H1777"/>
      <c r="I1777" s="16"/>
      <c r="J1777"/>
      <c r="K1777"/>
      <c r="L1777"/>
      <c r="M1777" s="17"/>
      <c r="N1777"/>
      <c r="O1777"/>
      <c r="P1777" s="34"/>
    </row>
    <row r="1778" spans="1:16" x14ac:dyDescent="0.25">
      <c r="A1778" s="14"/>
      <c r="B1778"/>
      <c r="C1778" s="15"/>
      <c r="D1778"/>
      <c r="E1778"/>
      <c r="F1778" s="16"/>
      <c r="G1778"/>
      <c r="H1778"/>
      <c r="I1778" s="16"/>
      <c r="J1778"/>
      <c r="K1778"/>
      <c r="L1778"/>
      <c r="M1778" s="17"/>
      <c r="N1778"/>
      <c r="O1778"/>
      <c r="P1778" s="34"/>
    </row>
    <row r="1779" spans="1:16" x14ac:dyDescent="0.25">
      <c r="A1779" s="14"/>
      <c r="B1779"/>
      <c r="C1779" s="15"/>
      <c r="D1779"/>
      <c r="E1779"/>
      <c r="F1779" s="16"/>
      <c r="G1779"/>
      <c r="H1779"/>
      <c r="I1779" s="16"/>
      <c r="J1779"/>
      <c r="K1779"/>
      <c r="L1779"/>
      <c r="M1779" s="17"/>
      <c r="N1779"/>
      <c r="O1779"/>
      <c r="P1779" s="34"/>
    </row>
    <row r="1780" spans="1:16" x14ac:dyDescent="0.25">
      <c r="A1780" s="14"/>
      <c r="B1780"/>
      <c r="C1780" s="15"/>
      <c r="D1780"/>
      <c r="E1780"/>
      <c r="F1780" s="16"/>
      <c r="G1780"/>
      <c r="H1780"/>
      <c r="I1780" s="16"/>
      <c r="J1780"/>
      <c r="K1780"/>
      <c r="L1780"/>
      <c r="M1780" s="17"/>
      <c r="N1780"/>
      <c r="O1780"/>
      <c r="P1780" s="34"/>
    </row>
    <row r="1781" spans="1:16" x14ac:dyDescent="0.25">
      <c r="A1781" s="14"/>
      <c r="B1781"/>
      <c r="C1781" s="15"/>
      <c r="D1781"/>
      <c r="E1781"/>
      <c r="F1781" s="16"/>
      <c r="G1781"/>
      <c r="H1781"/>
      <c r="I1781" s="16"/>
      <c r="J1781"/>
      <c r="K1781"/>
      <c r="L1781"/>
      <c r="M1781" s="17"/>
      <c r="N1781"/>
      <c r="O1781"/>
      <c r="P1781" s="34"/>
    </row>
    <row r="1782" spans="1:16" x14ac:dyDescent="0.25">
      <c r="A1782" s="14"/>
      <c r="B1782"/>
      <c r="C1782" s="15"/>
      <c r="D1782"/>
      <c r="E1782"/>
      <c r="F1782" s="16"/>
      <c r="G1782"/>
      <c r="H1782"/>
      <c r="I1782" s="16"/>
      <c r="J1782"/>
      <c r="K1782"/>
      <c r="L1782"/>
      <c r="M1782" s="17"/>
      <c r="N1782"/>
      <c r="O1782"/>
      <c r="P1782" s="34"/>
    </row>
    <row r="1783" spans="1:16" x14ac:dyDescent="0.25">
      <c r="A1783" s="14"/>
      <c r="B1783"/>
      <c r="C1783" s="15"/>
      <c r="D1783"/>
      <c r="E1783"/>
      <c r="F1783" s="16"/>
      <c r="G1783"/>
      <c r="H1783"/>
      <c r="I1783" s="16"/>
      <c r="J1783"/>
      <c r="K1783"/>
      <c r="L1783"/>
      <c r="M1783" s="17"/>
      <c r="N1783"/>
      <c r="O1783"/>
      <c r="P1783" s="34"/>
    </row>
    <row r="1784" spans="1:16" x14ac:dyDescent="0.25">
      <c r="A1784" s="14"/>
      <c r="B1784"/>
      <c r="C1784" s="15"/>
      <c r="D1784"/>
      <c r="E1784"/>
      <c r="F1784" s="16"/>
      <c r="G1784"/>
      <c r="H1784"/>
      <c r="I1784" s="16"/>
      <c r="J1784"/>
      <c r="K1784"/>
      <c r="L1784"/>
      <c r="M1784" s="17"/>
      <c r="N1784"/>
      <c r="O1784"/>
      <c r="P1784" s="34"/>
    </row>
    <row r="1785" spans="1:16" x14ac:dyDescent="0.25">
      <c r="A1785" s="14"/>
      <c r="B1785"/>
      <c r="C1785" s="15"/>
      <c r="D1785"/>
      <c r="E1785"/>
      <c r="F1785" s="16"/>
      <c r="G1785"/>
      <c r="H1785"/>
      <c r="I1785" s="16"/>
      <c r="J1785"/>
      <c r="K1785"/>
      <c r="L1785"/>
      <c r="M1785" s="17"/>
      <c r="N1785"/>
      <c r="O1785"/>
      <c r="P1785" s="34"/>
    </row>
    <row r="1786" spans="1:16" x14ac:dyDescent="0.25">
      <c r="A1786" s="14"/>
      <c r="B1786"/>
      <c r="C1786" s="15"/>
      <c r="D1786"/>
      <c r="E1786"/>
      <c r="F1786" s="16"/>
      <c r="G1786"/>
      <c r="H1786"/>
      <c r="I1786" s="16"/>
      <c r="J1786"/>
      <c r="K1786"/>
      <c r="L1786"/>
      <c r="M1786" s="17"/>
      <c r="N1786"/>
      <c r="O1786"/>
      <c r="P1786" s="34"/>
    </row>
    <row r="1787" spans="1:16" x14ac:dyDescent="0.25">
      <c r="A1787" s="14"/>
      <c r="B1787"/>
      <c r="C1787" s="15"/>
      <c r="D1787"/>
      <c r="E1787"/>
      <c r="F1787" s="16"/>
      <c r="G1787"/>
      <c r="H1787"/>
      <c r="I1787" s="16"/>
      <c r="J1787"/>
      <c r="K1787"/>
      <c r="L1787"/>
      <c r="M1787" s="17"/>
      <c r="N1787"/>
      <c r="O1787"/>
      <c r="P1787" s="34"/>
    </row>
    <row r="1788" spans="1:16" x14ac:dyDescent="0.25">
      <c r="A1788" s="14"/>
      <c r="B1788"/>
      <c r="C1788" s="15"/>
      <c r="D1788"/>
      <c r="E1788"/>
      <c r="F1788" s="16"/>
      <c r="G1788"/>
      <c r="H1788"/>
      <c r="I1788" s="16"/>
      <c r="J1788"/>
      <c r="K1788"/>
      <c r="L1788"/>
      <c r="M1788" s="17"/>
      <c r="N1788"/>
      <c r="O1788"/>
      <c r="P1788" s="34"/>
    </row>
    <row r="1789" spans="1:16" x14ac:dyDescent="0.25">
      <c r="A1789" s="14"/>
      <c r="B1789"/>
      <c r="C1789" s="15"/>
      <c r="D1789"/>
      <c r="E1789"/>
      <c r="F1789" s="16"/>
      <c r="G1789"/>
      <c r="H1789"/>
      <c r="I1789" s="16"/>
      <c r="J1789"/>
      <c r="K1789"/>
      <c r="L1789"/>
      <c r="M1789" s="17"/>
      <c r="N1789"/>
      <c r="O1789"/>
      <c r="P1789" s="34"/>
    </row>
    <row r="1790" spans="1:16" x14ac:dyDescent="0.25">
      <c r="A1790" s="14"/>
      <c r="B1790"/>
      <c r="C1790" s="15"/>
      <c r="D1790"/>
      <c r="E1790"/>
      <c r="F1790" s="16"/>
      <c r="G1790"/>
      <c r="H1790"/>
      <c r="I1790" s="16"/>
      <c r="J1790"/>
      <c r="K1790"/>
      <c r="L1790"/>
      <c r="M1790" s="17"/>
      <c r="N1790"/>
      <c r="O1790"/>
      <c r="P1790" s="34"/>
    </row>
    <row r="1791" spans="1:16" x14ac:dyDescent="0.25">
      <c r="A1791" s="14"/>
      <c r="B1791"/>
      <c r="C1791" s="15"/>
      <c r="D1791"/>
      <c r="E1791"/>
      <c r="F1791" s="16"/>
      <c r="G1791"/>
      <c r="H1791"/>
      <c r="I1791" s="16"/>
      <c r="J1791"/>
      <c r="K1791"/>
      <c r="L1791"/>
      <c r="M1791" s="17"/>
      <c r="N1791"/>
      <c r="O1791"/>
      <c r="P1791" s="34"/>
    </row>
    <row r="1792" spans="1:16" x14ac:dyDescent="0.25">
      <c r="A1792" s="14"/>
      <c r="B1792"/>
      <c r="C1792" s="15"/>
      <c r="D1792"/>
      <c r="E1792"/>
      <c r="F1792" s="16"/>
      <c r="G1792"/>
      <c r="H1792"/>
      <c r="I1792" s="16"/>
      <c r="J1792"/>
      <c r="K1792"/>
      <c r="L1792"/>
      <c r="M1792" s="17"/>
      <c r="N1792"/>
      <c r="O1792"/>
      <c r="P1792" s="34"/>
    </row>
    <row r="1793" spans="1:16" x14ac:dyDescent="0.25">
      <c r="A1793" s="14"/>
      <c r="B1793"/>
      <c r="C1793" s="15"/>
      <c r="D1793"/>
      <c r="E1793"/>
      <c r="F1793" s="16"/>
      <c r="G1793"/>
      <c r="H1793"/>
      <c r="I1793" s="16"/>
      <c r="J1793"/>
      <c r="K1793"/>
      <c r="L1793"/>
      <c r="M1793" s="17"/>
      <c r="N1793"/>
      <c r="O1793"/>
      <c r="P1793" s="34"/>
    </row>
    <row r="1794" spans="1:16" x14ac:dyDescent="0.25">
      <c r="A1794" s="14"/>
      <c r="B1794"/>
      <c r="C1794" s="15"/>
      <c r="D1794"/>
      <c r="E1794"/>
      <c r="F1794" s="16"/>
      <c r="G1794"/>
      <c r="H1794"/>
      <c r="I1794" s="16"/>
      <c r="J1794"/>
      <c r="K1794"/>
      <c r="L1794"/>
      <c r="M1794" s="17"/>
      <c r="N1794"/>
      <c r="O1794"/>
      <c r="P1794" s="34"/>
    </row>
    <row r="1795" spans="1:16" x14ac:dyDescent="0.25">
      <c r="A1795" s="14"/>
      <c r="B1795"/>
      <c r="C1795" s="15"/>
      <c r="D1795"/>
      <c r="E1795"/>
      <c r="F1795" s="16"/>
      <c r="G1795"/>
      <c r="H1795"/>
      <c r="I1795" s="16"/>
      <c r="J1795"/>
      <c r="K1795"/>
      <c r="L1795"/>
      <c r="M1795" s="17"/>
      <c r="N1795"/>
      <c r="O1795"/>
      <c r="P1795" s="34"/>
    </row>
    <row r="1796" spans="1:16" x14ac:dyDescent="0.25">
      <c r="A1796" s="14"/>
      <c r="B1796"/>
      <c r="C1796" s="15"/>
      <c r="D1796"/>
      <c r="E1796"/>
      <c r="F1796" s="16"/>
      <c r="G1796"/>
      <c r="H1796"/>
      <c r="I1796" s="16"/>
      <c r="J1796"/>
      <c r="K1796"/>
      <c r="L1796"/>
      <c r="M1796" s="17"/>
      <c r="N1796"/>
      <c r="O1796"/>
      <c r="P1796" s="34"/>
    </row>
    <row r="1797" spans="1:16" x14ac:dyDescent="0.25">
      <c r="A1797" s="14"/>
      <c r="B1797"/>
      <c r="C1797" s="15"/>
      <c r="D1797"/>
      <c r="E1797"/>
      <c r="F1797" s="16"/>
      <c r="G1797"/>
      <c r="H1797"/>
      <c r="I1797" s="16"/>
      <c r="J1797"/>
      <c r="K1797"/>
      <c r="L1797"/>
      <c r="M1797" s="17"/>
      <c r="N1797"/>
      <c r="O1797"/>
      <c r="P1797" s="34"/>
    </row>
    <row r="1798" spans="1:16" x14ac:dyDescent="0.25">
      <c r="A1798" s="14"/>
      <c r="B1798"/>
      <c r="C1798" s="15"/>
      <c r="D1798"/>
      <c r="E1798"/>
      <c r="F1798" s="16"/>
      <c r="G1798"/>
      <c r="H1798"/>
      <c r="I1798" s="16"/>
      <c r="J1798"/>
      <c r="K1798"/>
      <c r="L1798"/>
      <c r="M1798" s="17"/>
      <c r="N1798"/>
      <c r="O1798"/>
      <c r="P1798" s="34"/>
    </row>
    <row r="1799" spans="1:16" x14ac:dyDescent="0.25">
      <c r="A1799" s="14"/>
      <c r="B1799"/>
      <c r="C1799" s="15"/>
      <c r="D1799"/>
      <c r="E1799"/>
      <c r="F1799" s="16"/>
      <c r="G1799"/>
      <c r="H1799"/>
      <c r="I1799" s="16"/>
      <c r="J1799"/>
      <c r="K1799"/>
      <c r="L1799"/>
      <c r="M1799" s="17"/>
      <c r="N1799"/>
      <c r="O1799"/>
      <c r="P1799" s="34"/>
    </row>
    <row r="1800" spans="1:16" x14ac:dyDescent="0.25">
      <c r="A1800" s="14"/>
      <c r="B1800"/>
      <c r="C1800" s="15"/>
      <c r="D1800"/>
      <c r="E1800"/>
      <c r="F1800" s="16"/>
      <c r="G1800"/>
      <c r="H1800"/>
      <c r="I1800" s="16"/>
      <c r="J1800"/>
      <c r="K1800"/>
      <c r="L1800"/>
      <c r="M1800" s="17"/>
      <c r="N1800"/>
      <c r="O1800"/>
      <c r="P1800" s="34"/>
    </row>
    <row r="1801" spans="1:16" x14ac:dyDescent="0.25">
      <c r="A1801" s="14"/>
      <c r="B1801"/>
      <c r="C1801" s="15"/>
      <c r="D1801"/>
      <c r="E1801"/>
      <c r="F1801" s="16"/>
      <c r="G1801"/>
      <c r="H1801"/>
      <c r="I1801" s="16"/>
      <c r="J1801"/>
      <c r="K1801"/>
      <c r="L1801"/>
      <c r="M1801" s="17"/>
      <c r="N1801"/>
      <c r="O1801"/>
      <c r="P1801" s="34"/>
    </row>
    <row r="1802" spans="1:16" x14ac:dyDescent="0.25">
      <c r="A1802" s="14"/>
      <c r="B1802"/>
      <c r="C1802" s="15"/>
      <c r="D1802"/>
      <c r="E1802"/>
      <c r="F1802" s="16"/>
      <c r="G1802"/>
      <c r="H1802"/>
      <c r="I1802" s="16"/>
      <c r="J1802"/>
      <c r="K1802"/>
      <c r="L1802"/>
      <c r="M1802" s="17"/>
      <c r="N1802"/>
      <c r="O1802"/>
      <c r="P1802" s="34"/>
    </row>
    <row r="1803" spans="1:16" x14ac:dyDescent="0.25">
      <c r="A1803" s="14"/>
      <c r="B1803"/>
      <c r="C1803" s="15"/>
      <c r="D1803"/>
      <c r="E1803"/>
      <c r="F1803" s="16"/>
      <c r="G1803"/>
      <c r="H1803"/>
      <c r="I1803" s="16"/>
      <c r="J1803"/>
      <c r="K1803"/>
      <c r="L1803"/>
      <c r="M1803" s="17"/>
      <c r="N1803"/>
      <c r="O1803"/>
      <c r="P1803" s="34"/>
    </row>
    <row r="1804" spans="1:16" x14ac:dyDescent="0.25">
      <c r="A1804" s="14"/>
      <c r="B1804"/>
      <c r="C1804" s="15"/>
      <c r="D1804"/>
      <c r="E1804"/>
      <c r="F1804" s="16"/>
      <c r="G1804"/>
      <c r="H1804"/>
      <c r="I1804" s="16"/>
      <c r="J1804"/>
      <c r="K1804"/>
      <c r="L1804"/>
      <c r="M1804" s="17"/>
      <c r="N1804"/>
      <c r="O1804"/>
      <c r="P1804" s="34"/>
    </row>
    <row r="1805" spans="1:16" x14ac:dyDescent="0.25">
      <c r="A1805" s="14"/>
      <c r="B1805"/>
      <c r="C1805" s="15"/>
      <c r="D1805"/>
      <c r="E1805"/>
      <c r="F1805" s="16"/>
      <c r="G1805"/>
      <c r="H1805"/>
      <c r="I1805" s="16"/>
      <c r="J1805"/>
      <c r="K1805"/>
      <c r="L1805"/>
      <c r="M1805" s="17"/>
      <c r="N1805"/>
      <c r="O1805"/>
      <c r="P1805" s="34"/>
    </row>
    <row r="1806" spans="1:16" x14ac:dyDescent="0.25">
      <c r="A1806" s="14"/>
      <c r="B1806"/>
      <c r="C1806" s="15"/>
      <c r="D1806"/>
      <c r="E1806"/>
      <c r="F1806" s="16"/>
      <c r="G1806"/>
      <c r="H1806"/>
      <c r="I1806" s="16"/>
      <c r="J1806"/>
      <c r="K1806"/>
      <c r="L1806"/>
      <c r="M1806" s="17"/>
      <c r="N1806"/>
      <c r="O1806"/>
      <c r="P1806" s="34"/>
    </row>
    <row r="1807" spans="1:16" x14ac:dyDescent="0.25">
      <c r="A1807" s="14"/>
      <c r="B1807"/>
      <c r="C1807" s="15"/>
      <c r="D1807"/>
      <c r="E1807"/>
      <c r="F1807" s="16"/>
      <c r="G1807"/>
      <c r="H1807"/>
      <c r="I1807" s="16"/>
      <c r="J1807"/>
      <c r="K1807"/>
      <c r="L1807"/>
      <c r="M1807" s="17"/>
      <c r="N1807"/>
      <c r="O1807"/>
      <c r="P1807" s="34"/>
    </row>
    <row r="1808" spans="1:16" x14ac:dyDescent="0.25">
      <c r="A1808" s="14"/>
      <c r="B1808"/>
      <c r="C1808" s="15"/>
      <c r="D1808"/>
      <c r="E1808"/>
      <c r="F1808" s="16"/>
      <c r="G1808"/>
      <c r="H1808"/>
      <c r="I1808" s="16"/>
      <c r="J1808"/>
      <c r="K1808"/>
      <c r="L1808"/>
      <c r="M1808" s="17"/>
      <c r="N1808"/>
      <c r="O1808"/>
      <c r="P1808" s="34"/>
    </row>
    <row r="1809" spans="1:16" x14ac:dyDescent="0.25">
      <c r="A1809" s="14"/>
      <c r="B1809"/>
      <c r="C1809" s="15"/>
      <c r="D1809"/>
      <c r="E1809"/>
      <c r="F1809" s="16"/>
      <c r="G1809"/>
      <c r="H1809"/>
      <c r="I1809" s="16"/>
      <c r="J1809"/>
      <c r="K1809"/>
      <c r="L1809"/>
      <c r="M1809" s="17"/>
      <c r="N1809"/>
      <c r="O1809"/>
      <c r="P1809" s="34"/>
    </row>
    <row r="1810" spans="1:16" x14ac:dyDescent="0.25">
      <c r="A1810" s="14"/>
      <c r="B1810"/>
      <c r="C1810" s="15"/>
      <c r="D1810"/>
      <c r="E1810"/>
      <c r="F1810" s="16"/>
      <c r="G1810"/>
      <c r="H1810"/>
      <c r="I1810" s="16"/>
      <c r="J1810"/>
      <c r="K1810"/>
      <c r="L1810"/>
      <c r="M1810" s="17"/>
      <c r="N1810"/>
      <c r="O1810"/>
      <c r="P1810" s="34"/>
    </row>
    <row r="1811" spans="1:16" x14ac:dyDescent="0.25">
      <c r="A1811" s="14"/>
      <c r="B1811"/>
      <c r="C1811" s="15"/>
      <c r="D1811"/>
      <c r="E1811"/>
      <c r="F1811" s="16"/>
      <c r="G1811"/>
      <c r="H1811"/>
      <c r="I1811" s="16"/>
      <c r="J1811"/>
      <c r="K1811"/>
      <c r="L1811"/>
      <c r="M1811" s="17"/>
      <c r="N1811"/>
      <c r="O1811"/>
      <c r="P1811" s="34"/>
    </row>
    <row r="1812" spans="1:16" x14ac:dyDescent="0.25">
      <c r="A1812" s="14"/>
      <c r="B1812"/>
      <c r="C1812" s="15"/>
      <c r="D1812"/>
      <c r="E1812"/>
      <c r="F1812" s="16"/>
      <c r="G1812"/>
      <c r="H1812"/>
      <c r="I1812" s="16"/>
      <c r="J1812"/>
      <c r="K1812"/>
      <c r="L1812"/>
      <c r="M1812" s="17"/>
      <c r="N1812"/>
      <c r="O1812"/>
      <c r="P1812" s="34"/>
    </row>
    <row r="1813" spans="1:16" x14ac:dyDescent="0.25">
      <c r="A1813" s="14"/>
      <c r="B1813"/>
      <c r="C1813" s="15"/>
      <c r="D1813"/>
      <c r="E1813"/>
      <c r="F1813" s="16"/>
      <c r="G1813"/>
      <c r="H1813"/>
      <c r="I1813" s="16"/>
      <c r="J1813"/>
      <c r="K1813"/>
      <c r="L1813"/>
      <c r="M1813" s="17"/>
      <c r="N1813"/>
      <c r="O1813"/>
      <c r="P1813" s="34"/>
    </row>
    <row r="1814" spans="1:16" x14ac:dyDescent="0.25">
      <c r="A1814" s="14"/>
      <c r="B1814"/>
      <c r="C1814" s="15"/>
      <c r="D1814"/>
      <c r="E1814"/>
      <c r="F1814" s="16"/>
      <c r="G1814"/>
      <c r="H1814"/>
      <c r="I1814" s="16"/>
      <c r="J1814"/>
      <c r="K1814"/>
      <c r="L1814"/>
      <c r="M1814" s="17"/>
      <c r="N1814"/>
      <c r="O1814"/>
      <c r="P1814" s="34"/>
    </row>
    <row r="1815" spans="1:16" x14ac:dyDescent="0.25">
      <c r="A1815" s="14"/>
      <c r="B1815"/>
      <c r="C1815" s="15"/>
      <c r="D1815"/>
      <c r="E1815"/>
      <c r="F1815" s="16"/>
      <c r="G1815"/>
      <c r="H1815"/>
      <c r="I1815" s="16"/>
      <c r="J1815"/>
      <c r="K1815"/>
      <c r="L1815"/>
      <c r="M1815" s="17"/>
      <c r="N1815"/>
      <c r="O1815"/>
      <c r="P1815" s="34"/>
    </row>
    <row r="1816" spans="1:16" x14ac:dyDescent="0.25">
      <c r="A1816" s="14"/>
      <c r="B1816"/>
      <c r="C1816" s="15"/>
      <c r="D1816"/>
      <c r="E1816"/>
      <c r="F1816" s="16"/>
      <c r="G1816"/>
      <c r="H1816"/>
      <c r="I1816" s="16"/>
      <c r="J1816"/>
      <c r="K1816"/>
      <c r="L1816"/>
      <c r="M1816" s="17"/>
      <c r="N1816"/>
      <c r="O1816"/>
      <c r="P1816" s="34"/>
    </row>
    <row r="1817" spans="1:16" x14ac:dyDescent="0.25">
      <c r="A1817" s="14"/>
      <c r="B1817"/>
      <c r="C1817" s="15"/>
      <c r="D1817"/>
      <c r="E1817"/>
      <c r="F1817" s="16"/>
      <c r="G1817"/>
      <c r="H1817"/>
      <c r="I1817" s="16"/>
      <c r="J1817"/>
      <c r="K1817"/>
      <c r="L1817"/>
      <c r="M1817" s="17"/>
      <c r="N1817"/>
      <c r="O1817"/>
      <c r="P1817" s="34"/>
    </row>
    <row r="1818" spans="1:16" x14ac:dyDescent="0.25">
      <c r="A1818" s="14"/>
      <c r="B1818"/>
      <c r="C1818" s="15"/>
      <c r="D1818"/>
      <c r="E1818"/>
      <c r="F1818" s="16"/>
      <c r="G1818"/>
      <c r="H1818"/>
      <c r="I1818" s="16"/>
      <c r="J1818"/>
      <c r="K1818"/>
      <c r="L1818"/>
      <c r="M1818" s="17"/>
      <c r="N1818"/>
      <c r="O1818"/>
      <c r="P1818" s="34"/>
    </row>
    <row r="1819" spans="1:16" x14ac:dyDescent="0.25">
      <c r="A1819" s="14"/>
      <c r="B1819"/>
      <c r="C1819" s="15"/>
      <c r="D1819"/>
      <c r="E1819"/>
      <c r="F1819" s="16"/>
      <c r="G1819"/>
      <c r="H1819"/>
      <c r="I1819" s="16"/>
      <c r="J1819"/>
      <c r="K1819"/>
      <c r="L1819"/>
      <c r="M1819" s="17"/>
      <c r="N1819"/>
      <c r="O1819"/>
      <c r="P1819" s="34"/>
    </row>
    <row r="1820" spans="1:16" x14ac:dyDescent="0.25">
      <c r="A1820" s="14"/>
      <c r="B1820"/>
      <c r="C1820" s="15"/>
      <c r="D1820"/>
      <c r="E1820"/>
      <c r="F1820" s="16"/>
      <c r="G1820"/>
      <c r="H1820"/>
      <c r="I1820" s="16"/>
      <c r="J1820"/>
      <c r="K1820"/>
      <c r="L1820"/>
      <c r="M1820" s="17"/>
      <c r="N1820"/>
      <c r="O1820"/>
      <c r="P1820" s="34"/>
    </row>
    <row r="1821" spans="1:16" x14ac:dyDescent="0.25">
      <c r="A1821" s="14"/>
      <c r="B1821"/>
      <c r="C1821" s="15"/>
      <c r="D1821"/>
      <c r="E1821"/>
      <c r="F1821" s="16"/>
      <c r="G1821"/>
      <c r="H1821"/>
      <c r="I1821" s="16"/>
      <c r="J1821"/>
      <c r="K1821"/>
      <c r="L1821"/>
      <c r="M1821" s="17"/>
      <c r="N1821"/>
      <c r="O1821"/>
      <c r="P1821" s="34"/>
    </row>
    <row r="1822" spans="1:16" x14ac:dyDescent="0.25">
      <c r="A1822" s="14"/>
      <c r="B1822"/>
      <c r="C1822" s="15"/>
      <c r="D1822"/>
      <c r="E1822"/>
      <c r="F1822" s="16"/>
      <c r="G1822"/>
      <c r="H1822"/>
      <c r="I1822" s="16"/>
      <c r="J1822"/>
      <c r="K1822"/>
      <c r="L1822"/>
      <c r="M1822" s="17"/>
      <c r="N1822"/>
      <c r="O1822"/>
      <c r="P1822" s="34"/>
    </row>
    <row r="1823" spans="1:16" x14ac:dyDescent="0.25">
      <c r="A1823" s="14"/>
      <c r="B1823"/>
      <c r="C1823" s="15"/>
      <c r="D1823"/>
      <c r="E1823"/>
      <c r="F1823" s="16"/>
      <c r="G1823"/>
      <c r="H1823"/>
      <c r="I1823" s="16"/>
      <c r="J1823"/>
      <c r="K1823"/>
      <c r="L1823"/>
      <c r="M1823" s="17"/>
      <c r="N1823"/>
      <c r="O1823"/>
      <c r="P1823" s="34"/>
    </row>
    <row r="1824" spans="1:16" x14ac:dyDescent="0.25">
      <c r="A1824" s="14"/>
      <c r="B1824"/>
      <c r="C1824" s="15"/>
      <c r="D1824"/>
      <c r="E1824"/>
      <c r="F1824" s="16"/>
      <c r="G1824"/>
      <c r="H1824"/>
      <c r="I1824" s="16"/>
      <c r="J1824"/>
      <c r="K1824"/>
      <c r="L1824"/>
      <c r="M1824" s="17"/>
      <c r="N1824"/>
      <c r="O1824"/>
      <c r="P1824" s="34"/>
    </row>
    <row r="1825" spans="1:16" x14ac:dyDescent="0.25">
      <c r="A1825" s="14"/>
      <c r="B1825"/>
      <c r="C1825" s="15"/>
      <c r="D1825"/>
      <c r="E1825"/>
      <c r="F1825" s="16"/>
      <c r="G1825"/>
      <c r="H1825"/>
      <c r="I1825" s="16"/>
      <c r="J1825"/>
      <c r="K1825"/>
      <c r="L1825"/>
      <c r="M1825" s="17"/>
      <c r="N1825"/>
      <c r="O1825"/>
      <c r="P1825" s="34"/>
    </row>
    <row r="1826" spans="1:16" x14ac:dyDescent="0.25">
      <c r="A1826" s="14"/>
      <c r="B1826"/>
      <c r="C1826" s="15"/>
      <c r="D1826"/>
      <c r="E1826"/>
      <c r="F1826" s="16"/>
      <c r="G1826"/>
      <c r="H1826"/>
      <c r="I1826" s="16"/>
      <c r="J1826"/>
      <c r="K1826"/>
      <c r="L1826"/>
      <c r="M1826" s="17"/>
      <c r="N1826"/>
      <c r="O1826"/>
      <c r="P1826" s="34"/>
    </row>
    <row r="1827" spans="1:16" x14ac:dyDescent="0.25">
      <c r="A1827" s="14"/>
      <c r="B1827"/>
      <c r="C1827" s="15"/>
      <c r="D1827"/>
      <c r="E1827"/>
      <c r="F1827" s="16"/>
      <c r="G1827"/>
      <c r="H1827"/>
      <c r="I1827" s="16"/>
      <c r="J1827"/>
      <c r="K1827"/>
      <c r="L1827"/>
      <c r="M1827" s="17"/>
      <c r="N1827"/>
      <c r="O1827"/>
      <c r="P1827" s="34"/>
    </row>
    <row r="1828" spans="1:16" x14ac:dyDescent="0.25">
      <c r="A1828" s="14"/>
      <c r="B1828"/>
      <c r="C1828" s="15"/>
      <c r="D1828"/>
      <c r="E1828"/>
      <c r="F1828" s="16"/>
      <c r="G1828"/>
      <c r="H1828"/>
      <c r="I1828" s="16"/>
      <c r="J1828"/>
      <c r="K1828"/>
      <c r="L1828"/>
      <c r="M1828" s="17"/>
      <c r="N1828"/>
      <c r="O1828"/>
      <c r="P1828" s="34"/>
    </row>
    <row r="1829" spans="1:16" x14ac:dyDescent="0.25">
      <c r="A1829" s="14"/>
      <c r="B1829"/>
      <c r="C1829" s="15"/>
      <c r="D1829"/>
      <c r="E1829"/>
      <c r="F1829" s="16"/>
      <c r="G1829"/>
      <c r="H1829"/>
      <c r="I1829" s="16"/>
      <c r="J1829"/>
      <c r="K1829"/>
      <c r="L1829"/>
      <c r="M1829" s="17"/>
      <c r="N1829"/>
      <c r="O1829"/>
      <c r="P1829" s="34"/>
    </row>
    <row r="1830" spans="1:16" x14ac:dyDescent="0.25">
      <c r="A1830" s="14"/>
      <c r="B1830"/>
      <c r="C1830" s="15"/>
      <c r="D1830"/>
      <c r="E1830"/>
      <c r="F1830" s="16"/>
      <c r="G1830"/>
      <c r="H1830"/>
      <c r="I1830" s="16"/>
      <c r="J1830"/>
      <c r="K1830"/>
      <c r="L1830"/>
      <c r="M1830" s="17"/>
      <c r="N1830"/>
      <c r="O1830"/>
      <c r="P1830" s="34"/>
    </row>
    <row r="1831" spans="1:16" x14ac:dyDescent="0.25">
      <c r="A1831" s="14"/>
      <c r="B1831"/>
      <c r="C1831" s="15"/>
      <c r="D1831"/>
      <c r="E1831"/>
      <c r="F1831" s="16"/>
      <c r="G1831"/>
      <c r="H1831"/>
      <c r="I1831" s="16"/>
      <c r="J1831"/>
      <c r="K1831"/>
      <c r="L1831"/>
      <c r="M1831" s="17"/>
      <c r="N1831"/>
      <c r="O1831"/>
      <c r="P1831" s="34"/>
    </row>
    <row r="1832" spans="1:16" x14ac:dyDescent="0.25">
      <c r="A1832" s="14"/>
      <c r="B1832"/>
      <c r="C1832" s="15"/>
      <c r="D1832"/>
      <c r="E1832"/>
      <c r="F1832" s="16"/>
      <c r="G1832"/>
      <c r="H1832"/>
      <c r="I1832" s="16"/>
      <c r="J1832"/>
      <c r="K1832"/>
      <c r="L1832"/>
      <c r="M1832" s="17"/>
      <c r="N1832"/>
      <c r="O1832"/>
      <c r="P1832" s="34"/>
    </row>
    <row r="1833" spans="1:16" x14ac:dyDescent="0.25">
      <c r="A1833" s="14"/>
      <c r="B1833"/>
      <c r="C1833" s="15"/>
      <c r="D1833"/>
      <c r="E1833"/>
      <c r="F1833" s="16"/>
      <c r="G1833"/>
      <c r="H1833"/>
      <c r="I1833" s="16"/>
      <c r="J1833"/>
      <c r="K1833"/>
      <c r="L1833"/>
      <c r="M1833" s="17"/>
      <c r="N1833"/>
      <c r="O1833"/>
      <c r="P1833" s="34"/>
    </row>
    <row r="1834" spans="1:16" x14ac:dyDescent="0.25">
      <c r="A1834" s="14"/>
      <c r="B1834"/>
      <c r="C1834" s="15"/>
      <c r="D1834"/>
      <c r="E1834"/>
      <c r="F1834" s="16"/>
      <c r="G1834"/>
      <c r="H1834"/>
      <c r="I1834" s="16"/>
      <c r="J1834"/>
      <c r="K1834"/>
      <c r="L1834"/>
      <c r="M1834" s="17"/>
      <c r="N1834"/>
      <c r="O1834"/>
      <c r="P1834" s="34"/>
    </row>
    <row r="1835" spans="1:16" x14ac:dyDescent="0.25">
      <c r="A1835" s="14"/>
      <c r="B1835"/>
      <c r="C1835" s="15"/>
      <c r="D1835"/>
      <c r="E1835"/>
      <c r="F1835" s="16"/>
      <c r="G1835"/>
      <c r="H1835"/>
      <c r="I1835" s="16"/>
      <c r="J1835"/>
      <c r="K1835"/>
      <c r="L1835"/>
      <c r="M1835" s="17"/>
      <c r="N1835"/>
      <c r="O1835"/>
      <c r="P1835" s="34"/>
    </row>
    <row r="1836" spans="1:16" x14ac:dyDescent="0.25">
      <c r="A1836" s="14"/>
      <c r="B1836"/>
      <c r="C1836" s="15"/>
      <c r="D1836"/>
      <c r="E1836"/>
      <c r="F1836" s="16"/>
      <c r="G1836"/>
      <c r="H1836"/>
      <c r="I1836" s="16"/>
      <c r="J1836"/>
      <c r="K1836"/>
      <c r="L1836"/>
      <c r="M1836" s="17"/>
      <c r="N1836"/>
      <c r="O1836"/>
      <c r="P1836" s="34"/>
    </row>
    <row r="1837" spans="1:16" x14ac:dyDescent="0.25">
      <c r="A1837" s="14"/>
      <c r="B1837"/>
      <c r="C1837" s="15"/>
      <c r="D1837"/>
      <c r="E1837"/>
      <c r="F1837" s="16"/>
      <c r="G1837"/>
      <c r="H1837"/>
      <c r="I1837" s="16"/>
      <c r="J1837"/>
      <c r="K1837"/>
      <c r="L1837"/>
      <c r="M1837" s="17"/>
      <c r="N1837"/>
      <c r="O1837"/>
      <c r="P1837" s="34"/>
    </row>
    <row r="1838" spans="1:16" x14ac:dyDescent="0.25">
      <c r="A1838" s="14"/>
      <c r="B1838"/>
      <c r="C1838" s="15"/>
      <c r="D1838"/>
      <c r="E1838"/>
      <c r="F1838" s="16"/>
      <c r="G1838"/>
      <c r="H1838"/>
      <c r="I1838" s="16"/>
      <c r="J1838"/>
      <c r="K1838"/>
      <c r="L1838"/>
      <c r="M1838" s="17"/>
      <c r="N1838"/>
      <c r="O1838"/>
      <c r="P1838" s="34"/>
    </row>
    <row r="1839" spans="1:16" x14ac:dyDescent="0.25">
      <c r="A1839" s="14"/>
      <c r="B1839"/>
      <c r="C1839" s="15"/>
      <c r="D1839"/>
      <c r="E1839"/>
      <c r="F1839" s="16"/>
      <c r="G1839"/>
      <c r="H1839"/>
      <c r="I1839" s="16"/>
      <c r="J1839"/>
      <c r="K1839"/>
      <c r="L1839"/>
      <c r="M1839" s="17"/>
      <c r="N1839"/>
      <c r="O1839"/>
      <c r="P1839" s="34"/>
    </row>
    <row r="1840" spans="1:16" x14ac:dyDescent="0.25">
      <c r="A1840" s="14"/>
      <c r="B1840"/>
      <c r="C1840" s="15"/>
      <c r="D1840"/>
      <c r="E1840"/>
      <c r="F1840" s="16"/>
      <c r="G1840"/>
      <c r="H1840"/>
      <c r="I1840" s="16"/>
      <c r="J1840"/>
      <c r="K1840"/>
      <c r="L1840"/>
      <c r="M1840" s="17"/>
      <c r="N1840"/>
      <c r="O1840"/>
      <c r="P1840" s="34"/>
    </row>
    <row r="1841" spans="1:16" x14ac:dyDescent="0.25">
      <c r="A1841" s="14"/>
      <c r="B1841"/>
      <c r="C1841" s="15"/>
      <c r="D1841"/>
      <c r="E1841"/>
      <c r="F1841" s="16"/>
      <c r="G1841"/>
      <c r="H1841"/>
      <c r="I1841" s="16"/>
      <c r="J1841"/>
      <c r="K1841"/>
      <c r="L1841"/>
      <c r="M1841" s="17"/>
      <c r="N1841"/>
      <c r="O1841"/>
      <c r="P1841" s="34"/>
    </row>
    <row r="1842" spans="1:16" x14ac:dyDescent="0.25">
      <c r="A1842" s="14"/>
      <c r="B1842"/>
      <c r="C1842" s="15"/>
      <c r="D1842"/>
      <c r="E1842"/>
      <c r="F1842" s="16"/>
      <c r="G1842"/>
      <c r="H1842"/>
      <c r="I1842" s="16"/>
      <c r="J1842"/>
      <c r="K1842"/>
      <c r="L1842"/>
      <c r="M1842" s="17"/>
      <c r="N1842"/>
      <c r="O1842"/>
      <c r="P1842" s="34"/>
    </row>
    <row r="1843" spans="1:16" x14ac:dyDescent="0.25">
      <c r="A1843" s="14"/>
      <c r="B1843"/>
      <c r="C1843" s="15"/>
      <c r="D1843"/>
      <c r="E1843"/>
      <c r="F1843" s="16"/>
      <c r="G1843"/>
      <c r="H1843"/>
      <c r="I1843" s="16"/>
      <c r="J1843"/>
      <c r="K1843"/>
      <c r="L1843"/>
      <c r="M1843" s="17"/>
      <c r="N1843"/>
      <c r="O1843"/>
      <c r="P1843" s="34"/>
    </row>
    <row r="1844" spans="1:16" x14ac:dyDescent="0.25">
      <c r="A1844" s="14"/>
      <c r="B1844"/>
      <c r="C1844" s="15"/>
      <c r="D1844"/>
      <c r="E1844"/>
      <c r="F1844" s="16"/>
      <c r="G1844"/>
      <c r="H1844"/>
      <c r="I1844" s="16"/>
      <c r="J1844"/>
      <c r="K1844"/>
      <c r="L1844"/>
      <c r="M1844" s="17"/>
      <c r="N1844"/>
      <c r="O1844"/>
      <c r="P1844" s="34"/>
    </row>
    <row r="1845" spans="1:16" x14ac:dyDescent="0.25">
      <c r="A1845" s="14"/>
      <c r="B1845"/>
      <c r="C1845" s="15"/>
      <c r="D1845"/>
      <c r="E1845"/>
      <c r="F1845" s="16"/>
      <c r="G1845"/>
      <c r="H1845"/>
      <c r="I1845" s="16"/>
      <c r="J1845"/>
      <c r="K1845"/>
      <c r="L1845"/>
      <c r="M1845" s="17"/>
      <c r="N1845"/>
      <c r="O1845"/>
      <c r="P1845" s="34"/>
    </row>
    <row r="1846" spans="1:16" x14ac:dyDescent="0.25">
      <c r="A1846" s="14"/>
      <c r="B1846"/>
      <c r="C1846" s="15"/>
      <c r="D1846"/>
      <c r="E1846"/>
      <c r="F1846" s="16"/>
      <c r="G1846"/>
      <c r="H1846"/>
      <c r="I1846" s="16"/>
      <c r="J1846"/>
      <c r="K1846"/>
      <c r="L1846"/>
      <c r="M1846" s="17"/>
      <c r="N1846"/>
      <c r="O1846"/>
      <c r="P1846" s="34"/>
    </row>
    <row r="1847" spans="1:16" x14ac:dyDescent="0.25">
      <c r="A1847" s="14"/>
      <c r="B1847"/>
      <c r="C1847" s="15"/>
      <c r="D1847"/>
      <c r="E1847"/>
      <c r="F1847" s="16"/>
      <c r="G1847"/>
      <c r="H1847"/>
      <c r="I1847" s="16"/>
      <c r="J1847"/>
      <c r="K1847"/>
      <c r="L1847"/>
      <c r="M1847" s="17"/>
      <c r="N1847"/>
      <c r="O1847"/>
      <c r="P1847" s="34"/>
    </row>
    <row r="1848" spans="1:16" x14ac:dyDescent="0.25">
      <c r="A1848" s="14"/>
      <c r="B1848"/>
      <c r="C1848" s="15"/>
      <c r="D1848"/>
      <c r="E1848"/>
      <c r="F1848" s="16"/>
      <c r="G1848"/>
      <c r="H1848"/>
      <c r="I1848" s="16"/>
      <c r="J1848"/>
      <c r="K1848"/>
      <c r="L1848"/>
      <c r="M1848" s="17"/>
      <c r="N1848"/>
      <c r="O1848"/>
      <c r="P1848" s="34"/>
    </row>
    <row r="1849" spans="1:16" x14ac:dyDescent="0.25">
      <c r="A1849" s="14"/>
      <c r="B1849"/>
      <c r="C1849" s="15"/>
      <c r="D1849"/>
      <c r="E1849"/>
      <c r="F1849" s="16"/>
      <c r="G1849"/>
      <c r="H1849"/>
      <c r="I1849" s="16"/>
      <c r="J1849"/>
      <c r="K1849"/>
      <c r="L1849"/>
      <c r="M1849" s="17"/>
      <c r="N1849"/>
      <c r="O1849"/>
      <c r="P1849" s="34"/>
    </row>
    <row r="1850" spans="1:16" x14ac:dyDescent="0.25">
      <c r="A1850" s="14"/>
      <c r="B1850"/>
      <c r="C1850" s="15"/>
      <c r="D1850"/>
      <c r="E1850"/>
      <c r="F1850" s="16"/>
      <c r="G1850"/>
      <c r="H1850"/>
      <c r="I1850" s="16"/>
      <c r="J1850"/>
      <c r="K1850"/>
      <c r="L1850"/>
      <c r="M1850" s="17"/>
      <c r="N1850"/>
      <c r="O1850"/>
      <c r="P1850" s="34"/>
    </row>
    <row r="1851" spans="1:16" x14ac:dyDescent="0.25">
      <c r="A1851" s="14"/>
      <c r="B1851"/>
      <c r="C1851" s="15"/>
      <c r="D1851"/>
      <c r="E1851"/>
      <c r="F1851" s="16"/>
      <c r="G1851"/>
      <c r="H1851"/>
      <c r="I1851" s="16"/>
      <c r="J1851"/>
      <c r="K1851"/>
      <c r="L1851"/>
      <c r="M1851" s="17"/>
      <c r="N1851"/>
      <c r="O1851"/>
      <c r="P1851" s="34"/>
    </row>
    <row r="1852" spans="1:16" x14ac:dyDescent="0.25">
      <c r="A1852" s="14"/>
      <c r="B1852"/>
      <c r="C1852" s="15"/>
      <c r="D1852"/>
      <c r="E1852"/>
      <c r="F1852" s="16"/>
      <c r="G1852"/>
      <c r="H1852"/>
      <c r="I1852" s="16"/>
      <c r="J1852"/>
      <c r="K1852"/>
      <c r="L1852"/>
      <c r="M1852" s="17"/>
      <c r="N1852"/>
      <c r="O1852"/>
      <c r="P1852" s="34"/>
    </row>
    <row r="1853" spans="1:16" x14ac:dyDescent="0.25">
      <c r="A1853" s="14"/>
      <c r="B1853"/>
      <c r="C1853" s="15"/>
      <c r="D1853"/>
      <c r="E1853"/>
      <c r="F1853" s="16"/>
      <c r="G1853"/>
      <c r="H1853"/>
      <c r="I1853" s="16"/>
      <c r="J1853"/>
      <c r="K1853"/>
      <c r="L1853"/>
      <c r="M1853" s="17"/>
      <c r="N1853"/>
      <c r="O1853"/>
      <c r="P1853" s="34"/>
    </row>
    <row r="1854" spans="1:16" x14ac:dyDescent="0.25">
      <c r="A1854" s="14"/>
      <c r="B1854"/>
      <c r="C1854" s="15"/>
      <c r="D1854"/>
      <c r="E1854"/>
      <c r="F1854" s="16"/>
      <c r="G1854"/>
      <c r="H1854"/>
      <c r="I1854" s="16"/>
      <c r="J1854"/>
      <c r="K1854"/>
      <c r="L1854"/>
      <c r="M1854" s="17"/>
      <c r="N1854"/>
      <c r="O1854"/>
      <c r="P1854" s="34"/>
    </row>
    <row r="1855" spans="1:16" x14ac:dyDescent="0.25">
      <c r="A1855" s="14"/>
      <c r="B1855"/>
      <c r="C1855" s="15"/>
      <c r="D1855"/>
      <c r="E1855"/>
      <c r="F1855" s="16"/>
      <c r="G1855"/>
      <c r="H1855"/>
      <c r="I1855" s="16"/>
      <c r="J1855"/>
      <c r="K1855"/>
      <c r="L1855"/>
      <c r="M1855" s="17"/>
      <c r="N1855"/>
      <c r="O1855"/>
      <c r="P1855" s="34"/>
    </row>
    <row r="1856" spans="1:16" x14ac:dyDescent="0.25">
      <c r="A1856" s="14"/>
      <c r="B1856"/>
      <c r="C1856" s="15"/>
      <c r="D1856"/>
      <c r="E1856"/>
      <c r="F1856" s="16"/>
      <c r="G1856"/>
      <c r="H1856"/>
      <c r="I1856" s="16"/>
      <c r="J1856"/>
      <c r="K1856"/>
      <c r="L1856"/>
      <c r="M1856" s="17"/>
      <c r="N1856"/>
      <c r="O1856"/>
      <c r="P1856" s="34"/>
    </row>
    <row r="1857" spans="1:16" x14ac:dyDescent="0.25">
      <c r="A1857" s="14"/>
      <c r="B1857"/>
      <c r="C1857" s="15"/>
      <c r="D1857"/>
      <c r="E1857"/>
      <c r="F1857" s="16"/>
      <c r="G1857"/>
      <c r="H1857"/>
      <c r="I1857" s="16"/>
      <c r="J1857"/>
      <c r="K1857"/>
      <c r="L1857"/>
      <c r="M1857" s="17"/>
      <c r="N1857"/>
      <c r="O1857"/>
      <c r="P1857" s="34"/>
    </row>
    <row r="1858" spans="1:16" x14ac:dyDescent="0.25">
      <c r="A1858" s="14"/>
      <c r="B1858"/>
      <c r="C1858" s="15"/>
      <c r="D1858"/>
      <c r="E1858"/>
      <c r="F1858" s="16"/>
      <c r="G1858"/>
      <c r="H1858"/>
      <c r="I1858" s="16"/>
      <c r="J1858"/>
      <c r="K1858"/>
      <c r="L1858"/>
      <c r="M1858" s="17"/>
      <c r="N1858"/>
      <c r="O1858"/>
      <c r="P1858" s="34"/>
    </row>
    <row r="1859" spans="1:16" x14ac:dyDescent="0.25">
      <c r="A1859" s="14"/>
      <c r="B1859"/>
      <c r="C1859" s="15"/>
      <c r="D1859"/>
      <c r="E1859"/>
      <c r="F1859" s="16"/>
      <c r="G1859"/>
      <c r="H1859"/>
      <c r="I1859" s="16"/>
      <c r="J1859"/>
      <c r="K1859"/>
      <c r="L1859"/>
      <c r="M1859" s="17"/>
      <c r="N1859"/>
      <c r="O1859"/>
      <c r="P1859" s="34"/>
    </row>
    <row r="1860" spans="1:16" x14ac:dyDescent="0.25">
      <c r="A1860" s="14"/>
      <c r="B1860"/>
      <c r="C1860" s="15"/>
      <c r="D1860"/>
      <c r="E1860"/>
      <c r="F1860" s="16"/>
      <c r="G1860"/>
      <c r="H1860"/>
      <c r="I1860" s="16"/>
      <c r="J1860"/>
      <c r="K1860"/>
      <c r="L1860"/>
      <c r="M1860" s="17"/>
      <c r="N1860"/>
      <c r="O1860"/>
      <c r="P1860" s="34"/>
    </row>
    <row r="1861" spans="1:16" x14ac:dyDescent="0.25">
      <c r="A1861" s="14"/>
      <c r="B1861"/>
      <c r="C1861" s="15"/>
      <c r="D1861"/>
      <c r="E1861"/>
      <c r="F1861" s="16"/>
      <c r="G1861"/>
      <c r="H1861"/>
      <c r="I1861" s="16"/>
      <c r="J1861"/>
      <c r="K1861"/>
      <c r="L1861"/>
      <c r="M1861" s="17"/>
      <c r="N1861"/>
      <c r="O1861"/>
      <c r="P1861" s="34"/>
    </row>
    <row r="1862" spans="1:16" x14ac:dyDescent="0.25">
      <c r="A1862" s="14"/>
      <c r="B1862"/>
      <c r="C1862" s="15"/>
      <c r="D1862"/>
      <c r="E1862"/>
      <c r="F1862" s="16"/>
      <c r="G1862"/>
      <c r="H1862"/>
      <c r="I1862" s="16"/>
      <c r="J1862"/>
      <c r="K1862"/>
      <c r="L1862"/>
      <c r="M1862" s="17"/>
      <c r="N1862"/>
      <c r="O1862"/>
      <c r="P1862" s="34"/>
    </row>
    <row r="1863" spans="1:16" x14ac:dyDescent="0.25">
      <c r="A1863" s="14"/>
      <c r="B1863"/>
      <c r="C1863" s="15"/>
      <c r="D1863"/>
      <c r="E1863"/>
      <c r="F1863" s="16"/>
      <c r="G1863"/>
      <c r="H1863"/>
      <c r="I1863" s="16"/>
      <c r="J1863"/>
      <c r="K1863"/>
      <c r="L1863"/>
      <c r="M1863" s="17"/>
      <c r="N1863"/>
      <c r="O1863"/>
      <c r="P1863" s="34"/>
    </row>
    <row r="1864" spans="1:16" x14ac:dyDescent="0.25">
      <c r="A1864" s="14"/>
      <c r="B1864"/>
      <c r="C1864" s="15"/>
      <c r="D1864"/>
      <c r="E1864"/>
      <c r="F1864" s="16"/>
      <c r="G1864"/>
      <c r="H1864"/>
      <c r="I1864" s="16"/>
      <c r="J1864"/>
      <c r="K1864"/>
      <c r="L1864"/>
      <c r="M1864" s="17"/>
      <c r="N1864"/>
      <c r="O1864"/>
      <c r="P1864" s="34"/>
    </row>
    <row r="1865" spans="1:16" x14ac:dyDescent="0.25">
      <c r="A1865" s="14"/>
      <c r="B1865"/>
      <c r="C1865" s="15"/>
      <c r="D1865"/>
      <c r="E1865"/>
      <c r="F1865" s="16"/>
      <c r="G1865"/>
      <c r="H1865"/>
      <c r="I1865" s="16"/>
      <c r="J1865"/>
      <c r="K1865"/>
      <c r="L1865"/>
      <c r="M1865" s="17"/>
      <c r="N1865"/>
      <c r="O1865"/>
      <c r="P1865" s="34"/>
    </row>
    <row r="1866" spans="1:16" x14ac:dyDescent="0.25">
      <c r="A1866" s="14"/>
      <c r="B1866"/>
      <c r="C1866" s="15"/>
      <c r="D1866"/>
      <c r="E1866"/>
      <c r="F1866" s="16"/>
      <c r="G1866"/>
      <c r="H1866"/>
      <c r="I1866" s="16"/>
      <c r="J1866"/>
      <c r="K1866"/>
      <c r="L1866"/>
      <c r="M1866" s="17"/>
      <c r="N1866"/>
      <c r="O1866"/>
      <c r="P1866" s="34"/>
    </row>
    <row r="1867" spans="1:16" x14ac:dyDescent="0.25">
      <c r="A1867" s="14"/>
      <c r="B1867"/>
      <c r="C1867" s="15"/>
      <c r="D1867"/>
      <c r="E1867"/>
      <c r="F1867" s="16"/>
      <c r="G1867"/>
      <c r="H1867"/>
      <c r="I1867" s="16"/>
      <c r="J1867"/>
      <c r="K1867"/>
      <c r="L1867"/>
      <c r="M1867" s="17"/>
      <c r="N1867"/>
      <c r="O1867"/>
      <c r="P1867" s="34"/>
    </row>
    <row r="1868" spans="1:16" x14ac:dyDescent="0.25">
      <c r="A1868" s="14"/>
      <c r="B1868"/>
      <c r="C1868" s="15"/>
      <c r="D1868"/>
      <c r="E1868"/>
      <c r="F1868" s="16"/>
      <c r="G1868"/>
      <c r="H1868"/>
      <c r="I1868" s="16"/>
      <c r="J1868"/>
      <c r="K1868"/>
      <c r="L1868"/>
      <c r="M1868" s="17"/>
      <c r="N1868"/>
      <c r="O1868"/>
      <c r="P1868" s="34"/>
    </row>
    <row r="1869" spans="1:16" x14ac:dyDescent="0.25">
      <c r="A1869" s="14"/>
      <c r="B1869"/>
      <c r="C1869" s="15"/>
      <c r="D1869"/>
      <c r="E1869"/>
      <c r="F1869" s="16"/>
      <c r="G1869"/>
      <c r="H1869"/>
      <c r="I1869" s="16"/>
      <c r="J1869"/>
      <c r="K1869"/>
      <c r="L1869"/>
      <c r="M1869" s="17"/>
      <c r="N1869"/>
      <c r="O1869"/>
      <c r="P1869" s="34"/>
    </row>
    <row r="1870" spans="1:16" x14ac:dyDescent="0.25">
      <c r="A1870" s="14"/>
      <c r="B1870"/>
      <c r="C1870" s="15"/>
      <c r="D1870"/>
      <c r="E1870"/>
      <c r="F1870" s="16"/>
      <c r="G1870"/>
      <c r="H1870"/>
      <c r="I1870" s="16"/>
      <c r="J1870"/>
      <c r="K1870"/>
      <c r="L1870"/>
      <c r="M1870" s="17"/>
      <c r="N1870"/>
      <c r="O1870"/>
      <c r="P1870" s="34"/>
    </row>
    <row r="1871" spans="1:16" x14ac:dyDescent="0.25">
      <c r="A1871" s="14"/>
      <c r="B1871"/>
      <c r="C1871" s="15"/>
      <c r="D1871"/>
      <c r="E1871"/>
      <c r="F1871" s="16"/>
      <c r="G1871"/>
      <c r="H1871"/>
      <c r="I1871" s="16"/>
      <c r="J1871"/>
      <c r="K1871"/>
      <c r="L1871"/>
      <c r="M1871" s="17"/>
      <c r="N1871"/>
      <c r="O1871"/>
      <c r="P1871" s="34"/>
    </row>
    <row r="1872" spans="1:16" x14ac:dyDescent="0.25">
      <c r="A1872" s="14"/>
      <c r="B1872"/>
      <c r="C1872" s="15"/>
      <c r="D1872"/>
      <c r="E1872"/>
      <c r="F1872" s="16"/>
      <c r="G1872"/>
      <c r="H1872"/>
      <c r="I1872" s="16"/>
      <c r="J1872"/>
      <c r="K1872"/>
      <c r="L1872"/>
      <c r="M1872" s="17"/>
      <c r="N1872"/>
      <c r="O1872"/>
      <c r="P1872" s="34"/>
    </row>
    <row r="1873" spans="1:16" x14ac:dyDescent="0.25">
      <c r="A1873" s="14"/>
      <c r="B1873"/>
      <c r="C1873" s="15"/>
      <c r="D1873"/>
      <c r="E1873"/>
      <c r="F1873" s="16"/>
      <c r="G1873"/>
      <c r="H1873"/>
      <c r="I1873" s="16"/>
      <c r="J1873"/>
      <c r="K1873"/>
      <c r="L1873"/>
      <c r="M1873" s="17"/>
      <c r="N1873"/>
      <c r="O1873"/>
      <c r="P1873" s="34"/>
    </row>
    <row r="1874" spans="1:16" x14ac:dyDescent="0.25">
      <c r="A1874" s="14"/>
      <c r="B1874"/>
      <c r="C1874" s="15"/>
      <c r="D1874"/>
      <c r="E1874"/>
      <c r="F1874" s="16"/>
      <c r="G1874"/>
      <c r="H1874"/>
      <c r="I1874" s="16"/>
      <c r="J1874"/>
      <c r="K1874"/>
      <c r="L1874"/>
      <c r="M1874" s="17"/>
      <c r="N1874"/>
      <c r="O1874"/>
      <c r="P1874" s="34"/>
    </row>
    <row r="1875" spans="1:16" x14ac:dyDescent="0.25">
      <c r="A1875" s="14"/>
      <c r="B1875"/>
      <c r="C1875" s="15"/>
      <c r="D1875"/>
      <c r="E1875"/>
      <c r="F1875" s="16"/>
      <c r="G1875"/>
      <c r="H1875"/>
      <c r="I1875" s="16"/>
      <c r="J1875"/>
      <c r="K1875"/>
      <c r="L1875"/>
      <c r="M1875" s="17"/>
      <c r="N1875"/>
      <c r="O1875"/>
      <c r="P1875" s="34"/>
    </row>
    <row r="1876" spans="1:16" x14ac:dyDescent="0.25">
      <c r="A1876" s="14"/>
      <c r="B1876"/>
      <c r="C1876" s="15"/>
      <c r="D1876"/>
      <c r="E1876"/>
      <c r="F1876" s="16"/>
      <c r="G1876"/>
      <c r="H1876"/>
      <c r="I1876" s="16"/>
      <c r="J1876"/>
      <c r="K1876"/>
      <c r="L1876"/>
      <c r="M1876" s="17"/>
      <c r="N1876"/>
      <c r="O1876"/>
      <c r="P1876" s="34"/>
    </row>
    <row r="1877" spans="1:16" x14ac:dyDescent="0.25">
      <c r="A1877" s="14"/>
      <c r="B1877"/>
      <c r="C1877" s="15"/>
      <c r="D1877"/>
      <c r="E1877"/>
      <c r="F1877" s="16"/>
      <c r="G1877"/>
      <c r="H1877"/>
      <c r="I1877" s="16"/>
      <c r="J1877"/>
      <c r="K1877"/>
      <c r="L1877"/>
      <c r="M1877" s="17"/>
      <c r="N1877"/>
      <c r="O1877"/>
      <c r="P1877" s="34"/>
    </row>
    <row r="1878" spans="1:16" x14ac:dyDescent="0.25">
      <c r="A1878" s="14"/>
      <c r="B1878"/>
      <c r="C1878" s="15"/>
      <c r="D1878"/>
      <c r="E1878"/>
      <c r="F1878" s="16"/>
      <c r="G1878"/>
      <c r="H1878"/>
      <c r="I1878" s="16"/>
      <c r="J1878"/>
      <c r="K1878"/>
      <c r="L1878"/>
      <c r="M1878" s="17"/>
      <c r="N1878"/>
      <c r="O1878"/>
      <c r="P1878" s="34"/>
    </row>
    <row r="1879" spans="1:16" x14ac:dyDescent="0.25">
      <c r="A1879" s="14"/>
      <c r="B1879"/>
      <c r="C1879" s="15"/>
      <c r="D1879"/>
      <c r="E1879"/>
      <c r="F1879" s="16"/>
      <c r="G1879"/>
      <c r="H1879"/>
      <c r="I1879" s="16"/>
      <c r="J1879"/>
      <c r="K1879"/>
      <c r="L1879"/>
      <c r="M1879" s="17"/>
      <c r="N1879"/>
      <c r="O1879"/>
      <c r="P1879" s="34"/>
    </row>
    <row r="1880" spans="1:16" x14ac:dyDescent="0.25">
      <c r="A1880" s="14"/>
      <c r="B1880"/>
      <c r="C1880" s="15"/>
      <c r="D1880"/>
      <c r="E1880"/>
      <c r="F1880" s="16"/>
      <c r="G1880"/>
      <c r="H1880"/>
      <c r="I1880" s="16"/>
      <c r="J1880"/>
      <c r="K1880"/>
      <c r="L1880"/>
      <c r="M1880" s="17"/>
      <c r="N1880"/>
      <c r="O1880"/>
      <c r="P1880" s="34"/>
    </row>
    <row r="1881" spans="1:16" x14ac:dyDescent="0.25">
      <c r="A1881" s="14"/>
      <c r="B1881"/>
      <c r="C1881" s="15"/>
      <c r="D1881"/>
      <c r="E1881"/>
      <c r="F1881" s="16"/>
      <c r="G1881"/>
      <c r="H1881"/>
      <c r="I1881" s="16"/>
      <c r="J1881"/>
      <c r="K1881"/>
      <c r="L1881"/>
      <c r="M1881" s="17"/>
      <c r="N1881"/>
      <c r="O1881"/>
      <c r="P1881" s="34"/>
    </row>
    <row r="1882" spans="1:16" x14ac:dyDescent="0.25">
      <c r="A1882" s="14"/>
      <c r="B1882"/>
      <c r="C1882" s="15"/>
      <c r="D1882"/>
      <c r="E1882"/>
      <c r="F1882" s="16"/>
      <c r="G1882"/>
      <c r="H1882"/>
      <c r="I1882" s="16"/>
      <c r="J1882"/>
      <c r="K1882"/>
      <c r="L1882"/>
      <c r="M1882" s="17"/>
      <c r="N1882"/>
      <c r="O1882"/>
      <c r="P1882" s="34"/>
    </row>
    <row r="1883" spans="1:16" x14ac:dyDescent="0.25">
      <c r="A1883" s="14"/>
      <c r="B1883"/>
      <c r="C1883" s="15"/>
      <c r="D1883"/>
      <c r="E1883"/>
      <c r="F1883" s="16"/>
      <c r="G1883"/>
      <c r="H1883"/>
      <c r="I1883" s="16"/>
      <c r="J1883"/>
      <c r="K1883"/>
      <c r="L1883"/>
      <c r="M1883" s="17"/>
      <c r="N1883"/>
      <c r="O1883"/>
      <c r="P1883" s="34"/>
    </row>
    <row r="1884" spans="1:16" x14ac:dyDescent="0.25">
      <c r="A1884" s="14"/>
      <c r="B1884"/>
      <c r="C1884" s="15"/>
      <c r="D1884"/>
      <c r="E1884"/>
      <c r="F1884" s="16"/>
      <c r="G1884"/>
      <c r="H1884"/>
      <c r="I1884" s="16"/>
      <c r="J1884"/>
      <c r="K1884"/>
      <c r="L1884"/>
      <c r="M1884" s="17"/>
      <c r="N1884"/>
      <c r="O1884"/>
      <c r="P1884" s="34"/>
    </row>
    <row r="1885" spans="1:16" x14ac:dyDescent="0.25">
      <c r="A1885" s="14"/>
      <c r="B1885"/>
      <c r="C1885" s="15"/>
      <c r="D1885"/>
      <c r="E1885"/>
      <c r="F1885" s="16"/>
      <c r="G1885"/>
      <c r="H1885"/>
      <c r="I1885" s="16"/>
      <c r="J1885"/>
      <c r="K1885"/>
      <c r="L1885"/>
      <c r="M1885" s="17"/>
      <c r="N1885"/>
      <c r="O1885"/>
      <c r="P1885" s="34"/>
    </row>
    <row r="1886" spans="1:16" x14ac:dyDescent="0.25">
      <c r="A1886" s="14"/>
      <c r="B1886"/>
      <c r="C1886" s="15"/>
      <c r="D1886"/>
      <c r="E1886"/>
      <c r="F1886" s="16"/>
      <c r="G1886"/>
      <c r="H1886"/>
      <c r="I1886" s="16"/>
      <c r="J1886"/>
      <c r="K1886"/>
      <c r="L1886"/>
      <c r="M1886" s="17"/>
      <c r="N1886"/>
      <c r="O1886"/>
      <c r="P1886" s="34"/>
    </row>
    <row r="1887" spans="1:16" x14ac:dyDescent="0.25">
      <c r="A1887" s="14"/>
      <c r="B1887"/>
      <c r="C1887" s="15"/>
      <c r="D1887"/>
      <c r="E1887"/>
      <c r="F1887" s="16"/>
      <c r="G1887"/>
      <c r="H1887"/>
      <c r="I1887" s="16"/>
      <c r="J1887"/>
      <c r="K1887"/>
      <c r="L1887"/>
      <c r="M1887" s="17"/>
      <c r="N1887"/>
      <c r="O1887"/>
      <c r="P1887" s="34"/>
    </row>
    <row r="1888" spans="1:16" x14ac:dyDescent="0.25">
      <c r="A1888" s="14"/>
      <c r="B1888"/>
      <c r="C1888" s="15"/>
      <c r="D1888"/>
      <c r="E1888"/>
      <c r="F1888" s="16"/>
      <c r="G1888"/>
      <c r="H1888"/>
      <c r="I1888" s="16"/>
      <c r="J1888"/>
      <c r="K1888"/>
      <c r="L1888"/>
      <c r="M1888" s="17"/>
      <c r="N1888"/>
      <c r="O1888"/>
      <c r="P1888" s="34"/>
    </row>
    <row r="1889" spans="1:16" x14ac:dyDescent="0.25">
      <c r="A1889" s="14"/>
      <c r="B1889"/>
      <c r="C1889" s="15"/>
      <c r="D1889"/>
      <c r="E1889"/>
      <c r="F1889" s="16"/>
      <c r="G1889"/>
      <c r="H1889"/>
      <c r="I1889" s="16"/>
      <c r="J1889"/>
      <c r="K1889"/>
      <c r="L1889"/>
      <c r="M1889" s="17"/>
      <c r="N1889"/>
      <c r="O1889"/>
      <c r="P1889" s="34"/>
    </row>
    <row r="1890" spans="1:16" x14ac:dyDescent="0.25">
      <c r="A1890" s="14"/>
      <c r="B1890"/>
      <c r="C1890" s="15"/>
      <c r="D1890"/>
      <c r="E1890"/>
      <c r="F1890" s="16"/>
      <c r="G1890"/>
      <c r="H1890"/>
      <c r="I1890" s="16"/>
      <c r="J1890"/>
      <c r="K1890"/>
      <c r="L1890"/>
      <c r="M1890" s="17"/>
      <c r="N1890"/>
      <c r="O1890"/>
      <c r="P1890" s="34"/>
    </row>
    <row r="1891" spans="1:16" x14ac:dyDescent="0.25">
      <c r="A1891" s="14"/>
      <c r="B1891"/>
      <c r="C1891" s="15"/>
      <c r="D1891"/>
      <c r="E1891"/>
      <c r="F1891" s="16"/>
      <c r="G1891"/>
      <c r="H1891"/>
      <c r="I1891" s="16"/>
      <c r="J1891"/>
      <c r="K1891"/>
      <c r="L1891"/>
      <c r="M1891" s="17"/>
      <c r="N1891"/>
      <c r="O1891"/>
      <c r="P1891" s="34"/>
    </row>
    <row r="1892" spans="1:16" x14ac:dyDescent="0.25">
      <c r="A1892" s="14"/>
      <c r="B1892"/>
      <c r="C1892" s="15"/>
      <c r="D1892"/>
      <c r="E1892"/>
      <c r="F1892" s="16"/>
      <c r="G1892"/>
      <c r="H1892"/>
      <c r="I1892" s="16"/>
      <c r="J1892"/>
      <c r="K1892"/>
      <c r="L1892"/>
      <c r="M1892" s="17"/>
      <c r="N1892"/>
      <c r="O1892"/>
      <c r="P1892" s="34"/>
    </row>
    <row r="1893" spans="1:16" x14ac:dyDescent="0.25">
      <c r="A1893" s="14"/>
      <c r="B1893"/>
      <c r="C1893" s="15"/>
      <c r="D1893"/>
      <c r="E1893"/>
      <c r="F1893" s="16"/>
      <c r="G1893"/>
      <c r="H1893"/>
      <c r="I1893" s="16"/>
      <c r="J1893"/>
      <c r="K1893"/>
      <c r="L1893"/>
      <c r="M1893" s="17"/>
      <c r="N1893"/>
      <c r="O1893"/>
      <c r="P1893" s="34"/>
    </row>
    <row r="1894" spans="1:16" x14ac:dyDescent="0.25">
      <c r="A1894" s="14"/>
      <c r="B1894"/>
      <c r="C1894" s="15"/>
      <c r="D1894"/>
      <c r="E1894"/>
      <c r="F1894" s="16"/>
      <c r="G1894"/>
      <c r="H1894"/>
      <c r="I1894" s="16"/>
      <c r="J1894"/>
      <c r="K1894"/>
      <c r="L1894"/>
      <c r="M1894" s="17"/>
      <c r="N1894"/>
      <c r="O1894"/>
      <c r="P1894" s="34"/>
    </row>
    <row r="1895" spans="1:16" x14ac:dyDescent="0.25">
      <c r="A1895" s="14"/>
      <c r="B1895"/>
      <c r="C1895" s="15"/>
      <c r="D1895"/>
      <c r="E1895"/>
      <c r="F1895" s="16"/>
      <c r="G1895"/>
      <c r="H1895"/>
      <c r="I1895" s="16"/>
      <c r="J1895"/>
      <c r="K1895"/>
      <c r="L1895"/>
      <c r="M1895" s="17"/>
      <c r="N1895"/>
      <c r="O1895"/>
      <c r="P1895" s="34"/>
    </row>
    <row r="1896" spans="1:16" x14ac:dyDescent="0.25">
      <c r="A1896" s="14"/>
      <c r="B1896"/>
      <c r="C1896" s="15"/>
      <c r="D1896"/>
      <c r="E1896"/>
      <c r="F1896" s="16"/>
      <c r="G1896"/>
      <c r="H1896"/>
      <c r="I1896" s="16"/>
      <c r="J1896"/>
      <c r="K1896"/>
      <c r="L1896"/>
      <c r="M1896" s="17"/>
      <c r="N1896"/>
      <c r="O1896"/>
      <c r="P1896" s="34"/>
    </row>
    <row r="1897" spans="1:16" x14ac:dyDescent="0.25">
      <c r="A1897" s="14"/>
      <c r="B1897"/>
      <c r="C1897" s="15"/>
      <c r="D1897"/>
      <c r="E1897"/>
      <c r="F1897" s="16"/>
      <c r="G1897"/>
      <c r="H1897"/>
      <c r="I1897" s="16"/>
      <c r="J1897"/>
      <c r="K1897"/>
      <c r="L1897"/>
      <c r="M1897" s="17"/>
      <c r="N1897"/>
      <c r="O1897"/>
      <c r="P1897" s="34"/>
    </row>
    <row r="1898" spans="1:16" x14ac:dyDescent="0.25">
      <c r="A1898" s="14"/>
      <c r="B1898"/>
      <c r="C1898" s="15"/>
      <c r="D1898"/>
      <c r="E1898"/>
      <c r="F1898" s="16"/>
      <c r="G1898"/>
      <c r="H1898"/>
      <c r="I1898" s="16"/>
      <c r="J1898"/>
      <c r="K1898"/>
      <c r="L1898"/>
      <c r="M1898" s="17"/>
      <c r="N1898"/>
      <c r="O1898"/>
      <c r="P1898" s="34"/>
    </row>
    <row r="1899" spans="1:16" x14ac:dyDescent="0.25">
      <c r="A1899" s="14"/>
      <c r="B1899"/>
      <c r="C1899" s="15"/>
      <c r="D1899"/>
      <c r="E1899"/>
      <c r="F1899" s="16"/>
      <c r="G1899"/>
      <c r="H1899"/>
      <c r="I1899" s="16"/>
      <c r="J1899"/>
      <c r="K1899"/>
      <c r="L1899"/>
      <c r="M1899" s="17"/>
      <c r="N1899"/>
      <c r="O1899"/>
      <c r="P1899" s="34"/>
    </row>
    <row r="1900" spans="1:16" x14ac:dyDescent="0.25">
      <c r="A1900" s="14"/>
      <c r="B1900"/>
      <c r="C1900" s="15"/>
      <c r="D1900"/>
      <c r="E1900"/>
      <c r="F1900" s="16"/>
      <c r="G1900"/>
      <c r="H1900"/>
      <c r="I1900" s="16"/>
      <c r="J1900"/>
      <c r="K1900"/>
      <c r="L1900"/>
      <c r="M1900" s="17"/>
      <c r="N1900"/>
      <c r="O1900"/>
      <c r="P1900" s="34"/>
    </row>
    <row r="1901" spans="1:16" x14ac:dyDescent="0.25">
      <c r="A1901" s="14"/>
      <c r="B1901"/>
      <c r="C1901" s="15"/>
      <c r="D1901"/>
      <c r="E1901"/>
      <c r="F1901" s="16"/>
      <c r="G1901"/>
      <c r="H1901"/>
      <c r="I1901" s="16"/>
      <c r="J1901"/>
      <c r="K1901"/>
      <c r="L1901"/>
      <c r="M1901" s="17"/>
      <c r="N1901"/>
      <c r="O1901"/>
      <c r="P1901" s="34"/>
    </row>
    <row r="1902" spans="1:16" x14ac:dyDescent="0.25">
      <c r="A1902" s="14"/>
      <c r="B1902"/>
      <c r="C1902" s="15"/>
      <c r="D1902"/>
      <c r="E1902"/>
      <c r="F1902" s="16"/>
      <c r="G1902"/>
      <c r="H1902"/>
      <c r="I1902" s="16"/>
      <c r="J1902"/>
      <c r="K1902"/>
      <c r="L1902"/>
      <c r="M1902" s="17"/>
      <c r="N1902"/>
      <c r="O1902"/>
      <c r="P1902" s="34"/>
    </row>
    <row r="1903" spans="1:16" x14ac:dyDescent="0.25">
      <c r="A1903" s="14"/>
      <c r="B1903"/>
      <c r="C1903" s="15"/>
      <c r="D1903"/>
      <c r="E1903"/>
      <c r="F1903" s="16"/>
      <c r="G1903"/>
      <c r="H1903"/>
      <c r="I1903" s="16"/>
      <c r="J1903"/>
      <c r="K1903"/>
      <c r="L1903"/>
      <c r="M1903" s="17"/>
      <c r="N1903"/>
      <c r="O1903"/>
      <c r="P1903" s="34"/>
    </row>
    <row r="1904" spans="1:16" x14ac:dyDescent="0.25">
      <c r="A1904" s="14"/>
      <c r="B1904"/>
      <c r="C1904" s="15"/>
      <c r="D1904"/>
      <c r="E1904"/>
      <c r="F1904" s="16"/>
      <c r="G1904"/>
      <c r="H1904"/>
      <c r="I1904" s="16"/>
      <c r="J1904"/>
      <c r="K1904"/>
      <c r="L1904"/>
      <c r="M1904" s="17"/>
      <c r="N1904"/>
      <c r="O1904"/>
      <c r="P1904" s="34"/>
    </row>
    <row r="1905" spans="1:16" x14ac:dyDescent="0.25">
      <c r="A1905" s="14"/>
      <c r="B1905"/>
      <c r="C1905" s="15"/>
      <c r="D1905"/>
      <c r="E1905"/>
      <c r="F1905" s="16"/>
      <c r="G1905"/>
      <c r="H1905"/>
      <c r="I1905" s="16"/>
      <c r="J1905"/>
      <c r="K1905"/>
      <c r="L1905"/>
      <c r="M1905" s="17"/>
      <c r="N1905"/>
      <c r="O1905"/>
      <c r="P1905" s="34"/>
    </row>
    <row r="1906" spans="1:16" x14ac:dyDescent="0.25">
      <c r="A1906" s="14"/>
      <c r="B1906"/>
      <c r="C1906" s="15"/>
      <c r="D1906"/>
      <c r="E1906"/>
      <c r="F1906" s="16"/>
      <c r="G1906"/>
      <c r="H1906"/>
      <c r="I1906" s="16"/>
      <c r="J1906"/>
      <c r="K1906"/>
      <c r="L1906"/>
      <c r="M1906" s="17"/>
      <c r="N1906"/>
      <c r="O1906"/>
      <c r="P1906" s="34"/>
    </row>
    <row r="1907" spans="1:16" x14ac:dyDescent="0.25">
      <c r="A1907" s="14"/>
      <c r="B1907"/>
      <c r="C1907" s="15"/>
      <c r="D1907"/>
      <c r="E1907"/>
      <c r="F1907" s="16"/>
      <c r="G1907"/>
      <c r="H1907"/>
      <c r="I1907" s="16"/>
      <c r="J1907"/>
      <c r="K1907"/>
      <c r="L1907"/>
      <c r="M1907" s="17"/>
      <c r="N1907"/>
      <c r="O1907"/>
      <c r="P1907" s="34"/>
    </row>
    <row r="1908" spans="1:16" x14ac:dyDescent="0.25">
      <c r="A1908" s="14"/>
      <c r="B1908"/>
      <c r="C1908" s="15"/>
      <c r="D1908"/>
      <c r="E1908"/>
      <c r="F1908" s="16"/>
      <c r="G1908"/>
      <c r="H1908"/>
      <c r="I1908" s="16"/>
      <c r="J1908"/>
      <c r="K1908"/>
      <c r="L1908"/>
      <c r="M1908" s="17"/>
      <c r="N1908"/>
      <c r="O1908"/>
      <c r="P1908" s="34"/>
    </row>
    <row r="1909" spans="1:16" x14ac:dyDescent="0.25">
      <c r="A1909" s="14"/>
      <c r="B1909"/>
      <c r="C1909" s="15"/>
      <c r="D1909"/>
      <c r="E1909"/>
      <c r="F1909" s="16"/>
      <c r="G1909"/>
      <c r="H1909"/>
      <c r="I1909" s="16"/>
      <c r="J1909"/>
      <c r="K1909"/>
      <c r="L1909"/>
      <c r="M1909" s="17"/>
      <c r="N1909"/>
      <c r="O1909"/>
      <c r="P1909" s="34"/>
    </row>
    <row r="1910" spans="1:16" x14ac:dyDescent="0.25">
      <c r="A1910" s="14"/>
      <c r="B1910"/>
      <c r="C1910" s="15"/>
      <c r="D1910"/>
      <c r="E1910"/>
      <c r="F1910" s="16"/>
      <c r="G1910"/>
      <c r="H1910"/>
      <c r="I1910" s="16"/>
      <c r="J1910"/>
      <c r="K1910"/>
      <c r="L1910"/>
      <c r="M1910" s="17"/>
      <c r="N1910"/>
      <c r="O1910"/>
      <c r="P1910" s="34"/>
    </row>
    <row r="1911" spans="1:16" x14ac:dyDescent="0.25">
      <c r="A1911" s="14"/>
      <c r="B1911"/>
      <c r="C1911" s="15"/>
      <c r="D1911"/>
      <c r="E1911"/>
      <c r="F1911" s="16"/>
      <c r="G1911"/>
      <c r="H1911"/>
      <c r="I1911" s="16"/>
      <c r="J1911"/>
      <c r="K1911"/>
      <c r="L1911"/>
      <c r="M1911" s="17"/>
      <c r="N1911"/>
      <c r="O1911"/>
      <c r="P1911" s="34"/>
    </row>
    <row r="1912" spans="1:16" x14ac:dyDescent="0.25">
      <c r="A1912" s="14"/>
      <c r="B1912"/>
      <c r="C1912" s="15"/>
      <c r="D1912"/>
      <c r="E1912"/>
      <c r="F1912" s="16"/>
      <c r="G1912"/>
      <c r="H1912"/>
      <c r="I1912" s="16"/>
      <c r="J1912"/>
      <c r="K1912"/>
      <c r="L1912"/>
      <c r="M1912" s="17"/>
      <c r="N1912"/>
      <c r="O1912"/>
      <c r="P1912" s="34"/>
    </row>
    <row r="1913" spans="1:16" x14ac:dyDescent="0.25">
      <c r="A1913" s="14"/>
      <c r="B1913"/>
      <c r="C1913" s="15"/>
      <c r="D1913"/>
      <c r="E1913"/>
      <c r="F1913" s="16"/>
      <c r="G1913"/>
      <c r="H1913"/>
      <c r="I1913" s="16"/>
      <c r="J1913"/>
      <c r="K1913"/>
      <c r="L1913"/>
      <c r="M1913" s="17"/>
      <c r="N1913"/>
      <c r="O1913"/>
      <c r="P1913" s="34"/>
    </row>
    <row r="1914" spans="1:16" x14ac:dyDescent="0.25">
      <c r="A1914" s="14"/>
      <c r="B1914"/>
      <c r="C1914" s="15"/>
      <c r="D1914"/>
      <c r="E1914"/>
      <c r="F1914" s="16"/>
      <c r="G1914"/>
      <c r="H1914"/>
      <c r="I1914" s="16"/>
      <c r="J1914"/>
      <c r="K1914"/>
      <c r="L1914"/>
      <c r="M1914" s="17"/>
      <c r="N1914"/>
      <c r="O1914"/>
      <c r="P1914" s="34"/>
    </row>
    <row r="1915" spans="1:16" x14ac:dyDescent="0.25">
      <c r="A1915" s="14"/>
      <c r="B1915"/>
      <c r="C1915" s="15"/>
      <c r="D1915"/>
      <c r="E1915"/>
      <c r="F1915" s="16"/>
      <c r="G1915"/>
      <c r="H1915"/>
      <c r="I1915" s="16"/>
      <c r="J1915"/>
      <c r="K1915"/>
      <c r="L1915"/>
      <c r="M1915" s="17"/>
      <c r="N1915"/>
      <c r="O1915"/>
      <c r="P1915" s="34"/>
    </row>
    <row r="1916" spans="1:16" x14ac:dyDescent="0.25">
      <c r="A1916" s="14"/>
      <c r="B1916"/>
      <c r="C1916" s="15"/>
      <c r="D1916"/>
      <c r="E1916"/>
      <c r="F1916" s="16"/>
      <c r="G1916"/>
      <c r="H1916"/>
      <c r="I1916" s="16"/>
      <c r="J1916"/>
      <c r="K1916"/>
      <c r="L1916"/>
      <c r="M1916" s="17"/>
      <c r="N1916"/>
      <c r="O1916"/>
      <c r="P1916" s="34"/>
    </row>
    <row r="1917" spans="1:16" x14ac:dyDescent="0.25">
      <c r="A1917" s="14"/>
      <c r="B1917"/>
      <c r="C1917" s="15"/>
      <c r="D1917"/>
      <c r="E1917"/>
      <c r="F1917" s="16"/>
      <c r="G1917"/>
      <c r="H1917"/>
      <c r="I1917" s="16"/>
      <c r="J1917"/>
      <c r="K1917"/>
      <c r="L1917"/>
      <c r="M1917" s="17"/>
      <c r="N1917"/>
      <c r="O1917"/>
      <c r="P1917" s="34"/>
    </row>
    <row r="1918" spans="1:16" x14ac:dyDescent="0.25">
      <c r="A1918" s="14"/>
      <c r="B1918"/>
      <c r="C1918" s="15"/>
      <c r="D1918"/>
      <c r="E1918"/>
      <c r="F1918" s="16"/>
      <c r="G1918"/>
      <c r="H1918"/>
      <c r="I1918" s="16"/>
      <c r="J1918"/>
      <c r="K1918"/>
      <c r="L1918"/>
      <c r="M1918" s="17"/>
      <c r="N1918"/>
      <c r="O1918"/>
      <c r="P1918" s="34"/>
    </row>
    <row r="1919" spans="1:16" x14ac:dyDescent="0.25">
      <c r="A1919" s="14"/>
      <c r="B1919"/>
      <c r="C1919" s="15"/>
      <c r="D1919"/>
      <c r="E1919"/>
      <c r="F1919" s="16"/>
      <c r="G1919"/>
      <c r="H1919"/>
      <c r="I1919" s="16"/>
      <c r="J1919"/>
      <c r="K1919"/>
      <c r="L1919"/>
      <c r="M1919" s="17"/>
      <c r="N1919"/>
      <c r="O1919"/>
      <c r="P1919" s="34"/>
    </row>
    <row r="1920" spans="1:16" x14ac:dyDescent="0.25">
      <c r="A1920" s="14"/>
      <c r="B1920"/>
      <c r="C1920" s="15"/>
      <c r="D1920"/>
      <c r="E1920"/>
      <c r="F1920" s="16"/>
      <c r="G1920"/>
      <c r="H1920"/>
      <c r="I1920" s="16"/>
      <c r="J1920"/>
      <c r="K1920"/>
      <c r="L1920"/>
      <c r="M1920" s="17"/>
      <c r="N1920"/>
      <c r="O1920"/>
      <c r="P1920" s="34"/>
    </row>
    <row r="1921" spans="1:16" x14ac:dyDescent="0.25">
      <c r="A1921" s="14"/>
      <c r="B1921"/>
      <c r="C1921" s="15"/>
      <c r="D1921"/>
      <c r="E1921"/>
      <c r="F1921" s="16"/>
      <c r="G1921"/>
      <c r="H1921"/>
      <c r="I1921" s="16"/>
      <c r="J1921"/>
      <c r="K1921"/>
      <c r="L1921"/>
      <c r="M1921" s="17"/>
      <c r="N1921"/>
      <c r="O1921"/>
      <c r="P1921" s="34"/>
    </row>
    <row r="1922" spans="1:16" x14ac:dyDescent="0.25">
      <c r="A1922" s="14"/>
      <c r="B1922"/>
      <c r="C1922" s="15"/>
      <c r="D1922"/>
      <c r="E1922"/>
      <c r="F1922" s="16"/>
      <c r="G1922"/>
      <c r="H1922"/>
      <c r="I1922" s="16"/>
      <c r="J1922"/>
      <c r="K1922"/>
      <c r="L1922"/>
      <c r="M1922" s="17"/>
      <c r="N1922"/>
      <c r="O1922"/>
      <c r="P1922" s="34"/>
    </row>
    <row r="1923" spans="1:16" x14ac:dyDescent="0.25">
      <c r="A1923" s="14"/>
      <c r="B1923"/>
      <c r="C1923" s="15"/>
      <c r="D1923"/>
      <c r="E1923"/>
      <c r="F1923" s="16"/>
      <c r="G1923"/>
      <c r="H1923"/>
      <c r="I1923" s="16"/>
      <c r="J1923"/>
      <c r="K1923"/>
      <c r="L1923"/>
      <c r="M1923" s="17"/>
      <c r="N1923"/>
      <c r="O1923"/>
      <c r="P1923" s="34"/>
    </row>
    <row r="1924" spans="1:16" x14ac:dyDescent="0.25">
      <c r="A1924" s="14"/>
      <c r="B1924"/>
      <c r="C1924" s="15"/>
      <c r="D1924"/>
      <c r="E1924"/>
      <c r="F1924" s="16"/>
      <c r="G1924"/>
      <c r="H1924"/>
      <c r="I1924" s="16"/>
      <c r="J1924"/>
      <c r="K1924"/>
      <c r="L1924"/>
      <c r="M1924" s="17"/>
      <c r="N1924"/>
      <c r="O1924"/>
      <c r="P1924" s="34"/>
    </row>
    <row r="1925" spans="1:16" x14ac:dyDescent="0.25">
      <c r="A1925" s="14"/>
      <c r="B1925"/>
      <c r="C1925" s="15"/>
      <c r="D1925"/>
      <c r="E1925"/>
      <c r="F1925" s="16"/>
      <c r="G1925"/>
      <c r="H1925"/>
      <c r="I1925" s="16"/>
      <c r="J1925"/>
      <c r="K1925"/>
      <c r="L1925"/>
      <c r="M1925" s="17"/>
      <c r="N1925"/>
      <c r="O1925"/>
      <c r="P1925" s="34"/>
    </row>
    <row r="1926" spans="1:16" x14ac:dyDescent="0.25">
      <c r="A1926" s="14"/>
      <c r="B1926"/>
      <c r="C1926" s="15"/>
      <c r="D1926"/>
      <c r="E1926"/>
      <c r="F1926" s="16"/>
      <c r="G1926"/>
      <c r="H1926"/>
      <c r="I1926" s="16"/>
      <c r="J1926"/>
      <c r="K1926"/>
      <c r="L1926"/>
      <c r="M1926" s="17"/>
      <c r="N1926"/>
      <c r="O1926"/>
      <c r="P1926" s="34"/>
    </row>
    <row r="1927" spans="1:16" x14ac:dyDescent="0.25">
      <c r="A1927" s="14"/>
      <c r="B1927"/>
      <c r="C1927" s="15"/>
      <c r="D1927"/>
      <c r="E1927"/>
      <c r="F1927" s="16"/>
      <c r="G1927"/>
      <c r="H1927"/>
      <c r="I1927" s="16"/>
      <c r="J1927"/>
      <c r="K1927"/>
      <c r="L1927"/>
      <c r="M1927" s="17"/>
      <c r="N1927"/>
      <c r="O1927"/>
      <c r="P1927" s="34"/>
    </row>
    <row r="1928" spans="1:16" x14ac:dyDescent="0.25">
      <c r="A1928" s="14"/>
      <c r="B1928"/>
      <c r="C1928" s="15"/>
      <c r="D1928"/>
      <c r="E1928"/>
      <c r="F1928" s="16"/>
      <c r="G1928"/>
      <c r="H1928"/>
      <c r="I1928" s="16"/>
      <c r="J1928"/>
      <c r="K1928"/>
      <c r="L1928"/>
      <c r="M1928" s="17"/>
      <c r="N1928"/>
      <c r="O1928"/>
      <c r="P1928" s="34"/>
    </row>
    <row r="1929" spans="1:16" x14ac:dyDescent="0.25">
      <c r="A1929" s="14"/>
      <c r="B1929"/>
      <c r="C1929" s="15"/>
      <c r="D1929"/>
      <c r="E1929"/>
      <c r="F1929" s="16"/>
      <c r="G1929"/>
      <c r="H1929"/>
      <c r="I1929" s="16"/>
      <c r="J1929"/>
      <c r="K1929"/>
      <c r="L1929"/>
      <c r="M1929" s="17"/>
      <c r="N1929"/>
      <c r="O1929"/>
      <c r="P1929" s="34"/>
    </row>
    <row r="1930" spans="1:16" x14ac:dyDescent="0.25">
      <c r="A1930" s="14"/>
      <c r="B1930"/>
      <c r="C1930" s="15"/>
      <c r="D1930"/>
      <c r="E1930"/>
      <c r="F1930" s="16"/>
      <c r="G1930"/>
      <c r="H1930"/>
      <c r="I1930" s="16"/>
      <c r="J1930"/>
      <c r="K1930"/>
      <c r="L1930"/>
      <c r="M1930" s="17"/>
      <c r="N1930"/>
      <c r="O1930"/>
      <c r="P1930" s="34"/>
    </row>
    <row r="1931" spans="1:16" x14ac:dyDescent="0.25">
      <c r="A1931" s="14"/>
      <c r="B1931"/>
      <c r="C1931" s="15"/>
      <c r="D1931"/>
      <c r="E1931"/>
      <c r="F1931" s="16"/>
      <c r="G1931"/>
      <c r="H1931"/>
      <c r="I1931" s="16"/>
      <c r="J1931"/>
      <c r="K1931"/>
      <c r="L1931"/>
      <c r="M1931" s="17"/>
      <c r="N1931"/>
      <c r="O1931"/>
      <c r="P1931" s="34"/>
    </row>
    <row r="1932" spans="1:16" x14ac:dyDescent="0.25">
      <c r="A1932" s="14"/>
      <c r="B1932"/>
      <c r="C1932" s="15"/>
      <c r="D1932"/>
      <c r="E1932"/>
      <c r="F1932" s="16"/>
      <c r="G1932"/>
      <c r="H1932"/>
      <c r="I1932" s="16"/>
      <c r="J1932"/>
      <c r="K1932"/>
      <c r="L1932"/>
      <c r="M1932" s="17"/>
      <c r="N1932"/>
      <c r="O1932"/>
      <c r="P1932" s="34"/>
    </row>
    <row r="1933" spans="1:16" x14ac:dyDescent="0.25">
      <c r="A1933" s="14"/>
      <c r="B1933"/>
      <c r="C1933" s="15"/>
      <c r="D1933"/>
      <c r="E1933"/>
      <c r="F1933" s="16"/>
      <c r="G1933"/>
      <c r="H1933"/>
      <c r="I1933" s="16"/>
      <c r="J1933"/>
      <c r="K1933"/>
      <c r="L1933"/>
      <c r="M1933" s="17"/>
      <c r="N1933"/>
      <c r="O1933"/>
      <c r="P1933" s="34"/>
    </row>
    <row r="1934" spans="1:16" x14ac:dyDescent="0.25">
      <c r="A1934" s="14"/>
      <c r="B1934"/>
      <c r="C1934" s="15"/>
      <c r="D1934"/>
      <c r="E1934"/>
      <c r="F1934" s="16"/>
      <c r="G1934"/>
      <c r="H1934"/>
      <c r="I1934" s="16"/>
      <c r="J1934"/>
      <c r="K1934"/>
      <c r="L1934"/>
      <c r="M1934" s="17"/>
      <c r="N1934"/>
      <c r="O1934"/>
      <c r="P1934" s="34"/>
    </row>
    <row r="1935" spans="1:16" x14ac:dyDescent="0.25">
      <c r="A1935" s="14"/>
      <c r="B1935"/>
      <c r="C1935" s="15"/>
      <c r="D1935"/>
      <c r="E1935"/>
      <c r="F1935" s="16"/>
      <c r="G1935"/>
      <c r="H1935"/>
      <c r="I1935" s="16"/>
      <c r="J1935"/>
      <c r="K1935"/>
      <c r="L1935"/>
      <c r="M1935" s="17"/>
      <c r="N1935"/>
      <c r="O1935"/>
      <c r="P1935" s="34"/>
    </row>
    <row r="1936" spans="1:16" x14ac:dyDescent="0.25">
      <c r="A1936" s="14"/>
      <c r="B1936"/>
      <c r="C1936" s="15"/>
      <c r="D1936"/>
      <c r="E1936"/>
      <c r="F1936" s="16"/>
      <c r="G1936"/>
      <c r="H1936"/>
      <c r="I1936" s="16"/>
      <c r="J1936"/>
      <c r="K1936"/>
      <c r="L1936"/>
      <c r="M1936" s="17"/>
      <c r="N1936"/>
      <c r="O1936"/>
      <c r="P1936" s="34"/>
    </row>
    <row r="1937" spans="1:16" x14ac:dyDescent="0.25">
      <c r="A1937" s="14"/>
      <c r="B1937"/>
      <c r="C1937" s="15"/>
      <c r="D1937"/>
      <c r="E1937"/>
      <c r="F1937" s="16"/>
      <c r="G1937"/>
      <c r="H1937"/>
      <c r="I1937" s="16"/>
      <c r="J1937"/>
      <c r="K1937"/>
      <c r="L1937"/>
      <c r="M1937" s="17"/>
      <c r="N1937"/>
      <c r="O1937"/>
      <c r="P1937" s="34"/>
    </row>
    <row r="1938" spans="1:16" x14ac:dyDescent="0.25">
      <c r="A1938" s="14"/>
      <c r="B1938"/>
      <c r="C1938" s="15"/>
      <c r="D1938"/>
      <c r="E1938"/>
      <c r="F1938" s="16"/>
      <c r="G1938"/>
      <c r="H1938"/>
      <c r="I1938" s="16"/>
      <c r="J1938"/>
      <c r="K1938"/>
      <c r="L1938"/>
      <c r="M1938" s="17"/>
      <c r="N1938"/>
      <c r="O1938"/>
      <c r="P1938" s="34"/>
    </row>
    <row r="1939" spans="1:16" x14ac:dyDescent="0.25">
      <c r="A1939" s="14"/>
      <c r="B1939"/>
      <c r="C1939" s="15"/>
      <c r="D1939"/>
      <c r="E1939"/>
      <c r="F1939" s="16"/>
      <c r="G1939"/>
      <c r="H1939"/>
      <c r="I1939" s="16"/>
      <c r="J1939"/>
      <c r="K1939"/>
      <c r="L1939"/>
      <c r="M1939" s="17"/>
      <c r="N1939"/>
      <c r="O1939"/>
      <c r="P1939" s="34"/>
    </row>
    <row r="1940" spans="1:16" x14ac:dyDescent="0.25">
      <c r="A1940" s="14"/>
      <c r="B1940"/>
      <c r="C1940" s="15"/>
      <c r="D1940"/>
      <c r="E1940"/>
      <c r="F1940" s="16"/>
      <c r="G1940"/>
      <c r="H1940"/>
      <c r="I1940" s="16"/>
      <c r="J1940"/>
      <c r="K1940"/>
      <c r="L1940"/>
      <c r="M1940" s="17"/>
      <c r="N1940"/>
      <c r="O1940"/>
      <c r="P1940" s="34"/>
    </row>
    <row r="1941" spans="1:16" x14ac:dyDescent="0.25">
      <c r="A1941" s="14"/>
      <c r="B1941"/>
      <c r="C1941" s="15"/>
      <c r="D1941"/>
      <c r="E1941"/>
      <c r="F1941" s="16"/>
      <c r="G1941"/>
      <c r="H1941"/>
      <c r="I1941" s="16"/>
      <c r="J1941"/>
      <c r="K1941"/>
      <c r="L1941"/>
      <c r="M1941" s="17"/>
      <c r="N1941"/>
      <c r="O1941"/>
      <c r="P1941" s="34"/>
    </row>
    <row r="1942" spans="1:16" x14ac:dyDescent="0.25">
      <c r="A1942" s="14"/>
      <c r="B1942"/>
      <c r="C1942" s="15"/>
      <c r="D1942"/>
      <c r="E1942"/>
      <c r="F1942" s="16"/>
      <c r="G1942"/>
      <c r="H1942"/>
      <c r="I1942" s="16"/>
      <c r="J1942"/>
      <c r="K1942"/>
      <c r="L1942"/>
      <c r="M1942" s="17"/>
      <c r="N1942"/>
      <c r="O1942"/>
      <c r="P1942" s="34"/>
    </row>
    <row r="1943" spans="1:16" x14ac:dyDescent="0.25">
      <c r="A1943" s="14"/>
      <c r="B1943"/>
      <c r="C1943" s="15"/>
      <c r="D1943"/>
      <c r="E1943"/>
      <c r="F1943" s="16"/>
      <c r="G1943"/>
      <c r="H1943"/>
      <c r="I1943" s="16"/>
      <c r="J1943"/>
      <c r="K1943"/>
      <c r="L1943"/>
      <c r="M1943" s="17"/>
      <c r="N1943"/>
      <c r="O1943"/>
      <c r="P1943" s="34"/>
    </row>
    <row r="1944" spans="1:16" x14ac:dyDescent="0.25">
      <c r="A1944" s="14"/>
      <c r="B1944"/>
      <c r="C1944" s="15"/>
      <c r="D1944"/>
      <c r="E1944"/>
      <c r="F1944" s="16"/>
      <c r="G1944"/>
      <c r="H1944"/>
      <c r="I1944" s="16"/>
      <c r="J1944"/>
      <c r="K1944"/>
      <c r="L1944"/>
      <c r="M1944" s="17"/>
      <c r="N1944"/>
      <c r="O1944"/>
      <c r="P1944" s="34"/>
    </row>
    <row r="1945" spans="1:16" x14ac:dyDescent="0.25">
      <c r="A1945" s="14"/>
      <c r="B1945"/>
      <c r="C1945" s="15"/>
      <c r="D1945"/>
      <c r="E1945"/>
      <c r="F1945" s="16"/>
      <c r="G1945"/>
      <c r="H1945"/>
      <c r="I1945" s="16"/>
      <c r="J1945"/>
      <c r="K1945"/>
      <c r="L1945"/>
      <c r="M1945" s="17"/>
      <c r="N1945"/>
      <c r="O1945"/>
      <c r="P1945" s="34"/>
    </row>
    <row r="1946" spans="1:16" x14ac:dyDescent="0.25">
      <c r="A1946" s="14"/>
      <c r="B1946"/>
      <c r="C1946" s="15"/>
      <c r="D1946"/>
      <c r="E1946"/>
      <c r="F1946" s="16"/>
      <c r="G1946"/>
      <c r="H1946"/>
      <c r="I1946" s="16"/>
      <c r="J1946"/>
      <c r="K1946"/>
      <c r="L1946"/>
      <c r="M1946" s="17"/>
      <c r="N1946"/>
      <c r="O1946"/>
      <c r="P1946" s="34"/>
    </row>
    <row r="1947" spans="1:16" x14ac:dyDescent="0.25">
      <c r="A1947" s="14"/>
      <c r="B1947"/>
      <c r="C1947" s="15"/>
      <c r="D1947"/>
      <c r="E1947"/>
      <c r="F1947" s="16"/>
      <c r="G1947"/>
      <c r="H1947"/>
      <c r="I1947" s="16"/>
      <c r="J1947"/>
      <c r="K1947"/>
      <c r="L1947"/>
      <c r="M1947" s="17"/>
      <c r="N1947"/>
      <c r="O1947"/>
      <c r="P1947" s="34"/>
    </row>
    <row r="1948" spans="1:16" x14ac:dyDescent="0.25">
      <c r="A1948" s="14"/>
      <c r="B1948"/>
      <c r="C1948" s="15"/>
      <c r="D1948"/>
      <c r="E1948"/>
      <c r="F1948" s="16"/>
      <c r="G1948"/>
      <c r="H1948"/>
      <c r="I1948" s="16"/>
      <c r="J1948"/>
      <c r="K1948"/>
      <c r="L1948"/>
      <c r="M1948" s="17"/>
      <c r="N1948"/>
      <c r="O1948"/>
      <c r="P1948" s="34"/>
    </row>
    <row r="1949" spans="1:16" x14ac:dyDescent="0.25">
      <c r="A1949" s="14"/>
      <c r="B1949"/>
      <c r="C1949" s="15"/>
      <c r="D1949"/>
      <c r="E1949"/>
      <c r="F1949" s="16"/>
      <c r="G1949"/>
      <c r="H1949"/>
      <c r="I1949" s="16"/>
      <c r="J1949"/>
      <c r="K1949"/>
      <c r="L1949"/>
      <c r="M1949" s="17"/>
      <c r="N1949"/>
      <c r="O1949"/>
      <c r="P1949" s="34"/>
    </row>
    <row r="1950" spans="1:16" x14ac:dyDescent="0.25">
      <c r="A1950" s="14"/>
      <c r="B1950"/>
      <c r="C1950" s="15"/>
      <c r="D1950"/>
      <c r="E1950"/>
      <c r="F1950" s="16"/>
      <c r="G1950"/>
      <c r="H1950"/>
      <c r="I1950" s="16"/>
      <c r="J1950"/>
      <c r="K1950"/>
      <c r="L1950"/>
      <c r="M1950" s="17"/>
      <c r="N1950"/>
      <c r="O1950"/>
      <c r="P1950" s="34"/>
    </row>
    <row r="1951" spans="1:16" x14ac:dyDescent="0.25">
      <c r="A1951" s="14"/>
      <c r="B1951"/>
      <c r="C1951" s="15"/>
      <c r="D1951"/>
      <c r="E1951"/>
      <c r="F1951" s="16"/>
      <c r="G1951"/>
      <c r="H1951"/>
      <c r="I1951" s="16"/>
      <c r="J1951"/>
      <c r="K1951"/>
      <c r="L1951"/>
      <c r="M1951" s="17"/>
      <c r="N1951"/>
      <c r="O1951"/>
      <c r="P1951" s="34"/>
    </row>
    <row r="1952" spans="1:16" x14ac:dyDescent="0.25">
      <c r="A1952" s="14"/>
      <c r="B1952"/>
      <c r="C1952" s="15"/>
      <c r="D1952"/>
      <c r="E1952"/>
      <c r="F1952" s="16"/>
      <c r="G1952"/>
      <c r="H1952"/>
      <c r="I1952" s="16"/>
      <c r="J1952"/>
      <c r="K1952"/>
      <c r="L1952"/>
      <c r="M1952" s="17"/>
      <c r="N1952"/>
      <c r="O1952"/>
      <c r="P1952" s="34"/>
    </row>
    <row r="1953" spans="1:16" x14ac:dyDescent="0.25">
      <c r="A1953" s="14"/>
      <c r="B1953"/>
      <c r="C1953" s="15"/>
      <c r="D1953"/>
      <c r="E1953"/>
      <c r="F1953" s="16"/>
      <c r="G1953"/>
      <c r="H1953"/>
      <c r="I1953" s="16"/>
      <c r="J1953"/>
      <c r="K1953"/>
      <c r="L1953"/>
      <c r="M1953" s="17"/>
      <c r="N1953"/>
      <c r="O1953"/>
      <c r="P1953" s="34"/>
    </row>
    <row r="1954" spans="1:16" x14ac:dyDescent="0.25">
      <c r="A1954" s="14"/>
      <c r="B1954"/>
      <c r="C1954" s="15"/>
      <c r="D1954"/>
      <c r="E1954"/>
      <c r="F1954" s="16"/>
      <c r="G1954"/>
      <c r="H1954"/>
      <c r="I1954" s="16"/>
      <c r="J1954"/>
      <c r="K1954"/>
      <c r="L1954"/>
      <c r="M1954" s="17"/>
      <c r="N1954"/>
      <c r="O1954"/>
      <c r="P1954" s="34"/>
    </row>
    <row r="1955" spans="1:16" x14ac:dyDescent="0.25">
      <c r="A1955" s="14"/>
      <c r="B1955"/>
      <c r="C1955" s="15"/>
      <c r="D1955"/>
      <c r="E1955"/>
      <c r="F1955" s="16"/>
      <c r="G1955"/>
      <c r="H1955"/>
      <c r="I1955" s="16"/>
      <c r="J1955"/>
      <c r="K1955"/>
      <c r="L1955"/>
      <c r="M1955" s="17"/>
      <c r="N1955"/>
      <c r="O1955"/>
      <c r="P1955" s="34"/>
    </row>
    <row r="1956" spans="1:16" x14ac:dyDescent="0.25">
      <c r="A1956" s="14"/>
      <c r="B1956"/>
      <c r="C1956" s="15"/>
      <c r="D1956"/>
      <c r="E1956"/>
      <c r="F1956" s="16"/>
      <c r="G1956"/>
      <c r="H1956"/>
      <c r="I1956" s="16"/>
      <c r="J1956"/>
      <c r="K1956"/>
      <c r="L1956"/>
      <c r="M1956" s="17"/>
      <c r="N1956"/>
      <c r="O1956"/>
      <c r="P1956" s="34"/>
    </row>
    <row r="1957" spans="1:16" x14ac:dyDescent="0.25">
      <c r="A1957" s="14"/>
      <c r="B1957"/>
      <c r="C1957" s="15"/>
      <c r="D1957"/>
      <c r="E1957"/>
      <c r="F1957" s="16"/>
      <c r="G1957"/>
      <c r="H1957"/>
      <c r="I1957" s="16"/>
      <c r="J1957"/>
      <c r="K1957"/>
      <c r="L1957"/>
      <c r="M1957" s="17"/>
      <c r="N1957"/>
      <c r="O1957"/>
      <c r="P1957" s="34"/>
    </row>
    <row r="1958" spans="1:16" x14ac:dyDescent="0.25">
      <c r="A1958" s="14"/>
      <c r="B1958"/>
      <c r="C1958" s="15"/>
      <c r="D1958"/>
      <c r="E1958"/>
      <c r="F1958" s="16"/>
      <c r="G1958"/>
      <c r="H1958"/>
      <c r="I1958" s="16"/>
      <c r="J1958"/>
      <c r="K1958"/>
      <c r="L1958"/>
      <c r="M1958" s="17"/>
      <c r="N1958"/>
      <c r="O1958"/>
      <c r="P1958" s="34"/>
    </row>
    <row r="1959" spans="1:16" x14ac:dyDescent="0.25">
      <c r="A1959" s="14"/>
      <c r="B1959"/>
      <c r="C1959" s="15"/>
      <c r="D1959"/>
      <c r="E1959"/>
      <c r="F1959" s="16"/>
      <c r="G1959"/>
      <c r="H1959"/>
      <c r="I1959" s="16"/>
      <c r="J1959"/>
      <c r="K1959"/>
      <c r="L1959"/>
      <c r="M1959" s="17"/>
      <c r="N1959"/>
      <c r="O1959"/>
      <c r="P1959" s="34"/>
    </row>
    <row r="1960" spans="1:16" x14ac:dyDescent="0.25">
      <c r="A1960" s="14"/>
      <c r="B1960"/>
      <c r="C1960" s="15"/>
      <c r="D1960"/>
      <c r="E1960"/>
      <c r="F1960" s="16"/>
      <c r="G1960"/>
      <c r="H1960"/>
      <c r="I1960" s="16"/>
      <c r="J1960"/>
      <c r="K1960"/>
      <c r="L1960"/>
      <c r="M1960" s="17"/>
      <c r="N1960"/>
      <c r="O1960"/>
      <c r="P1960" s="34"/>
    </row>
    <row r="1961" spans="1:16" x14ac:dyDescent="0.25">
      <c r="A1961" s="14"/>
      <c r="B1961"/>
      <c r="C1961" s="15"/>
      <c r="D1961"/>
      <c r="E1961"/>
      <c r="F1961" s="16"/>
      <c r="G1961"/>
      <c r="H1961"/>
      <c r="I1961" s="16"/>
      <c r="J1961"/>
      <c r="K1961"/>
      <c r="L1961"/>
      <c r="M1961" s="17"/>
      <c r="N1961"/>
      <c r="O1961"/>
      <c r="P1961" s="34"/>
    </row>
    <row r="1962" spans="1:16" x14ac:dyDescent="0.25">
      <c r="A1962" s="14"/>
      <c r="B1962"/>
      <c r="C1962" s="15"/>
      <c r="D1962"/>
      <c r="E1962"/>
      <c r="F1962" s="16"/>
      <c r="G1962"/>
      <c r="H1962"/>
      <c r="I1962" s="16"/>
      <c r="J1962"/>
      <c r="K1962"/>
      <c r="L1962"/>
      <c r="M1962" s="17"/>
      <c r="N1962"/>
      <c r="O1962"/>
      <c r="P1962" s="34"/>
    </row>
    <row r="1963" spans="1:16" x14ac:dyDescent="0.25">
      <c r="A1963" s="14"/>
      <c r="B1963"/>
      <c r="C1963" s="15"/>
      <c r="D1963"/>
      <c r="E1963"/>
      <c r="F1963" s="16"/>
      <c r="G1963"/>
      <c r="H1963"/>
      <c r="I1963" s="16"/>
      <c r="J1963"/>
      <c r="K1963"/>
      <c r="L1963"/>
      <c r="M1963" s="17"/>
      <c r="N1963"/>
      <c r="O1963"/>
      <c r="P1963" s="34"/>
    </row>
    <row r="1964" spans="1:16" x14ac:dyDescent="0.25">
      <c r="A1964" s="14"/>
      <c r="B1964"/>
      <c r="C1964" s="15"/>
      <c r="D1964"/>
      <c r="E1964"/>
      <c r="F1964" s="16"/>
      <c r="G1964"/>
      <c r="H1964"/>
      <c r="I1964" s="16"/>
      <c r="J1964"/>
      <c r="K1964"/>
      <c r="L1964"/>
      <c r="M1964" s="17"/>
      <c r="N1964"/>
      <c r="O1964"/>
      <c r="P1964" s="34"/>
    </row>
    <row r="1965" spans="1:16" x14ac:dyDescent="0.25">
      <c r="A1965" s="14"/>
      <c r="B1965"/>
      <c r="C1965" s="15"/>
      <c r="D1965"/>
      <c r="E1965"/>
      <c r="F1965" s="16"/>
      <c r="G1965"/>
      <c r="H1965"/>
      <c r="I1965" s="16"/>
      <c r="J1965"/>
      <c r="K1965"/>
      <c r="L1965"/>
      <c r="M1965" s="17"/>
      <c r="N1965"/>
      <c r="O1965"/>
      <c r="P1965" s="34"/>
    </row>
    <row r="1966" spans="1:16" x14ac:dyDescent="0.25">
      <c r="A1966" s="14"/>
      <c r="B1966"/>
      <c r="C1966" s="15"/>
      <c r="D1966"/>
      <c r="E1966"/>
      <c r="F1966" s="16"/>
      <c r="G1966"/>
      <c r="H1966"/>
      <c r="I1966" s="16"/>
      <c r="J1966"/>
      <c r="K1966"/>
      <c r="L1966"/>
      <c r="M1966" s="17"/>
      <c r="N1966"/>
      <c r="O1966"/>
      <c r="P1966" s="34"/>
    </row>
    <row r="1967" spans="1:16" x14ac:dyDescent="0.25">
      <c r="A1967" s="14"/>
      <c r="B1967"/>
      <c r="C1967" s="15"/>
      <c r="D1967"/>
      <c r="E1967"/>
      <c r="F1967" s="16"/>
      <c r="G1967"/>
      <c r="H1967"/>
      <c r="I1967" s="16"/>
      <c r="J1967"/>
      <c r="K1967"/>
      <c r="L1967"/>
      <c r="M1967" s="17"/>
      <c r="N1967"/>
      <c r="O1967"/>
      <c r="P1967" s="34"/>
    </row>
    <row r="1968" spans="1:16" x14ac:dyDescent="0.25">
      <c r="A1968" s="14"/>
      <c r="B1968"/>
      <c r="C1968" s="15"/>
      <c r="D1968"/>
      <c r="E1968"/>
      <c r="F1968" s="16"/>
      <c r="G1968"/>
      <c r="H1968"/>
      <c r="I1968" s="16"/>
      <c r="J1968"/>
      <c r="K1968"/>
      <c r="L1968"/>
      <c r="M1968" s="17"/>
      <c r="N1968"/>
      <c r="O1968"/>
      <c r="P1968" s="34"/>
    </row>
    <row r="1969" spans="1:16" x14ac:dyDescent="0.25">
      <c r="A1969" s="14"/>
      <c r="B1969"/>
      <c r="C1969" s="15"/>
      <c r="D1969"/>
      <c r="E1969"/>
      <c r="F1969" s="16"/>
      <c r="G1969"/>
      <c r="H1969"/>
      <c r="I1969" s="16"/>
      <c r="J1969"/>
      <c r="K1969"/>
      <c r="L1969"/>
      <c r="M1969" s="17"/>
      <c r="N1969"/>
      <c r="O1969"/>
      <c r="P1969" s="34"/>
    </row>
    <row r="1970" spans="1:16" x14ac:dyDescent="0.25">
      <c r="A1970" s="14"/>
      <c r="B1970"/>
      <c r="C1970" s="15"/>
      <c r="D1970"/>
      <c r="E1970"/>
      <c r="F1970" s="16"/>
      <c r="G1970"/>
      <c r="H1970"/>
      <c r="I1970" s="16"/>
      <c r="J1970"/>
      <c r="K1970"/>
      <c r="L1970"/>
      <c r="M1970" s="17"/>
      <c r="N1970"/>
      <c r="O1970"/>
      <c r="P1970" s="34"/>
    </row>
    <row r="1971" spans="1:16" x14ac:dyDescent="0.25">
      <c r="A1971" s="14"/>
      <c r="B1971"/>
      <c r="C1971" s="15"/>
      <c r="D1971"/>
      <c r="E1971"/>
      <c r="F1971" s="16"/>
      <c r="G1971"/>
      <c r="H1971"/>
      <c r="I1971" s="16"/>
      <c r="J1971"/>
      <c r="K1971"/>
      <c r="L1971"/>
      <c r="M1971" s="17"/>
      <c r="N1971"/>
      <c r="O1971"/>
      <c r="P1971" s="34"/>
    </row>
    <row r="1972" spans="1:16" x14ac:dyDescent="0.25">
      <c r="A1972" s="14"/>
      <c r="B1972"/>
      <c r="C1972" s="15"/>
      <c r="D1972"/>
      <c r="E1972"/>
      <c r="F1972" s="16"/>
      <c r="G1972"/>
      <c r="H1972"/>
      <c r="I1972" s="16"/>
      <c r="J1972"/>
      <c r="K1972"/>
      <c r="L1972"/>
      <c r="M1972" s="17"/>
      <c r="N1972"/>
      <c r="O1972"/>
      <c r="P1972" s="34"/>
    </row>
    <row r="1973" spans="1:16" x14ac:dyDescent="0.25">
      <c r="A1973" s="14"/>
      <c r="B1973"/>
      <c r="C1973" s="15"/>
      <c r="D1973"/>
      <c r="E1973"/>
      <c r="F1973" s="16"/>
      <c r="G1973"/>
      <c r="H1973"/>
      <c r="I1973" s="16"/>
      <c r="J1973"/>
      <c r="K1973"/>
      <c r="L1973"/>
      <c r="M1973" s="17"/>
      <c r="N1973"/>
      <c r="O1973"/>
      <c r="P1973" s="34"/>
    </row>
    <row r="1974" spans="1:16" x14ac:dyDescent="0.25">
      <c r="A1974" s="14"/>
      <c r="B1974"/>
      <c r="C1974" s="15"/>
      <c r="D1974"/>
      <c r="E1974"/>
      <c r="F1974" s="16"/>
      <c r="G1974"/>
      <c r="H1974"/>
      <c r="I1974" s="16"/>
      <c r="J1974"/>
      <c r="K1974"/>
      <c r="L1974"/>
      <c r="M1974" s="17"/>
      <c r="N1974"/>
      <c r="O1974"/>
      <c r="P1974" s="34"/>
    </row>
    <row r="1975" spans="1:16" x14ac:dyDescent="0.25">
      <c r="A1975" s="14"/>
      <c r="B1975"/>
      <c r="C1975" s="15"/>
      <c r="D1975"/>
      <c r="E1975"/>
      <c r="F1975" s="16"/>
      <c r="G1975"/>
      <c r="H1975"/>
      <c r="I1975" s="16"/>
      <c r="J1975"/>
      <c r="K1975"/>
      <c r="L1975"/>
      <c r="M1975" s="17"/>
      <c r="N1975"/>
      <c r="O1975"/>
      <c r="P1975" s="34"/>
    </row>
    <row r="1976" spans="1:16" x14ac:dyDescent="0.25">
      <c r="A1976" s="14"/>
      <c r="B1976"/>
      <c r="C1976" s="15"/>
      <c r="D1976"/>
      <c r="E1976"/>
      <c r="F1976" s="16"/>
      <c r="G1976"/>
      <c r="H1976"/>
      <c r="I1976" s="16"/>
      <c r="J1976"/>
      <c r="K1976"/>
      <c r="L1976"/>
      <c r="M1976" s="17"/>
      <c r="N1976"/>
      <c r="O1976"/>
      <c r="P1976" s="34"/>
    </row>
    <row r="1977" spans="1:16" x14ac:dyDescent="0.25">
      <c r="A1977" s="14"/>
      <c r="B1977"/>
      <c r="C1977" s="15"/>
      <c r="D1977"/>
      <c r="E1977"/>
      <c r="F1977" s="16"/>
      <c r="G1977"/>
      <c r="H1977"/>
      <c r="I1977" s="16"/>
      <c r="J1977"/>
      <c r="K1977"/>
      <c r="L1977"/>
      <c r="M1977" s="17"/>
      <c r="N1977"/>
      <c r="O1977"/>
      <c r="P1977" s="34"/>
    </row>
    <row r="1978" spans="1:16" x14ac:dyDescent="0.25">
      <c r="A1978" s="14"/>
      <c r="B1978"/>
      <c r="C1978" s="15"/>
      <c r="D1978"/>
      <c r="E1978"/>
      <c r="F1978" s="16"/>
      <c r="G1978"/>
      <c r="H1978"/>
      <c r="I1978" s="16"/>
      <c r="J1978"/>
      <c r="K1978"/>
      <c r="L1978"/>
      <c r="M1978" s="17"/>
      <c r="N1978"/>
      <c r="O1978"/>
      <c r="P1978" s="34"/>
    </row>
    <row r="1979" spans="1:16" x14ac:dyDescent="0.25">
      <c r="A1979" s="14"/>
      <c r="B1979"/>
      <c r="C1979" s="15"/>
      <c r="D1979"/>
      <c r="E1979"/>
      <c r="F1979" s="16"/>
      <c r="G1979"/>
      <c r="H1979"/>
      <c r="I1979" s="16"/>
      <c r="J1979"/>
      <c r="K1979"/>
      <c r="L1979"/>
      <c r="M1979" s="17"/>
      <c r="N1979"/>
      <c r="O1979"/>
      <c r="P1979" s="34"/>
    </row>
    <row r="1980" spans="1:16" x14ac:dyDescent="0.25">
      <c r="A1980" s="14"/>
      <c r="B1980"/>
      <c r="C1980" s="15"/>
      <c r="D1980"/>
      <c r="E1980"/>
      <c r="F1980" s="16"/>
      <c r="G1980"/>
      <c r="H1980"/>
      <c r="I1980" s="16"/>
      <c r="J1980"/>
      <c r="K1980"/>
      <c r="L1980"/>
      <c r="M1980" s="17"/>
      <c r="N1980"/>
      <c r="O1980"/>
      <c r="P1980" s="34"/>
    </row>
    <row r="1981" spans="1:16" x14ac:dyDescent="0.25">
      <c r="A1981" s="14"/>
      <c r="B1981"/>
      <c r="C1981" s="15"/>
      <c r="D1981"/>
      <c r="E1981"/>
      <c r="F1981" s="16"/>
      <c r="G1981"/>
      <c r="H1981"/>
      <c r="I1981" s="16"/>
      <c r="J1981"/>
      <c r="K1981"/>
      <c r="L1981"/>
      <c r="M1981" s="17"/>
      <c r="N1981"/>
      <c r="O1981"/>
      <c r="P1981" s="34"/>
    </row>
    <row r="1982" spans="1:16" x14ac:dyDescent="0.25">
      <c r="A1982" s="14"/>
      <c r="B1982"/>
      <c r="C1982" s="15"/>
      <c r="D1982"/>
      <c r="E1982"/>
      <c r="F1982" s="16"/>
      <c r="G1982"/>
      <c r="H1982"/>
      <c r="I1982" s="16"/>
      <c r="J1982"/>
      <c r="K1982"/>
      <c r="L1982"/>
      <c r="M1982" s="17"/>
      <c r="N1982"/>
      <c r="O1982"/>
      <c r="P1982" s="34"/>
    </row>
    <row r="1983" spans="1:16" x14ac:dyDescent="0.25">
      <c r="A1983" s="14"/>
      <c r="B1983"/>
      <c r="C1983" s="15"/>
      <c r="D1983"/>
      <c r="E1983"/>
      <c r="F1983" s="16"/>
      <c r="G1983"/>
      <c r="H1983"/>
      <c r="I1983" s="16"/>
      <c r="J1983"/>
      <c r="K1983"/>
      <c r="L1983"/>
      <c r="M1983" s="17"/>
      <c r="N1983"/>
      <c r="O1983"/>
      <c r="P1983" s="34"/>
    </row>
    <row r="1984" spans="1:16" x14ac:dyDescent="0.25">
      <c r="A1984" s="14"/>
      <c r="B1984"/>
      <c r="C1984" s="15"/>
      <c r="D1984"/>
      <c r="E1984"/>
      <c r="F1984" s="16"/>
      <c r="G1984"/>
      <c r="H1984"/>
      <c r="I1984" s="16"/>
      <c r="J1984"/>
      <c r="K1984"/>
      <c r="L1984"/>
      <c r="M1984" s="17"/>
      <c r="N1984"/>
      <c r="O1984"/>
      <c r="P1984" s="34"/>
    </row>
    <row r="1985" spans="1:16" x14ac:dyDescent="0.25">
      <c r="A1985" s="14"/>
      <c r="B1985"/>
      <c r="C1985" s="15"/>
      <c r="D1985"/>
      <c r="E1985"/>
      <c r="F1985" s="16"/>
      <c r="G1985"/>
      <c r="H1985"/>
      <c r="I1985" s="16"/>
      <c r="J1985"/>
      <c r="K1985"/>
      <c r="L1985"/>
      <c r="M1985" s="17"/>
      <c r="N1985"/>
      <c r="O1985"/>
      <c r="P1985" s="34"/>
    </row>
    <row r="1986" spans="1:16" x14ac:dyDescent="0.25">
      <c r="A1986" s="14"/>
      <c r="B1986"/>
      <c r="C1986" s="15"/>
      <c r="D1986"/>
      <c r="E1986"/>
      <c r="F1986" s="16"/>
      <c r="G1986"/>
      <c r="H1986"/>
      <c r="I1986" s="16"/>
      <c r="J1986"/>
      <c r="K1986"/>
      <c r="L1986"/>
      <c r="M1986" s="17"/>
      <c r="N1986"/>
      <c r="O1986"/>
      <c r="P1986" s="34"/>
    </row>
    <row r="1987" spans="1:16" x14ac:dyDescent="0.25">
      <c r="A1987" s="14"/>
      <c r="B1987"/>
      <c r="C1987" s="15"/>
      <c r="D1987"/>
      <c r="E1987"/>
      <c r="F1987" s="16"/>
      <c r="G1987"/>
      <c r="H1987"/>
      <c r="I1987" s="16"/>
      <c r="J1987"/>
      <c r="K1987"/>
      <c r="L1987"/>
      <c r="M1987" s="17"/>
      <c r="N1987"/>
      <c r="O1987"/>
      <c r="P1987" s="34"/>
    </row>
    <row r="1988" spans="1:16" x14ac:dyDescent="0.25">
      <c r="A1988" s="14"/>
      <c r="B1988"/>
      <c r="C1988" s="15"/>
      <c r="D1988"/>
      <c r="E1988"/>
      <c r="F1988" s="16"/>
      <c r="G1988"/>
      <c r="H1988"/>
      <c r="I1988" s="16"/>
      <c r="J1988"/>
      <c r="K1988"/>
      <c r="L1988"/>
      <c r="M1988" s="17"/>
      <c r="N1988"/>
      <c r="O1988"/>
      <c r="P1988" s="34"/>
    </row>
    <row r="1989" spans="1:16" x14ac:dyDescent="0.25">
      <c r="A1989" s="14"/>
      <c r="B1989"/>
      <c r="C1989" s="15"/>
      <c r="D1989"/>
      <c r="E1989"/>
      <c r="F1989" s="16"/>
      <c r="G1989"/>
      <c r="H1989"/>
      <c r="I1989" s="16"/>
      <c r="J1989"/>
      <c r="K1989"/>
      <c r="L1989"/>
      <c r="M1989" s="17"/>
      <c r="N1989"/>
      <c r="O1989"/>
      <c r="P1989" s="34"/>
    </row>
    <row r="1990" spans="1:16" x14ac:dyDescent="0.25">
      <c r="A1990" s="14"/>
      <c r="B1990"/>
      <c r="C1990" s="15"/>
      <c r="D1990"/>
      <c r="E1990"/>
      <c r="F1990" s="16"/>
      <c r="G1990"/>
      <c r="H1990"/>
      <c r="I1990" s="16"/>
      <c r="J1990"/>
      <c r="K1990"/>
      <c r="L1990"/>
      <c r="M1990" s="17"/>
      <c r="N1990"/>
      <c r="O1990"/>
      <c r="P1990" s="34"/>
    </row>
    <row r="1991" spans="1:16" x14ac:dyDescent="0.25">
      <c r="A1991" s="14"/>
      <c r="B1991"/>
      <c r="C1991" s="15"/>
      <c r="D1991"/>
      <c r="E1991"/>
      <c r="F1991" s="16"/>
      <c r="G1991"/>
      <c r="H1991"/>
      <c r="I1991" s="16"/>
      <c r="J1991"/>
      <c r="K1991"/>
      <c r="L1991"/>
      <c r="M1991" s="17"/>
      <c r="N1991"/>
      <c r="O1991"/>
      <c r="P1991" s="34"/>
    </row>
    <row r="1992" spans="1:16" x14ac:dyDescent="0.25">
      <c r="A1992" s="14"/>
      <c r="B1992"/>
      <c r="C1992" s="15"/>
      <c r="D1992"/>
      <c r="E1992"/>
      <c r="F1992" s="16"/>
      <c r="G1992"/>
      <c r="H1992"/>
      <c r="I1992" s="16"/>
      <c r="J1992"/>
      <c r="K1992"/>
      <c r="L1992"/>
      <c r="M1992" s="17"/>
      <c r="N1992"/>
      <c r="O1992"/>
      <c r="P1992" s="34"/>
    </row>
    <row r="1993" spans="1:16" x14ac:dyDescent="0.25">
      <c r="A1993" s="14"/>
      <c r="B1993"/>
      <c r="C1993" s="15"/>
      <c r="D1993"/>
      <c r="E1993"/>
      <c r="F1993" s="16"/>
      <c r="G1993"/>
      <c r="H1993"/>
      <c r="I1993" s="16"/>
      <c r="J1993"/>
      <c r="K1993"/>
      <c r="L1993"/>
      <c r="M1993" s="17"/>
      <c r="N1993"/>
      <c r="O1993"/>
      <c r="P1993" s="34"/>
    </row>
    <row r="1994" spans="1:16" x14ac:dyDescent="0.25">
      <c r="A1994" s="14"/>
      <c r="B1994"/>
      <c r="C1994" s="15"/>
      <c r="D1994"/>
      <c r="E1994"/>
      <c r="F1994" s="16"/>
      <c r="G1994"/>
      <c r="H1994"/>
      <c r="I1994" s="16"/>
      <c r="J1994"/>
      <c r="K1994"/>
      <c r="L1994"/>
      <c r="M1994" s="17"/>
      <c r="N1994"/>
      <c r="O1994"/>
      <c r="P1994" s="34"/>
    </row>
    <row r="1995" spans="1:16" x14ac:dyDescent="0.25">
      <c r="A1995" s="14"/>
      <c r="B1995"/>
      <c r="C1995" s="15"/>
      <c r="D1995"/>
      <c r="E1995"/>
      <c r="F1995" s="16"/>
      <c r="G1995"/>
      <c r="H1995"/>
      <c r="I1995" s="16"/>
      <c r="J1995"/>
      <c r="K1995"/>
      <c r="L1995"/>
      <c r="M1995" s="17"/>
      <c r="N1995"/>
      <c r="O1995"/>
      <c r="P1995" s="34"/>
    </row>
    <row r="1996" spans="1:16" x14ac:dyDescent="0.25">
      <c r="A1996" s="14"/>
      <c r="B1996"/>
      <c r="C1996" s="15"/>
      <c r="D1996"/>
      <c r="E1996"/>
      <c r="F1996" s="16"/>
      <c r="G1996"/>
      <c r="H1996"/>
      <c r="I1996" s="16"/>
      <c r="J1996"/>
      <c r="K1996"/>
      <c r="L1996"/>
      <c r="M1996" s="17"/>
      <c r="N1996"/>
      <c r="O1996"/>
      <c r="P1996" s="34"/>
    </row>
    <row r="1997" spans="1:16" x14ac:dyDescent="0.25">
      <c r="A1997" s="14"/>
      <c r="B1997"/>
      <c r="C1997" s="15"/>
      <c r="D1997"/>
      <c r="E1997"/>
      <c r="F1997" s="16"/>
      <c r="G1997"/>
      <c r="H1997"/>
      <c r="I1997" s="16"/>
      <c r="J1997"/>
      <c r="K1997"/>
      <c r="L1997"/>
      <c r="M1997" s="17"/>
      <c r="N1997"/>
      <c r="O1997"/>
      <c r="P1997" s="34"/>
    </row>
    <row r="1998" spans="1:16" x14ac:dyDescent="0.25">
      <c r="A1998" s="14"/>
      <c r="B1998"/>
      <c r="C1998" s="15"/>
      <c r="D1998"/>
      <c r="E1998"/>
      <c r="F1998" s="16"/>
      <c r="G1998"/>
      <c r="H1998"/>
      <c r="I1998" s="16"/>
      <c r="J1998"/>
      <c r="K1998"/>
      <c r="L1998"/>
      <c r="M1998" s="17"/>
      <c r="N1998"/>
      <c r="O1998"/>
      <c r="P1998" s="34"/>
    </row>
    <row r="1999" spans="1:16" x14ac:dyDescent="0.25">
      <c r="A1999" s="14"/>
      <c r="B1999"/>
      <c r="C1999" s="15"/>
      <c r="D1999"/>
      <c r="E1999"/>
      <c r="F1999" s="16"/>
      <c r="G1999"/>
      <c r="H1999"/>
      <c r="I1999" s="16"/>
      <c r="J1999"/>
      <c r="K1999"/>
      <c r="L1999"/>
      <c r="M1999" s="17"/>
      <c r="N1999"/>
      <c r="O1999"/>
      <c r="P1999" s="34"/>
    </row>
    <row r="2000" spans="1:16" x14ac:dyDescent="0.25">
      <c r="A2000" s="14"/>
      <c r="B2000"/>
      <c r="C2000" s="15"/>
      <c r="D2000"/>
      <c r="E2000"/>
      <c r="F2000" s="16"/>
      <c r="G2000"/>
      <c r="H2000"/>
      <c r="I2000" s="16"/>
      <c r="J2000"/>
      <c r="K2000"/>
      <c r="L2000"/>
      <c r="M2000" s="17"/>
      <c r="N2000"/>
      <c r="O2000"/>
      <c r="P2000" s="34"/>
    </row>
    <row r="2001" spans="1:16" x14ac:dyDescent="0.25">
      <c r="A2001" s="14"/>
      <c r="B2001"/>
      <c r="C2001" s="15"/>
      <c r="D2001"/>
      <c r="E2001"/>
      <c r="F2001" s="16"/>
      <c r="G2001"/>
      <c r="H2001"/>
      <c r="I2001" s="16"/>
      <c r="J2001"/>
      <c r="K2001"/>
      <c r="L2001"/>
      <c r="M2001" s="17"/>
      <c r="N2001"/>
      <c r="O2001"/>
      <c r="P2001" s="34"/>
    </row>
    <row r="2002" spans="1:16" x14ac:dyDescent="0.25">
      <c r="A2002" s="14"/>
      <c r="B2002"/>
      <c r="C2002" s="15"/>
      <c r="D2002"/>
      <c r="E2002"/>
      <c r="F2002" s="16"/>
      <c r="G2002"/>
      <c r="H2002"/>
      <c r="I2002" s="16"/>
      <c r="J2002"/>
      <c r="K2002"/>
      <c r="L2002"/>
      <c r="M2002" s="17"/>
      <c r="N2002"/>
      <c r="O2002"/>
      <c r="P2002" s="34"/>
    </row>
    <row r="2003" spans="1:16" x14ac:dyDescent="0.25">
      <c r="A2003" s="14"/>
      <c r="B2003"/>
      <c r="C2003" s="15"/>
      <c r="D2003"/>
      <c r="E2003"/>
      <c r="F2003" s="16"/>
      <c r="G2003"/>
      <c r="H2003"/>
      <c r="I2003" s="16"/>
      <c r="J2003"/>
      <c r="K2003"/>
      <c r="L2003"/>
      <c r="M2003" s="17"/>
      <c r="N2003"/>
      <c r="O2003"/>
      <c r="P2003" s="34"/>
    </row>
    <row r="2004" spans="1:16" x14ac:dyDescent="0.25">
      <c r="A2004" s="14"/>
      <c r="B2004"/>
      <c r="C2004" s="15"/>
      <c r="D2004"/>
      <c r="E2004"/>
      <c r="F2004" s="16"/>
      <c r="G2004"/>
      <c r="H2004"/>
      <c r="I2004" s="16"/>
      <c r="J2004"/>
      <c r="K2004"/>
      <c r="L2004"/>
      <c r="M2004" s="17"/>
      <c r="N2004"/>
      <c r="O2004"/>
      <c r="P2004" s="34"/>
    </row>
    <row r="2005" spans="1:16" x14ac:dyDescent="0.25">
      <c r="A2005" s="14"/>
      <c r="B2005"/>
      <c r="C2005" s="15"/>
      <c r="D2005"/>
      <c r="E2005"/>
      <c r="F2005" s="16"/>
      <c r="G2005"/>
      <c r="H2005"/>
      <c r="I2005" s="16"/>
      <c r="J2005"/>
      <c r="K2005"/>
      <c r="L2005"/>
      <c r="M2005" s="17"/>
      <c r="N2005"/>
      <c r="O2005"/>
      <c r="P2005" s="34"/>
    </row>
    <row r="2006" spans="1:16" x14ac:dyDescent="0.25">
      <c r="A2006" s="14"/>
      <c r="B2006"/>
      <c r="C2006" s="15"/>
      <c r="D2006"/>
      <c r="E2006"/>
      <c r="F2006" s="16"/>
      <c r="G2006"/>
      <c r="H2006"/>
      <c r="I2006" s="16"/>
      <c r="J2006"/>
      <c r="K2006"/>
      <c r="L2006"/>
      <c r="M2006" s="17"/>
      <c r="N2006"/>
      <c r="O2006"/>
      <c r="P2006" s="34"/>
    </row>
    <row r="2007" spans="1:16" x14ac:dyDescent="0.25">
      <c r="A2007" s="14"/>
      <c r="B2007"/>
      <c r="C2007" s="15"/>
      <c r="D2007"/>
      <c r="E2007"/>
      <c r="F2007" s="16"/>
      <c r="G2007"/>
      <c r="H2007"/>
      <c r="I2007" s="16"/>
      <c r="J2007"/>
      <c r="K2007"/>
      <c r="L2007"/>
      <c r="M2007" s="17"/>
      <c r="N2007"/>
      <c r="O2007"/>
      <c r="P2007" s="34"/>
    </row>
    <row r="2008" spans="1:16" x14ac:dyDescent="0.25">
      <c r="A2008" s="14"/>
      <c r="B2008"/>
      <c r="C2008" s="15"/>
      <c r="D2008"/>
      <c r="E2008"/>
      <c r="F2008" s="16"/>
      <c r="G2008"/>
      <c r="H2008"/>
      <c r="I2008" s="16"/>
      <c r="J2008"/>
      <c r="K2008"/>
      <c r="L2008"/>
      <c r="M2008" s="17"/>
      <c r="N2008"/>
      <c r="O2008"/>
      <c r="P2008" s="34"/>
    </row>
    <row r="2009" spans="1:16" x14ac:dyDescent="0.25">
      <c r="A2009" s="14"/>
      <c r="B2009"/>
      <c r="C2009" s="15"/>
      <c r="D2009"/>
      <c r="E2009"/>
      <c r="F2009" s="16"/>
      <c r="G2009"/>
      <c r="H2009"/>
      <c r="I2009" s="16"/>
      <c r="J2009"/>
      <c r="K2009"/>
      <c r="L2009"/>
      <c r="M2009" s="17"/>
      <c r="N2009"/>
      <c r="O2009"/>
      <c r="P2009" s="34"/>
    </row>
    <row r="2010" spans="1:16" x14ac:dyDescent="0.25">
      <c r="A2010" s="14"/>
      <c r="B2010"/>
      <c r="C2010" s="15"/>
      <c r="D2010"/>
      <c r="E2010"/>
      <c r="F2010" s="16"/>
      <c r="G2010"/>
      <c r="H2010"/>
      <c r="I2010" s="16"/>
      <c r="J2010"/>
      <c r="K2010"/>
      <c r="L2010"/>
      <c r="M2010" s="17"/>
      <c r="N2010"/>
      <c r="O2010"/>
      <c r="P2010" s="34"/>
    </row>
    <row r="2011" spans="1:16" x14ac:dyDescent="0.25">
      <c r="A2011" s="14"/>
      <c r="B2011"/>
      <c r="C2011" s="15"/>
      <c r="D2011"/>
      <c r="E2011"/>
      <c r="F2011" s="16"/>
      <c r="G2011"/>
      <c r="H2011"/>
      <c r="I2011" s="16"/>
      <c r="J2011"/>
      <c r="K2011"/>
      <c r="L2011"/>
      <c r="M2011" s="17"/>
      <c r="N2011"/>
      <c r="O2011"/>
      <c r="P2011" s="34"/>
    </row>
    <row r="2012" spans="1:16" x14ac:dyDescent="0.25">
      <c r="A2012" s="14"/>
      <c r="B2012"/>
      <c r="C2012" s="15"/>
      <c r="D2012"/>
      <c r="E2012"/>
      <c r="F2012" s="16"/>
      <c r="G2012"/>
      <c r="H2012"/>
      <c r="I2012" s="16"/>
      <c r="J2012"/>
      <c r="K2012"/>
      <c r="L2012"/>
      <c r="M2012" s="17"/>
      <c r="N2012"/>
      <c r="O2012"/>
      <c r="P2012" s="34"/>
    </row>
    <row r="2013" spans="1:16" x14ac:dyDescent="0.25">
      <c r="A2013" s="14"/>
      <c r="B2013"/>
      <c r="C2013" s="15"/>
      <c r="D2013"/>
      <c r="E2013"/>
      <c r="F2013" s="16"/>
      <c r="G2013"/>
      <c r="H2013"/>
      <c r="I2013" s="16"/>
      <c r="J2013"/>
      <c r="K2013"/>
      <c r="L2013"/>
      <c r="M2013" s="17"/>
      <c r="N2013"/>
      <c r="O2013"/>
      <c r="P2013" s="34"/>
    </row>
    <row r="2014" spans="1:16" x14ac:dyDescent="0.25">
      <c r="A2014" s="14"/>
      <c r="B2014"/>
      <c r="C2014" s="15"/>
      <c r="D2014"/>
      <c r="E2014"/>
      <c r="F2014" s="16"/>
      <c r="G2014"/>
      <c r="H2014"/>
      <c r="I2014" s="16"/>
      <c r="J2014"/>
      <c r="K2014"/>
      <c r="L2014"/>
      <c r="M2014" s="17"/>
      <c r="N2014"/>
      <c r="O2014"/>
      <c r="P2014" s="34"/>
    </row>
    <row r="2015" spans="1:16" x14ac:dyDescent="0.25">
      <c r="A2015" s="14"/>
      <c r="B2015"/>
      <c r="C2015" s="15"/>
      <c r="D2015"/>
      <c r="E2015"/>
      <c r="F2015" s="16"/>
      <c r="G2015"/>
      <c r="H2015"/>
      <c r="I2015" s="16"/>
      <c r="J2015"/>
      <c r="K2015"/>
      <c r="L2015"/>
      <c r="M2015" s="17"/>
      <c r="N2015"/>
      <c r="O2015"/>
      <c r="P2015" s="34"/>
    </row>
    <row r="2016" spans="1:16" x14ac:dyDescent="0.25">
      <c r="A2016" s="14"/>
      <c r="B2016"/>
      <c r="C2016" s="15"/>
      <c r="D2016"/>
      <c r="E2016"/>
      <c r="F2016" s="16"/>
      <c r="G2016"/>
      <c r="H2016"/>
      <c r="I2016" s="16"/>
      <c r="J2016"/>
      <c r="K2016"/>
      <c r="L2016"/>
      <c r="M2016" s="17"/>
      <c r="N2016"/>
      <c r="O2016"/>
      <c r="P2016" s="34"/>
    </row>
    <row r="2017" spans="1:16" x14ac:dyDescent="0.25">
      <c r="A2017" s="14"/>
      <c r="B2017"/>
      <c r="C2017" s="15"/>
      <c r="D2017"/>
      <c r="E2017"/>
      <c r="F2017" s="16"/>
      <c r="G2017"/>
      <c r="H2017"/>
      <c r="I2017" s="16"/>
      <c r="J2017"/>
      <c r="K2017"/>
      <c r="L2017"/>
      <c r="M2017" s="17"/>
      <c r="N2017"/>
      <c r="O2017"/>
      <c r="P2017" s="34"/>
    </row>
    <row r="2018" spans="1:16" x14ac:dyDescent="0.25">
      <c r="A2018" s="14"/>
      <c r="B2018"/>
      <c r="C2018" s="15"/>
      <c r="D2018"/>
      <c r="E2018"/>
      <c r="F2018" s="16"/>
      <c r="G2018"/>
      <c r="H2018"/>
      <c r="I2018" s="16"/>
      <c r="J2018"/>
      <c r="K2018"/>
      <c r="L2018"/>
      <c r="M2018" s="17"/>
      <c r="N2018"/>
      <c r="O2018"/>
      <c r="P2018" s="34"/>
    </row>
    <row r="2019" spans="1:16" x14ac:dyDescent="0.25">
      <c r="A2019" s="14"/>
      <c r="B2019"/>
      <c r="C2019" s="15"/>
      <c r="D2019"/>
      <c r="E2019"/>
      <c r="F2019" s="16"/>
      <c r="G2019"/>
      <c r="H2019"/>
      <c r="I2019" s="16"/>
      <c r="J2019"/>
      <c r="K2019"/>
      <c r="L2019"/>
      <c r="M2019" s="17"/>
      <c r="N2019"/>
      <c r="O2019"/>
      <c r="P2019" s="34"/>
    </row>
    <row r="2020" spans="1:16" x14ac:dyDescent="0.25">
      <c r="A2020" s="14"/>
      <c r="B2020"/>
      <c r="C2020" s="15"/>
      <c r="D2020"/>
      <c r="E2020"/>
      <c r="F2020" s="16"/>
      <c r="G2020"/>
      <c r="H2020"/>
      <c r="I2020" s="16"/>
      <c r="J2020"/>
      <c r="K2020"/>
      <c r="L2020"/>
      <c r="M2020" s="17"/>
      <c r="N2020"/>
      <c r="O2020"/>
      <c r="P2020" s="34"/>
    </row>
    <row r="2021" spans="1:16" x14ac:dyDescent="0.25">
      <c r="A2021" s="14"/>
      <c r="B2021"/>
      <c r="C2021" s="15"/>
      <c r="D2021"/>
      <c r="E2021"/>
      <c r="F2021" s="16"/>
      <c r="G2021"/>
      <c r="H2021"/>
      <c r="I2021" s="16"/>
      <c r="J2021"/>
      <c r="K2021"/>
      <c r="L2021"/>
      <c r="M2021" s="17"/>
      <c r="N2021"/>
      <c r="O2021"/>
      <c r="P2021" s="34"/>
    </row>
    <row r="2022" spans="1:16" x14ac:dyDescent="0.25">
      <c r="A2022" s="14"/>
      <c r="B2022"/>
      <c r="C2022" s="15"/>
      <c r="D2022"/>
      <c r="E2022"/>
      <c r="F2022" s="16"/>
      <c r="G2022"/>
      <c r="H2022"/>
      <c r="I2022" s="16"/>
      <c r="J2022"/>
      <c r="K2022"/>
      <c r="L2022"/>
      <c r="M2022" s="17"/>
      <c r="N2022"/>
      <c r="O2022"/>
      <c r="P2022" s="34"/>
    </row>
    <row r="2023" spans="1:16" x14ac:dyDescent="0.25">
      <c r="A2023" s="14"/>
      <c r="B2023"/>
      <c r="C2023" s="15"/>
      <c r="D2023"/>
      <c r="E2023"/>
      <c r="F2023" s="16"/>
      <c r="G2023"/>
      <c r="H2023"/>
      <c r="I2023" s="16"/>
      <c r="J2023"/>
      <c r="K2023"/>
      <c r="L2023"/>
      <c r="M2023" s="17"/>
      <c r="N2023"/>
      <c r="O2023"/>
      <c r="P2023" s="34"/>
    </row>
    <row r="2024" spans="1:16" x14ac:dyDescent="0.25">
      <c r="A2024" s="14"/>
      <c r="B2024"/>
      <c r="C2024" s="15"/>
      <c r="D2024"/>
      <c r="E2024"/>
      <c r="F2024" s="16"/>
      <c r="G2024"/>
      <c r="H2024"/>
      <c r="I2024" s="16"/>
      <c r="J2024"/>
      <c r="K2024"/>
      <c r="L2024"/>
      <c r="M2024" s="17"/>
      <c r="N2024"/>
      <c r="O2024"/>
      <c r="P2024" s="34"/>
    </row>
    <row r="2025" spans="1:16" x14ac:dyDescent="0.25">
      <c r="A2025" s="14"/>
      <c r="B2025"/>
      <c r="C2025" s="15"/>
      <c r="D2025"/>
      <c r="E2025"/>
      <c r="F2025" s="16"/>
      <c r="G2025"/>
      <c r="H2025"/>
      <c r="I2025" s="16"/>
      <c r="J2025"/>
      <c r="K2025"/>
      <c r="L2025"/>
      <c r="M2025" s="17"/>
      <c r="N2025"/>
      <c r="O2025"/>
      <c r="P2025" s="34"/>
    </row>
    <row r="2026" spans="1:16" x14ac:dyDescent="0.25">
      <c r="A2026" s="14"/>
      <c r="B2026"/>
      <c r="C2026" s="15"/>
      <c r="D2026"/>
      <c r="E2026"/>
      <c r="F2026" s="16"/>
      <c r="G2026"/>
      <c r="H2026"/>
      <c r="I2026" s="16"/>
      <c r="J2026"/>
      <c r="K2026"/>
      <c r="L2026"/>
      <c r="M2026" s="17"/>
      <c r="N2026"/>
      <c r="O2026"/>
      <c r="P2026" s="34"/>
    </row>
    <row r="2027" spans="1:16" x14ac:dyDescent="0.25">
      <c r="A2027" s="14"/>
      <c r="B2027"/>
      <c r="C2027" s="15"/>
      <c r="D2027"/>
      <c r="E2027"/>
      <c r="F2027" s="16"/>
      <c r="G2027"/>
      <c r="H2027"/>
      <c r="I2027" s="16"/>
      <c r="J2027"/>
      <c r="K2027"/>
      <c r="L2027"/>
      <c r="M2027" s="17"/>
      <c r="N2027"/>
      <c r="O2027"/>
      <c r="P2027" s="34"/>
    </row>
    <row r="2028" spans="1:16" x14ac:dyDescent="0.25">
      <c r="A2028" s="14"/>
      <c r="B2028"/>
      <c r="C2028" s="15"/>
      <c r="D2028"/>
      <c r="E2028"/>
      <c r="F2028" s="16"/>
      <c r="G2028"/>
      <c r="H2028"/>
      <c r="I2028" s="16"/>
      <c r="J2028"/>
      <c r="K2028"/>
      <c r="L2028"/>
      <c r="M2028" s="17"/>
      <c r="N2028"/>
      <c r="O2028"/>
      <c r="P2028" s="34"/>
    </row>
    <row r="2029" spans="1:16" x14ac:dyDescent="0.25">
      <c r="A2029" s="14"/>
      <c r="B2029"/>
      <c r="C2029" s="15"/>
      <c r="D2029"/>
      <c r="E2029"/>
      <c r="F2029" s="16"/>
      <c r="G2029"/>
      <c r="H2029"/>
      <c r="I2029" s="16"/>
      <c r="J2029"/>
      <c r="K2029"/>
      <c r="L2029"/>
      <c r="M2029" s="17"/>
      <c r="N2029"/>
      <c r="O2029"/>
      <c r="P2029" s="34"/>
    </row>
    <row r="2030" spans="1:16" x14ac:dyDescent="0.25">
      <c r="A2030" s="14"/>
      <c r="B2030"/>
      <c r="C2030" s="15"/>
      <c r="D2030"/>
      <c r="E2030"/>
      <c r="F2030" s="16"/>
      <c r="G2030"/>
      <c r="H2030"/>
      <c r="I2030" s="16"/>
      <c r="J2030"/>
      <c r="K2030"/>
      <c r="L2030"/>
      <c r="M2030" s="17"/>
      <c r="N2030"/>
      <c r="O2030"/>
      <c r="P2030" s="34"/>
    </row>
    <row r="2031" spans="1:16" x14ac:dyDescent="0.25">
      <c r="A2031" s="14"/>
      <c r="B2031"/>
      <c r="C2031" s="15"/>
      <c r="D2031"/>
      <c r="E2031"/>
      <c r="F2031" s="16"/>
      <c r="G2031"/>
      <c r="H2031"/>
      <c r="I2031" s="16"/>
      <c r="J2031"/>
      <c r="K2031"/>
      <c r="L2031"/>
      <c r="M2031" s="17"/>
      <c r="N2031"/>
      <c r="O2031"/>
      <c r="P2031" s="34"/>
    </row>
    <row r="2032" spans="1:16" x14ac:dyDescent="0.25">
      <c r="A2032" s="14"/>
      <c r="B2032"/>
      <c r="C2032" s="15"/>
      <c r="D2032"/>
      <c r="E2032"/>
      <c r="F2032" s="16"/>
      <c r="G2032"/>
      <c r="H2032"/>
      <c r="I2032" s="16"/>
      <c r="J2032"/>
      <c r="K2032"/>
      <c r="L2032"/>
      <c r="M2032" s="17"/>
      <c r="N2032"/>
      <c r="O2032"/>
      <c r="P2032" s="34"/>
    </row>
    <row r="2033" spans="1:16" x14ac:dyDescent="0.25">
      <c r="A2033" s="14"/>
      <c r="B2033"/>
      <c r="C2033" s="15"/>
      <c r="D2033"/>
      <c r="E2033"/>
      <c r="F2033" s="16"/>
      <c r="G2033"/>
      <c r="H2033"/>
      <c r="I2033" s="16"/>
      <c r="J2033"/>
      <c r="K2033"/>
      <c r="L2033"/>
      <c r="M2033" s="17"/>
      <c r="N2033"/>
      <c r="O2033"/>
      <c r="P2033" s="34"/>
    </row>
    <row r="2034" spans="1:16" x14ac:dyDescent="0.25">
      <c r="A2034" s="14"/>
      <c r="B2034"/>
      <c r="C2034" s="15"/>
      <c r="D2034"/>
      <c r="E2034"/>
      <c r="F2034" s="16"/>
      <c r="G2034"/>
      <c r="H2034"/>
      <c r="I2034" s="16"/>
      <c r="J2034"/>
      <c r="K2034"/>
      <c r="L2034"/>
      <c r="M2034" s="17"/>
      <c r="N2034"/>
      <c r="O2034"/>
      <c r="P2034" s="34"/>
    </row>
    <row r="2035" spans="1:16" x14ac:dyDescent="0.25">
      <c r="A2035" s="14"/>
      <c r="B2035"/>
      <c r="C2035" s="15"/>
      <c r="D2035"/>
      <c r="E2035"/>
      <c r="F2035" s="16"/>
      <c r="G2035"/>
      <c r="H2035"/>
      <c r="I2035" s="16"/>
      <c r="J2035"/>
      <c r="K2035"/>
      <c r="L2035"/>
      <c r="M2035" s="17"/>
      <c r="N2035"/>
      <c r="O2035"/>
      <c r="P2035" s="34"/>
    </row>
    <row r="2036" spans="1:16" x14ac:dyDescent="0.25">
      <c r="A2036" s="14"/>
      <c r="B2036"/>
      <c r="C2036" s="15"/>
      <c r="D2036"/>
      <c r="E2036"/>
      <c r="F2036" s="16"/>
      <c r="G2036"/>
      <c r="H2036"/>
      <c r="I2036" s="16"/>
      <c r="J2036"/>
      <c r="K2036"/>
      <c r="L2036"/>
      <c r="M2036" s="17"/>
      <c r="N2036"/>
      <c r="O2036"/>
      <c r="P2036" s="34"/>
    </row>
    <row r="2037" spans="1:16" x14ac:dyDescent="0.25">
      <c r="A2037" s="14"/>
      <c r="B2037"/>
      <c r="C2037" s="15"/>
      <c r="D2037"/>
      <c r="E2037"/>
      <c r="F2037" s="16"/>
      <c r="G2037"/>
      <c r="H2037"/>
      <c r="I2037" s="16"/>
      <c r="J2037"/>
      <c r="K2037"/>
      <c r="L2037"/>
      <c r="M2037" s="17"/>
      <c r="N2037"/>
      <c r="O2037"/>
      <c r="P2037" s="34"/>
    </row>
    <row r="2038" spans="1:16" x14ac:dyDescent="0.25">
      <c r="A2038" s="14"/>
      <c r="B2038"/>
      <c r="C2038" s="15"/>
      <c r="D2038"/>
      <c r="E2038"/>
      <c r="F2038" s="16"/>
      <c r="G2038"/>
      <c r="H2038"/>
      <c r="I2038" s="16"/>
      <c r="J2038"/>
      <c r="K2038"/>
      <c r="L2038"/>
      <c r="M2038" s="17"/>
      <c r="N2038"/>
      <c r="O2038"/>
      <c r="P2038" s="34"/>
    </row>
    <row r="2039" spans="1:16" x14ac:dyDescent="0.25">
      <c r="A2039" s="14"/>
      <c r="B2039"/>
      <c r="C2039" s="15"/>
      <c r="D2039"/>
      <c r="E2039"/>
      <c r="F2039" s="16"/>
      <c r="G2039"/>
      <c r="H2039"/>
      <c r="I2039" s="16"/>
      <c r="J2039"/>
      <c r="K2039"/>
      <c r="L2039"/>
      <c r="M2039" s="17"/>
      <c r="N2039"/>
      <c r="O2039"/>
      <c r="P2039" s="34"/>
    </row>
    <row r="2040" spans="1:16" x14ac:dyDescent="0.25">
      <c r="A2040" s="14"/>
      <c r="B2040"/>
      <c r="C2040" s="15"/>
      <c r="D2040"/>
      <c r="E2040"/>
      <c r="F2040" s="16"/>
      <c r="G2040"/>
      <c r="H2040"/>
      <c r="I2040" s="16"/>
      <c r="J2040"/>
      <c r="K2040"/>
      <c r="L2040"/>
      <c r="M2040" s="17"/>
      <c r="N2040"/>
      <c r="O2040"/>
      <c r="P2040" s="34"/>
    </row>
    <row r="2041" spans="1:16" x14ac:dyDescent="0.25">
      <c r="A2041" s="14"/>
      <c r="B2041"/>
      <c r="C2041" s="15"/>
      <c r="D2041"/>
      <c r="E2041"/>
      <c r="F2041" s="16"/>
      <c r="G2041"/>
      <c r="H2041"/>
      <c r="I2041" s="16"/>
      <c r="J2041"/>
      <c r="K2041"/>
      <c r="L2041"/>
      <c r="M2041" s="17"/>
      <c r="N2041"/>
      <c r="O2041"/>
      <c r="P2041" s="34"/>
    </row>
    <row r="2042" spans="1:16" x14ac:dyDescent="0.25">
      <c r="A2042" s="14"/>
      <c r="B2042"/>
      <c r="C2042" s="15"/>
      <c r="D2042"/>
      <c r="E2042"/>
      <c r="F2042" s="16"/>
      <c r="G2042"/>
      <c r="H2042"/>
      <c r="I2042" s="16"/>
      <c r="J2042"/>
      <c r="K2042"/>
      <c r="L2042"/>
      <c r="M2042" s="17"/>
      <c r="N2042"/>
      <c r="O2042"/>
      <c r="P2042" s="34"/>
    </row>
    <row r="2043" spans="1:16" x14ac:dyDescent="0.25">
      <c r="A2043" s="14"/>
      <c r="B2043"/>
      <c r="C2043" s="15"/>
      <c r="D2043"/>
      <c r="E2043"/>
      <c r="F2043" s="16"/>
      <c r="G2043"/>
      <c r="H2043"/>
      <c r="I2043" s="16"/>
      <c r="J2043"/>
      <c r="K2043"/>
      <c r="L2043"/>
      <c r="M2043" s="17"/>
      <c r="N2043"/>
      <c r="O2043"/>
      <c r="P2043" s="34"/>
    </row>
    <row r="2044" spans="1:16" x14ac:dyDescent="0.25">
      <c r="A2044" s="14"/>
      <c r="B2044"/>
      <c r="C2044" s="15"/>
      <c r="D2044"/>
      <c r="E2044"/>
      <c r="F2044" s="16"/>
      <c r="G2044"/>
      <c r="H2044"/>
      <c r="I2044" s="16"/>
      <c r="J2044"/>
      <c r="K2044"/>
      <c r="L2044"/>
      <c r="M2044" s="17"/>
      <c r="N2044"/>
      <c r="O2044"/>
      <c r="P2044" s="34"/>
    </row>
    <row r="2045" spans="1:16" x14ac:dyDescent="0.25">
      <c r="A2045" s="14"/>
      <c r="B2045"/>
      <c r="C2045" s="15"/>
      <c r="D2045"/>
      <c r="E2045"/>
      <c r="F2045" s="16"/>
      <c r="G2045"/>
      <c r="H2045"/>
      <c r="I2045" s="16"/>
      <c r="J2045"/>
      <c r="K2045"/>
      <c r="L2045"/>
      <c r="M2045" s="17"/>
      <c r="N2045"/>
      <c r="O2045"/>
      <c r="P2045" s="34"/>
    </row>
    <row r="2046" spans="1:16" x14ac:dyDescent="0.25">
      <c r="A2046" s="14"/>
      <c r="B2046"/>
      <c r="C2046" s="15"/>
      <c r="D2046"/>
      <c r="E2046"/>
      <c r="F2046" s="16"/>
      <c r="G2046"/>
      <c r="H2046"/>
      <c r="I2046" s="16"/>
      <c r="J2046"/>
      <c r="K2046"/>
      <c r="L2046"/>
      <c r="M2046" s="17"/>
      <c r="N2046"/>
      <c r="O2046"/>
      <c r="P2046" s="34"/>
    </row>
    <row r="2047" spans="1:16" x14ac:dyDescent="0.25">
      <c r="A2047" s="14"/>
      <c r="B2047"/>
      <c r="C2047" s="15"/>
      <c r="D2047"/>
      <c r="E2047"/>
      <c r="F2047" s="16"/>
      <c r="G2047"/>
      <c r="H2047"/>
      <c r="I2047" s="16"/>
      <c r="J2047"/>
      <c r="K2047"/>
      <c r="L2047"/>
      <c r="M2047" s="17"/>
      <c r="N2047"/>
      <c r="O2047"/>
      <c r="P2047" s="34"/>
    </row>
    <row r="2048" spans="1:16" x14ac:dyDescent="0.25">
      <c r="A2048" s="14"/>
      <c r="B2048"/>
      <c r="C2048" s="15"/>
      <c r="D2048"/>
      <c r="E2048"/>
      <c r="F2048" s="16"/>
      <c r="G2048"/>
      <c r="H2048"/>
      <c r="I2048" s="16"/>
      <c r="J2048"/>
      <c r="K2048"/>
      <c r="L2048"/>
      <c r="M2048" s="17"/>
      <c r="N2048"/>
      <c r="O2048"/>
      <c r="P2048" s="34"/>
    </row>
    <row r="2049" spans="1:16" x14ac:dyDescent="0.25">
      <c r="A2049" s="14"/>
      <c r="B2049"/>
      <c r="C2049" s="15"/>
      <c r="D2049"/>
      <c r="E2049"/>
      <c r="F2049" s="16"/>
      <c r="G2049"/>
      <c r="H2049"/>
      <c r="I2049" s="16"/>
      <c r="J2049"/>
      <c r="K2049"/>
      <c r="L2049"/>
      <c r="M2049" s="17"/>
      <c r="N2049"/>
      <c r="O2049"/>
      <c r="P2049" s="34"/>
    </row>
    <row r="2050" spans="1:16" x14ac:dyDescent="0.25">
      <c r="A2050" s="14"/>
      <c r="B2050"/>
      <c r="C2050" s="15"/>
      <c r="D2050"/>
      <c r="E2050"/>
      <c r="F2050" s="16"/>
      <c r="G2050"/>
      <c r="H2050"/>
      <c r="I2050" s="16"/>
      <c r="J2050"/>
      <c r="K2050"/>
      <c r="L2050"/>
      <c r="M2050" s="17"/>
      <c r="N2050"/>
      <c r="O2050"/>
      <c r="P2050" s="34"/>
    </row>
    <row r="2051" spans="1:16" x14ac:dyDescent="0.25">
      <c r="A2051" s="14"/>
      <c r="B2051"/>
      <c r="C2051" s="15"/>
      <c r="D2051"/>
      <c r="E2051"/>
      <c r="F2051" s="16"/>
      <c r="G2051"/>
      <c r="H2051"/>
      <c r="I2051" s="16"/>
      <c r="J2051"/>
      <c r="K2051"/>
      <c r="L2051"/>
      <c r="M2051" s="17"/>
      <c r="N2051"/>
      <c r="O2051"/>
      <c r="P2051" s="34"/>
    </row>
    <row r="2052" spans="1:16" x14ac:dyDescent="0.25">
      <c r="A2052" s="14"/>
      <c r="B2052"/>
      <c r="C2052" s="15"/>
      <c r="D2052"/>
      <c r="E2052"/>
      <c r="F2052" s="16"/>
      <c r="G2052"/>
      <c r="H2052"/>
      <c r="I2052" s="16"/>
      <c r="J2052"/>
      <c r="K2052"/>
      <c r="L2052"/>
      <c r="M2052" s="17"/>
      <c r="N2052"/>
      <c r="O2052"/>
      <c r="P2052" s="34"/>
    </row>
    <row r="2053" spans="1:16" x14ac:dyDescent="0.25">
      <c r="A2053" s="14"/>
      <c r="B2053"/>
      <c r="C2053" s="15"/>
      <c r="D2053"/>
      <c r="E2053"/>
      <c r="F2053" s="16"/>
      <c r="G2053"/>
      <c r="H2053"/>
      <c r="I2053" s="16"/>
      <c r="J2053"/>
      <c r="K2053"/>
      <c r="L2053"/>
      <c r="M2053" s="17"/>
      <c r="N2053"/>
      <c r="O2053"/>
      <c r="P2053" s="34"/>
    </row>
    <row r="2054" spans="1:16" x14ac:dyDescent="0.25">
      <c r="A2054" s="14"/>
      <c r="B2054"/>
      <c r="C2054" s="15"/>
      <c r="D2054"/>
      <c r="E2054"/>
      <c r="F2054" s="16"/>
      <c r="G2054"/>
      <c r="H2054"/>
      <c r="I2054" s="16"/>
      <c r="J2054"/>
      <c r="K2054"/>
      <c r="L2054"/>
      <c r="M2054" s="17"/>
      <c r="N2054"/>
      <c r="O2054"/>
      <c r="P2054" s="34"/>
    </row>
    <row r="2055" spans="1:16" x14ac:dyDescent="0.25">
      <c r="A2055" s="14"/>
      <c r="B2055"/>
      <c r="C2055" s="15"/>
      <c r="D2055"/>
      <c r="E2055"/>
      <c r="F2055" s="16"/>
      <c r="G2055"/>
      <c r="H2055"/>
      <c r="I2055" s="16"/>
      <c r="J2055"/>
      <c r="K2055"/>
      <c r="L2055"/>
      <c r="M2055" s="17"/>
      <c r="N2055"/>
      <c r="O2055"/>
      <c r="P2055" s="34"/>
    </row>
    <row r="2056" spans="1:16" x14ac:dyDescent="0.25">
      <c r="A2056" s="14"/>
      <c r="B2056"/>
      <c r="C2056" s="15"/>
      <c r="D2056"/>
      <c r="E2056"/>
      <c r="F2056" s="16"/>
      <c r="G2056"/>
      <c r="H2056"/>
      <c r="I2056" s="16"/>
      <c r="J2056"/>
      <c r="K2056"/>
      <c r="L2056"/>
      <c r="M2056" s="17"/>
      <c r="N2056"/>
      <c r="O2056"/>
      <c r="P2056" s="34"/>
    </row>
    <row r="2057" spans="1:16" x14ac:dyDescent="0.25">
      <c r="A2057" s="14"/>
      <c r="B2057"/>
      <c r="C2057" s="15"/>
      <c r="D2057"/>
      <c r="E2057"/>
      <c r="F2057" s="16"/>
      <c r="G2057"/>
      <c r="H2057"/>
      <c r="I2057" s="16"/>
      <c r="J2057"/>
      <c r="K2057"/>
      <c r="L2057"/>
      <c r="M2057" s="17"/>
      <c r="N2057"/>
      <c r="O2057"/>
      <c r="P2057" s="34"/>
    </row>
    <row r="2058" spans="1:16" x14ac:dyDescent="0.25">
      <c r="A2058" s="14"/>
      <c r="B2058"/>
      <c r="C2058" s="15"/>
      <c r="D2058"/>
      <c r="E2058"/>
      <c r="F2058" s="16"/>
      <c r="G2058"/>
      <c r="H2058"/>
      <c r="I2058" s="16"/>
      <c r="J2058"/>
      <c r="K2058"/>
      <c r="L2058"/>
      <c r="M2058" s="17"/>
      <c r="N2058"/>
      <c r="O2058"/>
      <c r="P2058" s="34"/>
    </row>
    <row r="2059" spans="1:16" x14ac:dyDescent="0.25">
      <c r="A2059" s="14"/>
      <c r="B2059"/>
      <c r="C2059" s="15"/>
      <c r="D2059"/>
      <c r="E2059"/>
      <c r="F2059" s="16"/>
      <c r="G2059"/>
      <c r="H2059"/>
      <c r="I2059" s="16"/>
      <c r="J2059"/>
      <c r="K2059"/>
      <c r="L2059"/>
      <c r="M2059" s="17"/>
      <c r="N2059"/>
      <c r="O2059"/>
      <c r="P2059" s="34"/>
    </row>
    <row r="2060" spans="1:16" x14ac:dyDescent="0.25">
      <c r="A2060" s="14"/>
      <c r="B2060"/>
      <c r="C2060" s="15"/>
      <c r="D2060"/>
      <c r="E2060"/>
      <c r="F2060" s="16"/>
      <c r="G2060"/>
      <c r="H2060"/>
      <c r="I2060" s="16"/>
      <c r="J2060"/>
      <c r="K2060"/>
      <c r="L2060"/>
      <c r="M2060" s="17"/>
      <c r="N2060"/>
      <c r="O2060"/>
      <c r="P2060" s="34"/>
    </row>
    <row r="2061" spans="1:16" x14ac:dyDescent="0.25">
      <c r="A2061" s="14"/>
      <c r="B2061"/>
      <c r="C2061" s="15"/>
      <c r="D2061"/>
      <c r="E2061"/>
      <c r="F2061" s="16"/>
      <c r="G2061"/>
      <c r="H2061"/>
      <c r="I2061" s="16"/>
      <c r="J2061"/>
      <c r="K2061"/>
      <c r="L2061"/>
      <c r="M2061" s="17"/>
      <c r="N2061"/>
      <c r="O2061"/>
      <c r="P2061" s="34"/>
    </row>
    <row r="2062" spans="1:16" x14ac:dyDescent="0.25">
      <c r="A2062" s="14"/>
      <c r="B2062"/>
      <c r="C2062" s="15"/>
      <c r="D2062"/>
      <c r="E2062"/>
      <c r="F2062" s="16"/>
      <c r="G2062"/>
      <c r="H2062"/>
      <c r="I2062" s="16"/>
      <c r="J2062"/>
      <c r="K2062"/>
      <c r="L2062"/>
      <c r="M2062" s="17"/>
      <c r="N2062"/>
      <c r="O2062"/>
      <c r="P2062" s="34"/>
    </row>
    <row r="2063" spans="1:16" x14ac:dyDescent="0.25">
      <c r="A2063" s="14"/>
      <c r="B2063"/>
      <c r="C2063" s="15"/>
      <c r="D2063"/>
      <c r="E2063"/>
      <c r="F2063" s="16"/>
      <c r="G2063"/>
      <c r="H2063"/>
      <c r="I2063" s="16"/>
      <c r="J2063"/>
      <c r="K2063"/>
      <c r="L2063"/>
      <c r="M2063" s="17"/>
      <c r="N2063"/>
      <c r="O2063"/>
      <c r="P2063" s="34"/>
    </row>
    <row r="2064" spans="1:16" x14ac:dyDescent="0.25">
      <c r="A2064" s="14"/>
      <c r="B2064"/>
      <c r="C2064" s="15"/>
      <c r="D2064"/>
      <c r="E2064"/>
      <c r="F2064" s="16"/>
      <c r="G2064"/>
      <c r="H2064"/>
      <c r="I2064" s="16"/>
      <c r="J2064"/>
      <c r="K2064"/>
      <c r="L2064"/>
      <c r="M2064" s="17"/>
      <c r="N2064"/>
      <c r="O2064"/>
      <c r="P2064" s="34"/>
    </row>
    <row r="2065" spans="1:16" x14ac:dyDescent="0.25">
      <c r="A2065" s="14"/>
      <c r="B2065"/>
      <c r="C2065" s="15"/>
      <c r="D2065"/>
      <c r="E2065"/>
      <c r="F2065" s="16"/>
      <c r="G2065"/>
      <c r="H2065"/>
      <c r="I2065" s="16"/>
      <c r="J2065"/>
      <c r="K2065"/>
      <c r="L2065"/>
      <c r="M2065" s="17"/>
      <c r="N2065"/>
      <c r="O2065"/>
      <c r="P2065" s="34"/>
    </row>
    <row r="2066" spans="1:16" x14ac:dyDescent="0.25">
      <c r="A2066" s="14"/>
      <c r="B2066"/>
      <c r="C2066" s="15"/>
      <c r="D2066"/>
      <c r="E2066"/>
      <c r="F2066" s="16"/>
      <c r="G2066"/>
      <c r="H2066"/>
      <c r="I2066" s="16"/>
      <c r="J2066"/>
      <c r="K2066"/>
      <c r="L2066"/>
      <c r="M2066" s="17"/>
      <c r="N2066"/>
      <c r="O2066"/>
      <c r="P2066" s="34"/>
    </row>
    <row r="2067" spans="1:16" x14ac:dyDescent="0.25">
      <c r="A2067" s="14"/>
      <c r="B2067"/>
      <c r="C2067" s="15"/>
      <c r="D2067"/>
      <c r="E2067"/>
      <c r="F2067" s="16"/>
      <c r="G2067"/>
      <c r="H2067"/>
      <c r="I2067" s="16"/>
      <c r="J2067"/>
      <c r="K2067"/>
      <c r="L2067"/>
      <c r="M2067" s="17"/>
      <c r="N2067"/>
      <c r="O2067"/>
      <c r="P2067" s="34"/>
    </row>
    <row r="2068" spans="1:16" x14ac:dyDescent="0.25">
      <c r="A2068" s="14"/>
      <c r="B2068"/>
      <c r="C2068" s="15"/>
      <c r="D2068"/>
      <c r="E2068"/>
      <c r="F2068" s="16"/>
      <c r="G2068"/>
      <c r="H2068"/>
      <c r="I2068" s="16"/>
      <c r="J2068"/>
      <c r="K2068"/>
      <c r="L2068"/>
      <c r="M2068" s="17"/>
      <c r="N2068"/>
      <c r="O2068"/>
      <c r="P2068" s="34"/>
    </row>
    <row r="2069" spans="1:16" x14ac:dyDescent="0.25">
      <c r="A2069" s="14"/>
      <c r="B2069"/>
      <c r="C2069" s="15"/>
      <c r="D2069"/>
      <c r="E2069"/>
      <c r="F2069" s="16"/>
      <c r="G2069"/>
      <c r="H2069"/>
      <c r="I2069" s="16"/>
      <c r="J2069"/>
      <c r="K2069"/>
      <c r="L2069"/>
      <c r="M2069" s="17"/>
      <c r="N2069"/>
      <c r="O2069"/>
      <c r="P2069" s="34"/>
    </row>
    <row r="2070" spans="1:16" x14ac:dyDescent="0.25">
      <c r="A2070" s="14"/>
      <c r="B2070"/>
      <c r="C2070" s="15"/>
      <c r="D2070"/>
      <c r="E2070"/>
      <c r="F2070" s="16"/>
      <c r="G2070"/>
      <c r="H2070"/>
      <c r="I2070" s="16"/>
      <c r="J2070"/>
      <c r="K2070"/>
      <c r="L2070"/>
      <c r="M2070" s="17"/>
      <c r="N2070"/>
      <c r="O2070"/>
      <c r="P2070" s="34"/>
    </row>
    <row r="2071" spans="1:16" x14ac:dyDescent="0.25">
      <c r="A2071" s="14"/>
      <c r="B2071"/>
      <c r="C2071" s="15"/>
      <c r="D2071"/>
      <c r="E2071"/>
      <c r="F2071" s="16"/>
      <c r="G2071"/>
      <c r="H2071"/>
      <c r="I2071" s="16"/>
      <c r="J2071"/>
      <c r="K2071"/>
      <c r="L2071"/>
      <c r="M2071" s="17"/>
      <c r="N2071"/>
      <c r="O2071"/>
      <c r="P2071" s="34"/>
    </row>
    <row r="2072" spans="1:16" x14ac:dyDescent="0.25">
      <c r="A2072" s="14"/>
      <c r="B2072"/>
      <c r="C2072" s="15"/>
      <c r="D2072"/>
      <c r="E2072"/>
      <c r="F2072" s="16"/>
      <c r="G2072"/>
      <c r="H2072"/>
      <c r="I2072" s="16"/>
      <c r="J2072"/>
      <c r="K2072"/>
      <c r="L2072"/>
      <c r="M2072" s="17"/>
      <c r="N2072"/>
      <c r="O2072"/>
      <c r="P2072" s="34"/>
    </row>
    <row r="2073" spans="1:16" x14ac:dyDescent="0.25">
      <c r="A2073" s="14"/>
      <c r="B2073"/>
      <c r="C2073" s="15"/>
      <c r="D2073"/>
      <c r="E2073"/>
      <c r="F2073" s="16"/>
      <c r="G2073"/>
      <c r="H2073"/>
      <c r="I2073" s="16"/>
      <c r="J2073"/>
      <c r="K2073"/>
      <c r="L2073"/>
      <c r="M2073" s="17"/>
      <c r="N2073"/>
      <c r="O2073"/>
      <c r="P2073" s="34"/>
    </row>
    <row r="2074" spans="1:16" x14ac:dyDescent="0.25">
      <c r="A2074" s="14"/>
      <c r="B2074"/>
      <c r="C2074" s="15"/>
      <c r="D2074"/>
      <c r="E2074"/>
      <c r="F2074" s="16"/>
      <c r="G2074"/>
      <c r="H2074"/>
      <c r="I2074" s="16"/>
      <c r="J2074"/>
      <c r="K2074"/>
      <c r="L2074"/>
      <c r="M2074" s="17"/>
      <c r="N2074"/>
      <c r="O2074"/>
      <c r="P2074" s="34"/>
    </row>
    <row r="2075" spans="1:16" x14ac:dyDescent="0.25">
      <c r="A2075" s="14"/>
      <c r="B2075"/>
      <c r="C2075" s="15"/>
      <c r="D2075"/>
      <c r="E2075"/>
      <c r="F2075" s="16"/>
      <c r="G2075"/>
      <c r="H2075"/>
      <c r="I2075" s="16"/>
      <c r="J2075"/>
      <c r="K2075"/>
      <c r="L2075"/>
      <c r="M2075" s="17"/>
      <c r="N2075"/>
      <c r="O2075"/>
      <c r="P2075" s="34"/>
    </row>
    <row r="2076" spans="1:16" x14ac:dyDescent="0.25">
      <c r="A2076" s="14"/>
      <c r="B2076"/>
      <c r="C2076" s="15"/>
      <c r="D2076"/>
      <c r="E2076"/>
      <c r="F2076" s="16"/>
      <c r="G2076"/>
      <c r="H2076"/>
      <c r="I2076" s="16"/>
      <c r="J2076"/>
      <c r="K2076"/>
      <c r="L2076"/>
      <c r="M2076" s="17"/>
      <c r="N2076"/>
      <c r="O2076"/>
      <c r="P2076" s="34"/>
    </row>
    <row r="2077" spans="1:16" x14ac:dyDescent="0.25">
      <c r="A2077" s="14"/>
      <c r="B2077"/>
      <c r="C2077" s="15"/>
      <c r="D2077"/>
      <c r="E2077"/>
      <c r="F2077" s="16"/>
      <c r="G2077"/>
      <c r="H2077"/>
      <c r="I2077" s="16"/>
      <c r="J2077"/>
      <c r="K2077"/>
      <c r="L2077"/>
      <c r="M2077" s="17"/>
      <c r="N2077"/>
      <c r="O2077"/>
      <c r="P2077" s="34"/>
    </row>
    <row r="2078" spans="1:16" x14ac:dyDescent="0.25">
      <c r="A2078" s="14"/>
      <c r="B2078"/>
      <c r="C2078" s="15"/>
      <c r="D2078"/>
      <c r="E2078"/>
      <c r="F2078" s="16"/>
      <c r="G2078"/>
      <c r="H2078"/>
      <c r="I2078" s="16"/>
      <c r="J2078"/>
      <c r="K2078"/>
      <c r="L2078"/>
      <c r="M2078" s="17"/>
      <c r="N2078"/>
      <c r="O2078"/>
      <c r="P2078" s="34"/>
    </row>
    <row r="2079" spans="1:16" x14ac:dyDescent="0.25">
      <c r="A2079" s="14"/>
      <c r="B2079"/>
      <c r="C2079" s="15"/>
      <c r="D2079"/>
      <c r="E2079"/>
      <c r="F2079" s="16"/>
      <c r="G2079"/>
      <c r="H2079"/>
      <c r="I2079" s="16"/>
      <c r="J2079"/>
      <c r="K2079"/>
      <c r="L2079"/>
      <c r="M2079" s="17"/>
      <c r="N2079"/>
      <c r="O2079"/>
      <c r="P2079" s="34"/>
    </row>
    <row r="2080" spans="1:16" x14ac:dyDescent="0.25">
      <c r="A2080" s="14"/>
      <c r="B2080"/>
      <c r="C2080" s="15"/>
      <c r="D2080"/>
      <c r="E2080"/>
      <c r="F2080" s="16"/>
      <c r="G2080"/>
      <c r="H2080"/>
      <c r="I2080" s="16"/>
      <c r="J2080"/>
      <c r="K2080"/>
      <c r="L2080"/>
      <c r="M2080" s="17"/>
      <c r="N2080"/>
      <c r="O2080"/>
      <c r="P2080" s="34"/>
    </row>
    <row r="2081" spans="1:16" x14ac:dyDescent="0.25">
      <c r="A2081" s="14"/>
      <c r="B2081"/>
      <c r="C2081" s="15"/>
      <c r="D2081"/>
      <c r="E2081"/>
      <c r="F2081" s="16"/>
      <c r="G2081"/>
      <c r="H2081"/>
      <c r="I2081" s="16"/>
      <c r="J2081"/>
      <c r="K2081"/>
      <c r="L2081"/>
      <c r="M2081" s="17"/>
      <c r="N2081"/>
      <c r="O2081"/>
      <c r="P2081" s="34"/>
    </row>
    <row r="2082" spans="1:16" x14ac:dyDescent="0.25">
      <c r="A2082" s="14"/>
      <c r="B2082"/>
      <c r="C2082" s="15"/>
      <c r="D2082"/>
      <c r="E2082"/>
      <c r="F2082" s="16"/>
      <c r="G2082"/>
      <c r="H2082"/>
      <c r="I2082" s="16"/>
      <c r="J2082"/>
      <c r="K2082"/>
      <c r="L2082"/>
      <c r="M2082" s="17"/>
      <c r="N2082"/>
      <c r="O2082"/>
      <c r="P2082" s="34"/>
    </row>
    <row r="2083" spans="1:16" x14ac:dyDescent="0.25">
      <c r="A2083" s="14"/>
      <c r="B2083"/>
      <c r="C2083" s="15"/>
      <c r="D2083"/>
      <c r="E2083"/>
      <c r="F2083" s="16"/>
      <c r="G2083"/>
      <c r="H2083"/>
      <c r="I2083" s="16"/>
      <c r="J2083"/>
      <c r="K2083"/>
      <c r="L2083"/>
      <c r="M2083" s="17"/>
      <c r="N2083"/>
      <c r="O2083"/>
      <c r="P2083" s="34"/>
    </row>
    <row r="2084" spans="1:16" x14ac:dyDescent="0.25">
      <c r="A2084" s="14"/>
      <c r="B2084"/>
      <c r="C2084" s="15"/>
      <c r="D2084"/>
      <c r="E2084"/>
      <c r="F2084" s="16"/>
      <c r="G2084"/>
      <c r="H2084"/>
      <c r="I2084" s="16"/>
      <c r="J2084"/>
      <c r="K2084"/>
      <c r="L2084"/>
      <c r="M2084" s="17"/>
      <c r="N2084"/>
      <c r="O2084"/>
      <c r="P2084" s="34"/>
    </row>
    <row r="2085" spans="1:16" x14ac:dyDescent="0.25">
      <c r="A2085" s="14"/>
      <c r="B2085"/>
      <c r="C2085" s="15"/>
      <c r="D2085"/>
      <c r="E2085"/>
      <c r="F2085" s="16"/>
      <c r="G2085"/>
      <c r="H2085"/>
      <c r="I2085" s="16"/>
      <c r="J2085"/>
      <c r="K2085"/>
      <c r="L2085"/>
      <c r="M2085" s="17"/>
      <c r="N2085"/>
      <c r="O2085"/>
      <c r="P2085" s="34"/>
    </row>
    <row r="2086" spans="1:16" x14ac:dyDescent="0.25">
      <c r="A2086" s="14"/>
      <c r="B2086"/>
      <c r="C2086" s="15"/>
      <c r="D2086"/>
      <c r="E2086"/>
      <c r="F2086" s="16"/>
      <c r="G2086"/>
      <c r="H2086"/>
      <c r="I2086" s="16"/>
      <c r="J2086"/>
      <c r="K2086"/>
      <c r="L2086"/>
      <c r="M2086" s="17"/>
      <c r="N2086"/>
      <c r="O2086"/>
      <c r="P2086" s="34"/>
    </row>
    <row r="2087" spans="1:16" x14ac:dyDescent="0.25">
      <c r="A2087" s="14"/>
      <c r="B2087"/>
      <c r="C2087" s="15"/>
      <c r="D2087"/>
      <c r="E2087"/>
      <c r="F2087" s="16"/>
      <c r="G2087"/>
      <c r="H2087"/>
      <c r="I2087" s="16"/>
      <c r="J2087"/>
      <c r="K2087"/>
      <c r="L2087"/>
      <c r="M2087" s="17"/>
      <c r="N2087"/>
      <c r="O2087"/>
      <c r="P2087" s="34"/>
    </row>
    <row r="2088" spans="1:16" x14ac:dyDescent="0.25">
      <c r="A2088" s="14"/>
      <c r="B2088"/>
      <c r="C2088" s="15"/>
      <c r="D2088"/>
      <c r="E2088"/>
      <c r="F2088" s="16"/>
      <c r="G2088"/>
      <c r="H2088"/>
      <c r="I2088" s="16"/>
      <c r="J2088"/>
      <c r="K2088"/>
      <c r="L2088"/>
      <c r="M2088" s="17"/>
      <c r="N2088"/>
      <c r="O2088"/>
      <c r="P2088" s="34"/>
    </row>
    <row r="2089" spans="1:16" x14ac:dyDescent="0.25">
      <c r="A2089" s="14"/>
      <c r="B2089"/>
      <c r="C2089" s="15"/>
      <c r="D2089"/>
      <c r="E2089"/>
      <c r="F2089" s="16"/>
      <c r="G2089"/>
      <c r="H2089"/>
      <c r="I2089" s="16"/>
      <c r="J2089"/>
      <c r="K2089"/>
      <c r="L2089"/>
      <c r="M2089" s="17"/>
      <c r="N2089"/>
      <c r="O2089"/>
      <c r="P2089" s="34"/>
    </row>
    <row r="2090" spans="1:16" x14ac:dyDescent="0.25">
      <c r="A2090" s="14"/>
      <c r="B2090"/>
      <c r="C2090" s="15"/>
      <c r="D2090"/>
      <c r="E2090"/>
      <c r="F2090" s="16"/>
      <c r="G2090"/>
      <c r="H2090"/>
      <c r="I2090" s="16"/>
      <c r="J2090"/>
      <c r="K2090"/>
      <c r="L2090"/>
      <c r="M2090" s="17"/>
      <c r="N2090"/>
      <c r="O2090"/>
      <c r="P2090" s="34"/>
    </row>
    <row r="2091" spans="1:16" x14ac:dyDescent="0.25">
      <c r="A2091" s="14"/>
      <c r="B2091"/>
      <c r="C2091" s="15"/>
      <c r="D2091"/>
      <c r="E2091"/>
      <c r="F2091" s="16"/>
      <c r="G2091"/>
      <c r="H2091"/>
      <c r="I2091" s="16"/>
      <c r="J2091"/>
      <c r="K2091"/>
      <c r="L2091"/>
      <c r="M2091" s="17"/>
      <c r="N2091"/>
      <c r="O2091"/>
      <c r="P2091" s="34"/>
    </row>
    <row r="2092" spans="1:16" x14ac:dyDescent="0.25">
      <c r="A2092" s="14"/>
      <c r="B2092"/>
      <c r="C2092" s="15"/>
      <c r="D2092"/>
      <c r="E2092"/>
      <c r="F2092" s="16"/>
      <c r="G2092"/>
      <c r="H2092"/>
      <c r="I2092" s="16"/>
      <c r="J2092"/>
      <c r="K2092"/>
      <c r="L2092"/>
      <c r="M2092" s="17"/>
      <c r="N2092"/>
      <c r="O2092"/>
      <c r="P2092" s="34"/>
    </row>
    <row r="2093" spans="1:16" x14ac:dyDescent="0.25">
      <c r="A2093" s="14"/>
      <c r="B2093"/>
      <c r="C2093" s="15"/>
      <c r="D2093"/>
      <c r="E2093"/>
      <c r="F2093" s="16"/>
      <c r="G2093"/>
      <c r="H2093"/>
      <c r="I2093" s="16"/>
      <c r="J2093"/>
      <c r="K2093"/>
      <c r="L2093"/>
      <c r="M2093" s="17"/>
      <c r="N2093"/>
      <c r="O2093"/>
      <c r="P2093" s="34"/>
    </row>
    <row r="2094" spans="1:16" x14ac:dyDescent="0.25">
      <c r="A2094" s="14"/>
      <c r="B2094"/>
      <c r="C2094" s="15"/>
      <c r="D2094"/>
      <c r="E2094"/>
      <c r="F2094" s="16"/>
      <c r="G2094"/>
      <c r="H2094"/>
      <c r="I2094" s="16"/>
      <c r="J2094"/>
      <c r="K2094"/>
      <c r="L2094"/>
      <c r="M2094" s="17"/>
      <c r="N2094"/>
      <c r="O2094"/>
      <c r="P2094" s="34"/>
    </row>
    <row r="2095" spans="1:16" x14ac:dyDescent="0.25">
      <c r="A2095" s="14"/>
      <c r="B2095"/>
      <c r="C2095" s="15"/>
      <c r="D2095"/>
      <c r="E2095"/>
      <c r="F2095" s="16"/>
      <c r="G2095"/>
      <c r="H2095"/>
      <c r="I2095" s="16"/>
      <c r="J2095"/>
      <c r="K2095"/>
      <c r="L2095"/>
      <c r="M2095" s="17"/>
      <c r="N2095"/>
      <c r="O2095"/>
      <c r="P2095" s="34"/>
    </row>
    <row r="2096" spans="1:16" x14ac:dyDescent="0.25">
      <c r="A2096" s="14"/>
      <c r="B2096"/>
      <c r="C2096" s="15"/>
      <c r="D2096"/>
      <c r="E2096"/>
      <c r="F2096" s="16"/>
      <c r="G2096"/>
      <c r="H2096"/>
      <c r="I2096" s="16"/>
      <c r="J2096"/>
      <c r="K2096"/>
      <c r="L2096"/>
      <c r="M2096" s="17"/>
      <c r="N2096"/>
      <c r="O2096"/>
      <c r="P2096" s="34"/>
    </row>
    <row r="2097" spans="1:16" x14ac:dyDescent="0.25">
      <c r="A2097" s="14"/>
      <c r="B2097"/>
      <c r="C2097" s="15"/>
      <c r="D2097"/>
      <c r="E2097"/>
      <c r="F2097" s="16"/>
      <c r="G2097"/>
      <c r="H2097"/>
      <c r="I2097" s="16"/>
      <c r="J2097"/>
      <c r="K2097"/>
      <c r="L2097"/>
      <c r="M2097" s="17"/>
      <c r="N2097"/>
      <c r="O2097"/>
      <c r="P2097" s="34"/>
    </row>
    <row r="2098" spans="1:16" x14ac:dyDescent="0.25">
      <c r="A2098" s="14"/>
      <c r="B2098"/>
      <c r="C2098" s="15"/>
      <c r="D2098"/>
      <c r="E2098"/>
      <c r="F2098" s="16"/>
      <c r="G2098"/>
      <c r="H2098"/>
      <c r="I2098" s="16"/>
      <c r="J2098"/>
      <c r="K2098"/>
      <c r="L2098"/>
      <c r="M2098" s="17"/>
      <c r="N2098"/>
      <c r="O2098"/>
      <c r="P2098" s="34"/>
    </row>
    <row r="2099" spans="1:16" x14ac:dyDescent="0.25">
      <c r="A2099" s="14"/>
      <c r="B2099"/>
      <c r="C2099" s="15"/>
      <c r="D2099"/>
      <c r="E2099"/>
      <c r="F2099" s="16"/>
      <c r="G2099"/>
      <c r="H2099"/>
      <c r="I2099" s="16"/>
      <c r="J2099"/>
      <c r="K2099"/>
      <c r="L2099"/>
      <c r="M2099" s="17"/>
      <c r="N2099"/>
      <c r="O2099"/>
      <c r="P2099" s="34"/>
    </row>
    <row r="2100" spans="1:16" x14ac:dyDescent="0.25">
      <c r="A2100" s="14"/>
      <c r="B2100"/>
      <c r="C2100" s="15"/>
      <c r="D2100"/>
      <c r="E2100"/>
      <c r="F2100" s="16"/>
      <c r="G2100"/>
      <c r="H2100"/>
      <c r="I2100" s="16"/>
      <c r="J2100"/>
      <c r="K2100"/>
      <c r="L2100"/>
      <c r="M2100" s="17"/>
      <c r="N2100"/>
      <c r="O2100"/>
      <c r="P2100" s="34"/>
    </row>
    <row r="2101" spans="1:16" x14ac:dyDescent="0.25">
      <c r="A2101" s="14"/>
      <c r="B2101"/>
      <c r="C2101" s="15"/>
      <c r="D2101"/>
      <c r="E2101"/>
      <c r="F2101" s="16"/>
      <c r="G2101"/>
      <c r="H2101"/>
      <c r="I2101" s="16"/>
      <c r="J2101"/>
      <c r="K2101"/>
      <c r="L2101"/>
      <c r="M2101" s="17"/>
      <c r="N2101"/>
      <c r="O2101"/>
      <c r="P2101" s="34"/>
    </row>
    <row r="2102" spans="1:16" x14ac:dyDescent="0.25">
      <c r="A2102" s="14"/>
      <c r="B2102"/>
      <c r="C2102" s="15"/>
      <c r="D2102"/>
      <c r="E2102"/>
      <c r="F2102" s="16"/>
      <c r="G2102"/>
      <c r="H2102"/>
      <c r="I2102" s="16"/>
      <c r="J2102"/>
      <c r="K2102"/>
      <c r="L2102"/>
      <c r="M2102" s="17"/>
      <c r="N2102"/>
      <c r="O2102"/>
      <c r="P2102" s="34"/>
    </row>
    <row r="2103" spans="1:16" x14ac:dyDescent="0.25">
      <c r="A2103" s="14"/>
      <c r="B2103"/>
      <c r="C2103" s="15"/>
      <c r="D2103"/>
      <c r="E2103"/>
      <c r="F2103" s="16"/>
      <c r="G2103"/>
      <c r="H2103"/>
      <c r="I2103" s="16"/>
      <c r="J2103"/>
      <c r="K2103"/>
      <c r="L2103"/>
      <c r="M2103" s="17"/>
      <c r="N2103"/>
      <c r="O2103"/>
      <c r="P2103" s="34"/>
    </row>
    <row r="2104" spans="1:16" x14ac:dyDescent="0.25">
      <c r="A2104" s="14"/>
      <c r="B2104"/>
      <c r="C2104" s="15"/>
      <c r="D2104"/>
      <c r="E2104"/>
      <c r="F2104" s="16"/>
      <c r="G2104"/>
      <c r="H2104"/>
      <c r="I2104" s="16"/>
      <c r="J2104"/>
      <c r="K2104"/>
      <c r="L2104"/>
      <c r="M2104" s="17"/>
      <c r="N2104"/>
      <c r="O2104"/>
      <c r="P2104" s="34"/>
    </row>
    <row r="2105" spans="1:16" x14ac:dyDescent="0.25">
      <c r="A2105" s="14"/>
      <c r="B2105"/>
      <c r="C2105" s="15"/>
      <c r="D2105"/>
      <c r="E2105"/>
      <c r="F2105" s="16"/>
      <c r="G2105"/>
      <c r="H2105"/>
      <c r="I2105" s="16"/>
      <c r="J2105"/>
      <c r="K2105"/>
      <c r="L2105"/>
      <c r="M2105" s="17"/>
      <c r="N2105"/>
      <c r="O2105"/>
      <c r="P2105" s="34"/>
    </row>
    <row r="2106" spans="1:16" x14ac:dyDescent="0.25">
      <c r="A2106" s="14"/>
      <c r="B2106"/>
      <c r="C2106" s="15"/>
      <c r="D2106"/>
      <c r="E2106"/>
      <c r="F2106" s="16"/>
      <c r="G2106"/>
      <c r="H2106"/>
      <c r="I2106" s="16"/>
      <c r="J2106"/>
      <c r="K2106"/>
      <c r="L2106"/>
      <c r="M2106" s="17"/>
      <c r="N2106"/>
      <c r="O2106"/>
      <c r="P2106" s="34"/>
    </row>
    <row r="2107" spans="1:16" x14ac:dyDescent="0.25">
      <c r="A2107" s="14"/>
      <c r="B2107"/>
      <c r="C2107" s="15"/>
      <c r="D2107"/>
      <c r="E2107"/>
      <c r="F2107" s="16"/>
      <c r="G2107"/>
      <c r="H2107"/>
      <c r="I2107" s="16"/>
      <c r="J2107"/>
      <c r="K2107"/>
      <c r="L2107"/>
      <c r="M2107" s="17"/>
      <c r="N2107"/>
      <c r="O2107"/>
      <c r="P2107" s="34"/>
    </row>
    <row r="2108" spans="1:16" x14ac:dyDescent="0.25">
      <c r="A2108" s="14"/>
      <c r="B2108"/>
      <c r="C2108" s="15"/>
      <c r="D2108"/>
      <c r="E2108"/>
      <c r="F2108" s="16"/>
      <c r="G2108"/>
      <c r="H2108"/>
      <c r="I2108" s="16"/>
      <c r="J2108"/>
      <c r="K2108"/>
      <c r="L2108"/>
      <c r="M2108" s="17"/>
      <c r="N2108"/>
      <c r="O2108"/>
      <c r="P2108" s="34"/>
    </row>
    <row r="2109" spans="1:16" x14ac:dyDescent="0.25">
      <c r="A2109" s="14"/>
      <c r="B2109"/>
      <c r="C2109" s="15"/>
      <c r="D2109"/>
      <c r="E2109"/>
      <c r="F2109" s="16"/>
      <c r="G2109"/>
      <c r="H2109"/>
      <c r="I2109" s="16"/>
      <c r="J2109"/>
      <c r="K2109"/>
      <c r="L2109"/>
      <c r="M2109" s="17"/>
      <c r="N2109"/>
      <c r="O2109"/>
      <c r="P2109" s="34"/>
    </row>
    <row r="2110" spans="1:16" x14ac:dyDescent="0.25">
      <c r="A2110" s="14"/>
      <c r="B2110"/>
      <c r="C2110" s="15"/>
      <c r="D2110"/>
      <c r="E2110"/>
      <c r="F2110" s="16"/>
      <c r="G2110"/>
      <c r="H2110"/>
      <c r="I2110" s="16"/>
      <c r="J2110"/>
      <c r="K2110"/>
      <c r="L2110"/>
      <c r="M2110" s="17"/>
      <c r="N2110"/>
      <c r="O2110"/>
      <c r="P2110" s="34"/>
    </row>
    <row r="2111" spans="1:16" x14ac:dyDescent="0.25">
      <c r="A2111" s="14"/>
      <c r="B2111"/>
      <c r="C2111" s="15"/>
      <c r="D2111"/>
      <c r="E2111"/>
      <c r="F2111" s="16"/>
      <c r="G2111"/>
      <c r="H2111"/>
      <c r="I2111" s="16"/>
      <c r="J2111"/>
      <c r="K2111"/>
      <c r="L2111"/>
      <c r="M2111" s="17"/>
      <c r="N2111"/>
      <c r="O2111"/>
      <c r="P2111" s="34"/>
    </row>
    <row r="2112" spans="1:16" x14ac:dyDescent="0.25">
      <c r="A2112" s="14"/>
      <c r="B2112"/>
      <c r="C2112" s="15"/>
      <c r="D2112"/>
      <c r="E2112"/>
      <c r="F2112" s="16"/>
      <c r="G2112"/>
      <c r="H2112"/>
      <c r="I2112" s="16"/>
      <c r="J2112"/>
      <c r="K2112"/>
      <c r="L2112"/>
      <c r="M2112" s="17"/>
      <c r="N2112"/>
      <c r="O2112"/>
      <c r="P2112" s="34"/>
    </row>
    <row r="2113" spans="1:16" x14ac:dyDescent="0.25">
      <c r="A2113" s="14"/>
      <c r="B2113"/>
      <c r="C2113" s="15"/>
      <c r="D2113"/>
      <c r="E2113"/>
      <c r="F2113" s="16"/>
      <c r="G2113"/>
      <c r="H2113"/>
      <c r="I2113" s="16"/>
      <c r="J2113"/>
      <c r="K2113"/>
      <c r="L2113"/>
      <c r="M2113" s="17"/>
      <c r="N2113"/>
      <c r="O2113"/>
      <c r="P2113" s="34"/>
    </row>
    <row r="2114" spans="1:16" x14ac:dyDescent="0.25">
      <c r="A2114" s="14"/>
      <c r="B2114"/>
      <c r="C2114" s="15"/>
      <c r="D2114"/>
      <c r="E2114"/>
      <c r="F2114" s="16"/>
      <c r="G2114"/>
      <c r="H2114"/>
      <c r="I2114" s="16"/>
      <c r="J2114"/>
      <c r="K2114"/>
      <c r="L2114"/>
      <c r="M2114" s="17"/>
      <c r="N2114"/>
      <c r="O2114"/>
      <c r="P2114" s="34"/>
    </row>
    <row r="2115" spans="1:16" x14ac:dyDescent="0.25">
      <c r="A2115" s="14"/>
      <c r="B2115"/>
      <c r="C2115" s="15"/>
      <c r="D2115"/>
      <c r="E2115"/>
      <c r="F2115" s="16"/>
      <c r="G2115"/>
      <c r="H2115"/>
      <c r="I2115" s="16"/>
      <c r="J2115"/>
      <c r="K2115"/>
      <c r="L2115"/>
      <c r="M2115" s="17"/>
      <c r="N2115"/>
      <c r="O2115"/>
      <c r="P2115" s="34"/>
    </row>
    <row r="2116" spans="1:16" x14ac:dyDescent="0.25">
      <c r="A2116" s="14"/>
      <c r="B2116"/>
      <c r="C2116" s="15"/>
      <c r="D2116"/>
      <c r="E2116"/>
      <c r="F2116" s="16"/>
      <c r="G2116"/>
      <c r="H2116"/>
      <c r="I2116" s="16"/>
      <c r="J2116"/>
      <c r="K2116"/>
      <c r="L2116"/>
      <c r="M2116" s="17"/>
      <c r="N2116"/>
      <c r="O2116"/>
      <c r="P2116" s="34"/>
    </row>
    <row r="2117" spans="1:16" x14ac:dyDescent="0.25">
      <c r="A2117" s="14"/>
      <c r="B2117"/>
      <c r="C2117" s="15"/>
      <c r="D2117"/>
      <c r="E2117"/>
      <c r="F2117" s="16"/>
      <c r="G2117"/>
      <c r="H2117"/>
      <c r="I2117" s="16"/>
      <c r="J2117"/>
      <c r="K2117"/>
      <c r="L2117"/>
      <c r="M2117" s="17"/>
      <c r="N2117"/>
      <c r="O2117"/>
      <c r="P2117" s="34"/>
    </row>
    <row r="2118" spans="1:16" x14ac:dyDescent="0.25">
      <c r="A2118" s="14"/>
      <c r="B2118"/>
      <c r="C2118" s="15"/>
      <c r="D2118"/>
      <c r="E2118"/>
      <c r="F2118" s="16"/>
      <c r="G2118"/>
      <c r="H2118"/>
      <c r="I2118" s="16"/>
      <c r="J2118"/>
      <c r="K2118"/>
      <c r="L2118"/>
      <c r="M2118" s="17"/>
      <c r="N2118"/>
      <c r="O2118"/>
      <c r="P2118" s="34"/>
    </row>
    <row r="2119" spans="1:16" x14ac:dyDescent="0.25">
      <c r="A2119" s="14"/>
      <c r="B2119"/>
      <c r="C2119" s="15"/>
      <c r="D2119"/>
      <c r="E2119"/>
      <c r="F2119" s="16"/>
      <c r="G2119"/>
      <c r="H2119"/>
      <c r="I2119" s="16"/>
      <c r="J2119"/>
      <c r="K2119"/>
      <c r="L2119"/>
      <c r="M2119" s="17"/>
      <c r="N2119"/>
      <c r="O2119"/>
      <c r="P2119" s="34"/>
    </row>
    <row r="2120" spans="1:16" x14ac:dyDescent="0.25">
      <c r="A2120" s="14"/>
      <c r="B2120"/>
      <c r="C2120" s="15"/>
      <c r="D2120"/>
      <c r="E2120"/>
      <c r="F2120" s="16"/>
      <c r="G2120"/>
      <c r="H2120"/>
      <c r="I2120" s="16"/>
      <c r="J2120"/>
      <c r="K2120"/>
      <c r="L2120"/>
      <c r="M2120" s="17"/>
      <c r="N2120"/>
      <c r="O2120"/>
      <c r="P2120" s="34"/>
    </row>
    <row r="2121" spans="1:16" x14ac:dyDescent="0.25">
      <c r="A2121" s="14"/>
      <c r="B2121"/>
      <c r="C2121" s="15"/>
      <c r="D2121"/>
      <c r="E2121"/>
      <c r="F2121" s="16"/>
      <c r="G2121"/>
      <c r="H2121"/>
      <c r="I2121" s="16"/>
      <c r="J2121"/>
      <c r="K2121"/>
      <c r="L2121"/>
      <c r="M2121" s="17"/>
      <c r="N2121"/>
      <c r="O2121"/>
      <c r="P2121" s="34"/>
    </row>
    <row r="2122" spans="1:16" x14ac:dyDescent="0.25">
      <c r="A2122" s="14"/>
      <c r="B2122"/>
      <c r="C2122" s="15"/>
      <c r="D2122"/>
      <c r="E2122"/>
      <c r="F2122" s="16"/>
      <c r="G2122"/>
      <c r="H2122"/>
      <c r="I2122" s="16"/>
      <c r="J2122"/>
      <c r="K2122"/>
      <c r="L2122"/>
      <c r="M2122" s="17"/>
      <c r="N2122"/>
      <c r="O2122"/>
      <c r="P2122" s="34"/>
    </row>
    <row r="2123" spans="1:16" x14ac:dyDescent="0.25">
      <c r="A2123" s="14"/>
      <c r="B2123"/>
      <c r="C2123" s="15"/>
      <c r="D2123"/>
      <c r="E2123"/>
      <c r="F2123" s="16"/>
      <c r="G2123"/>
      <c r="H2123"/>
      <c r="I2123" s="16"/>
      <c r="J2123"/>
      <c r="K2123"/>
      <c r="L2123"/>
      <c r="M2123" s="17"/>
      <c r="N2123"/>
      <c r="O2123"/>
      <c r="P2123" s="34"/>
    </row>
    <row r="2124" spans="1:16" x14ac:dyDescent="0.25">
      <c r="A2124" s="14"/>
      <c r="B2124"/>
      <c r="C2124" s="15"/>
      <c r="D2124"/>
      <c r="E2124"/>
      <c r="F2124" s="16"/>
      <c r="G2124"/>
      <c r="H2124"/>
      <c r="I2124" s="16"/>
      <c r="J2124"/>
      <c r="K2124"/>
      <c r="L2124"/>
      <c r="M2124" s="17"/>
      <c r="N2124"/>
      <c r="O2124"/>
      <c r="P2124" s="34"/>
    </row>
    <row r="2125" spans="1:16" x14ac:dyDescent="0.25">
      <c r="A2125" s="14"/>
      <c r="B2125"/>
      <c r="C2125" s="15"/>
      <c r="D2125"/>
      <c r="E2125"/>
      <c r="F2125" s="16"/>
      <c r="G2125"/>
      <c r="H2125"/>
      <c r="I2125" s="16"/>
      <c r="J2125"/>
      <c r="K2125"/>
      <c r="L2125"/>
      <c r="M2125" s="17"/>
      <c r="N2125"/>
      <c r="O2125"/>
      <c r="P2125" s="34"/>
    </row>
    <row r="2126" spans="1:16" x14ac:dyDescent="0.25">
      <c r="A2126" s="14"/>
      <c r="B2126"/>
      <c r="C2126" s="15"/>
      <c r="D2126"/>
      <c r="E2126"/>
      <c r="F2126" s="16"/>
      <c r="G2126"/>
      <c r="H2126"/>
      <c r="I2126" s="16"/>
      <c r="J2126"/>
      <c r="K2126"/>
      <c r="L2126"/>
      <c r="M2126" s="17"/>
      <c r="N2126"/>
      <c r="O2126"/>
      <c r="P2126" s="34"/>
    </row>
    <row r="2127" spans="1:16" x14ac:dyDescent="0.25">
      <c r="A2127" s="14"/>
      <c r="B2127"/>
      <c r="C2127" s="15"/>
      <c r="D2127"/>
      <c r="E2127"/>
      <c r="F2127" s="16"/>
      <c r="G2127"/>
      <c r="H2127"/>
      <c r="I2127" s="16"/>
      <c r="J2127"/>
      <c r="K2127"/>
      <c r="L2127"/>
      <c r="M2127" s="17"/>
      <c r="N2127"/>
      <c r="O2127"/>
      <c r="P2127" s="34"/>
    </row>
    <row r="2128" spans="1:16" x14ac:dyDescent="0.25">
      <c r="A2128" s="14"/>
      <c r="B2128"/>
      <c r="C2128" s="15"/>
      <c r="D2128"/>
      <c r="E2128"/>
      <c r="F2128" s="16"/>
      <c r="G2128"/>
      <c r="H2128"/>
      <c r="I2128" s="16"/>
      <c r="J2128"/>
      <c r="K2128"/>
      <c r="L2128"/>
      <c r="M2128" s="17"/>
      <c r="N2128"/>
      <c r="O2128"/>
      <c r="P2128" s="34"/>
    </row>
    <row r="2129" spans="1:16" x14ac:dyDescent="0.25">
      <c r="A2129" s="14"/>
      <c r="B2129"/>
      <c r="C2129" s="15"/>
      <c r="D2129"/>
      <c r="E2129"/>
      <c r="F2129" s="16"/>
      <c r="G2129"/>
      <c r="H2129"/>
      <c r="I2129" s="16"/>
      <c r="J2129"/>
      <c r="K2129"/>
      <c r="L2129"/>
      <c r="M2129" s="17"/>
      <c r="N2129"/>
      <c r="O2129"/>
      <c r="P2129" s="34"/>
    </row>
    <row r="2130" spans="1:16" x14ac:dyDescent="0.25">
      <c r="A2130" s="14"/>
      <c r="B2130"/>
      <c r="C2130" s="15"/>
      <c r="D2130"/>
      <c r="E2130"/>
      <c r="F2130" s="16"/>
      <c r="G2130"/>
      <c r="H2130"/>
      <c r="I2130" s="16"/>
      <c r="J2130"/>
      <c r="K2130"/>
      <c r="L2130"/>
      <c r="M2130" s="17"/>
      <c r="N2130"/>
      <c r="O2130"/>
      <c r="P2130" s="34"/>
    </row>
    <row r="2131" spans="1:16" x14ac:dyDescent="0.25">
      <c r="A2131" s="14"/>
      <c r="B2131"/>
      <c r="C2131" s="15"/>
      <c r="D2131"/>
      <c r="E2131"/>
      <c r="F2131" s="16"/>
      <c r="G2131"/>
      <c r="H2131"/>
      <c r="I2131" s="16"/>
      <c r="J2131"/>
      <c r="K2131"/>
      <c r="L2131"/>
      <c r="M2131" s="17"/>
      <c r="N2131"/>
      <c r="O2131"/>
      <c r="P2131" s="34"/>
    </row>
    <row r="2132" spans="1:16" x14ac:dyDescent="0.25">
      <c r="A2132" s="14"/>
      <c r="B2132"/>
      <c r="C2132" s="15"/>
      <c r="D2132"/>
      <c r="E2132"/>
      <c r="F2132" s="16"/>
      <c r="G2132"/>
      <c r="H2132"/>
      <c r="I2132" s="16"/>
      <c r="J2132"/>
      <c r="K2132"/>
      <c r="L2132"/>
      <c r="M2132" s="17"/>
      <c r="N2132"/>
      <c r="O2132"/>
      <c r="P2132" s="34"/>
    </row>
    <row r="2133" spans="1:16" x14ac:dyDescent="0.25">
      <c r="A2133" s="14"/>
      <c r="B2133"/>
      <c r="C2133" s="15"/>
      <c r="D2133"/>
      <c r="E2133"/>
      <c r="F2133" s="16"/>
      <c r="G2133"/>
      <c r="H2133"/>
      <c r="I2133" s="16"/>
      <c r="J2133"/>
      <c r="K2133"/>
      <c r="L2133"/>
      <c r="M2133" s="17"/>
      <c r="N2133"/>
      <c r="O2133"/>
      <c r="P2133" s="34"/>
    </row>
    <row r="2134" spans="1:16" x14ac:dyDescent="0.25">
      <c r="A2134" s="14"/>
      <c r="B2134"/>
      <c r="C2134" s="15"/>
      <c r="D2134"/>
      <c r="E2134"/>
      <c r="F2134" s="16"/>
      <c r="G2134"/>
      <c r="H2134"/>
      <c r="I2134" s="16"/>
      <c r="J2134"/>
      <c r="K2134"/>
      <c r="L2134"/>
      <c r="M2134" s="17"/>
      <c r="N2134"/>
      <c r="O2134"/>
      <c r="P2134" s="34"/>
    </row>
    <row r="2135" spans="1:16" x14ac:dyDescent="0.25">
      <c r="A2135" s="14"/>
      <c r="B2135"/>
      <c r="C2135" s="15"/>
      <c r="D2135"/>
      <c r="E2135"/>
      <c r="F2135" s="16"/>
      <c r="G2135"/>
      <c r="H2135"/>
      <c r="I2135" s="16"/>
      <c r="J2135"/>
      <c r="K2135"/>
      <c r="L2135"/>
      <c r="M2135" s="17"/>
      <c r="N2135"/>
      <c r="O2135"/>
      <c r="P2135" s="34"/>
    </row>
    <row r="2136" spans="1:16" x14ac:dyDescent="0.25">
      <c r="A2136" s="14"/>
      <c r="B2136"/>
      <c r="C2136" s="15"/>
      <c r="D2136"/>
      <c r="E2136"/>
      <c r="F2136" s="16"/>
      <c r="G2136"/>
      <c r="H2136"/>
      <c r="I2136" s="16"/>
      <c r="J2136"/>
      <c r="K2136"/>
      <c r="L2136"/>
      <c r="M2136" s="17"/>
      <c r="N2136"/>
      <c r="O2136"/>
      <c r="P2136" s="34"/>
    </row>
    <row r="2137" spans="1:16" x14ac:dyDescent="0.25">
      <c r="A2137" s="14"/>
      <c r="B2137"/>
      <c r="C2137" s="15"/>
      <c r="D2137"/>
      <c r="E2137"/>
      <c r="F2137" s="16"/>
      <c r="G2137"/>
      <c r="H2137"/>
      <c r="I2137" s="16"/>
      <c r="J2137"/>
      <c r="K2137"/>
      <c r="L2137"/>
      <c r="M2137" s="17"/>
      <c r="N2137"/>
      <c r="O2137"/>
      <c r="P2137" s="34"/>
    </row>
    <row r="2138" spans="1:16" x14ac:dyDescent="0.25">
      <c r="A2138" s="14"/>
      <c r="B2138"/>
      <c r="C2138" s="15"/>
      <c r="D2138"/>
      <c r="E2138"/>
      <c r="F2138" s="16"/>
      <c r="G2138"/>
      <c r="H2138"/>
      <c r="I2138" s="16"/>
      <c r="J2138"/>
      <c r="K2138"/>
      <c r="L2138"/>
      <c r="M2138" s="17"/>
      <c r="N2138"/>
      <c r="O2138"/>
      <c r="P2138" s="34"/>
    </row>
    <row r="2139" spans="1:16" x14ac:dyDescent="0.25">
      <c r="A2139" s="14"/>
      <c r="B2139"/>
      <c r="C2139" s="15"/>
      <c r="D2139"/>
      <c r="E2139"/>
      <c r="F2139" s="16"/>
      <c r="G2139"/>
      <c r="H2139"/>
      <c r="I2139" s="16"/>
      <c r="J2139"/>
      <c r="K2139"/>
      <c r="L2139"/>
      <c r="M2139" s="17"/>
      <c r="N2139"/>
      <c r="O2139"/>
      <c r="P2139" s="34"/>
    </row>
    <row r="2140" spans="1:16" x14ac:dyDescent="0.25">
      <c r="A2140" s="14"/>
      <c r="B2140"/>
      <c r="C2140" s="15"/>
      <c r="D2140"/>
      <c r="E2140"/>
      <c r="F2140" s="16"/>
      <c r="G2140"/>
      <c r="H2140"/>
      <c r="I2140" s="16"/>
      <c r="J2140"/>
      <c r="K2140"/>
      <c r="L2140"/>
      <c r="M2140" s="17"/>
      <c r="N2140"/>
      <c r="O2140"/>
      <c r="P2140" s="34"/>
    </row>
    <row r="2141" spans="1:16" x14ac:dyDescent="0.25">
      <c r="A2141" s="14"/>
      <c r="B2141"/>
      <c r="C2141" s="15"/>
      <c r="D2141"/>
      <c r="E2141"/>
      <c r="F2141" s="16"/>
      <c r="G2141"/>
      <c r="H2141"/>
      <c r="I2141" s="16"/>
      <c r="J2141"/>
      <c r="K2141"/>
      <c r="L2141"/>
      <c r="M2141" s="17"/>
      <c r="N2141"/>
      <c r="O2141"/>
      <c r="P2141" s="34"/>
    </row>
    <row r="2142" spans="1:16" x14ac:dyDescent="0.25">
      <c r="A2142" s="14"/>
      <c r="B2142"/>
      <c r="C2142" s="15"/>
      <c r="D2142"/>
      <c r="E2142"/>
      <c r="F2142" s="16"/>
      <c r="G2142"/>
      <c r="H2142"/>
      <c r="I2142" s="16"/>
      <c r="J2142"/>
      <c r="K2142"/>
      <c r="L2142"/>
      <c r="M2142" s="17"/>
      <c r="N2142"/>
      <c r="O2142"/>
      <c r="P2142" s="34"/>
    </row>
    <row r="2143" spans="1:16" x14ac:dyDescent="0.25">
      <c r="A2143" s="14"/>
      <c r="B2143"/>
      <c r="C2143" s="15"/>
      <c r="D2143"/>
      <c r="E2143"/>
      <c r="F2143" s="16"/>
      <c r="G2143"/>
      <c r="H2143"/>
      <c r="I2143" s="16"/>
      <c r="J2143"/>
      <c r="K2143"/>
      <c r="L2143"/>
      <c r="M2143" s="17"/>
      <c r="N2143"/>
      <c r="O2143"/>
      <c r="P2143" s="34"/>
    </row>
    <row r="2144" spans="1:16" x14ac:dyDescent="0.25">
      <c r="A2144" s="14"/>
      <c r="B2144"/>
      <c r="C2144" s="15"/>
      <c r="D2144"/>
      <c r="E2144"/>
      <c r="F2144" s="16"/>
      <c r="G2144"/>
      <c r="H2144"/>
      <c r="I2144" s="16"/>
      <c r="J2144"/>
      <c r="K2144"/>
      <c r="L2144"/>
      <c r="M2144" s="17"/>
      <c r="N2144"/>
      <c r="O2144"/>
      <c r="P2144" s="34"/>
    </row>
    <row r="2145" spans="1:16" x14ac:dyDescent="0.25">
      <c r="A2145" s="14"/>
      <c r="B2145"/>
      <c r="C2145" s="15"/>
      <c r="D2145"/>
      <c r="E2145"/>
      <c r="F2145" s="16"/>
      <c r="G2145"/>
      <c r="H2145"/>
      <c r="I2145" s="16"/>
      <c r="J2145"/>
      <c r="K2145"/>
      <c r="L2145"/>
      <c r="M2145" s="17"/>
      <c r="N2145"/>
      <c r="O2145"/>
      <c r="P2145" s="34"/>
    </row>
    <row r="2146" spans="1:16" x14ac:dyDescent="0.25">
      <c r="A2146" s="14"/>
      <c r="B2146"/>
      <c r="C2146" s="15"/>
      <c r="D2146"/>
      <c r="E2146"/>
      <c r="F2146" s="16"/>
      <c r="G2146"/>
      <c r="H2146"/>
      <c r="I2146" s="16"/>
      <c r="J2146"/>
      <c r="K2146"/>
      <c r="L2146"/>
      <c r="M2146" s="17"/>
      <c r="N2146"/>
      <c r="O2146"/>
      <c r="P2146" s="34"/>
    </row>
    <row r="2147" spans="1:16" x14ac:dyDescent="0.25">
      <c r="A2147" s="14"/>
      <c r="B2147"/>
      <c r="C2147" s="15"/>
      <c r="D2147"/>
      <c r="E2147"/>
      <c r="F2147" s="16"/>
      <c r="G2147"/>
      <c r="H2147"/>
      <c r="I2147" s="16"/>
      <c r="J2147"/>
      <c r="K2147"/>
      <c r="L2147"/>
      <c r="M2147" s="17"/>
      <c r="N2147"/>
      <c r="O2147"/>
      <c r="P2147" s="34"/>
    </row>
    <row r="2148" spans="1:16" x14ac:dyDescent="0.25">
      <c r="A2148" s="14"/>
      <c r="B2148"/>
      <c r="C2148" s="15"/>
      <c r="D2148"/>
      <c r="E2148"/>
      <c r="F2148" s="16"/>
      <c r="G2148"/>
      <c r="H2148"/>
      <c r="I2148" s="16"/>
      <c r="J2148"/>
      <c r="K2148"/>
      <c r="L2148"/>
      <c r="M2148" s="17"/>
      <c r="N2148"/>
      <c r="O2148"/>
      <c r="P2148" s="34"/>
    </row>
    <row r="2149" spans="1:16" x14ac:dyDescent="0.25">
      <c r="A2149" s="14"/>
      <c r="B2149"/>
      <c r="C2149" s="15"/>
      <c r="D2149"/>
      <c r="E2149"/>
      <c r="F2149" s="16"/>
      <c r="G2149"/>
      <c r="H2149"/>
      <c r="I2149" s="16"/>
      <c r="J2149"/>
      <c r="K2149"/>
      <c r="L2149"/>
      <c r="M2149" s="17"/>
      <c r="N2149"/>
      <c r="O2149"/>
      <c r="P2149" s="34"/>
    </row>
    <row r="2150" spans="1:16" x14ac:dyDescent="0.25">
      <c r="A2150" s="14"/>
      <c r="B2150"/>
      <c r="C2150" s="15"/>
      <c r="D2150"/>
      <c r="E2150"/>
      <c r="F2150" s="16"/>
      <c r="G2150"/>
      <c r="H2150"/>
      <c r="I2150" s="16"/>
      <c r="J2150"/>
      <c r="K2150"/>
      <c r="L2150"/>
      <c r="M2150" s="17"/>
      <c r="N2150"/>
      <c r="O2150"/>
      <c r="P2150" s="34"/>
    </row>
    <row r="2151" spans="1:16" x14ac:dyDescent="0.25">
      <c r="A2151" s="14"/>
      <c r="B2151"/>
      <c r="C2151" s="15"/>
      <c r="D2151"/>
      <c r="E2151"/>
      <c r="F2151" s="16"/>
      <c r="G2151"/>
      <c r="H2151"/>
      <c r="I2151" s="16"/>
      <c r="J2151"/>
      <c r="K2151"/>
      <c r="L2151"/>
      <c r="M2151" s="17"/>
      <c r="N2151"/>
      <c r="O2151"/>
      <c r="P2151" s="34"/>
    </row>
    <row r="2152" spans="1:16" x14ac:dyDescent="0.25">
      <c r="A2152" s="14"/>
      <c r="B2152"/>
      <c r="C2152" s="15"/>
      <c r="D2152"/>
      <c r="E2152"/>
      <c r="F2152" s="16"/>
      <c r="G2152"/>
      <c r="H2152"/>
      <c r="I2152" s="16"/>
      <c r="J2152"/>
      <c r="K2152"/>
      <c r="L2152"/>
      <c r="M2152" s="17"/>
      <c r="N2152"/>
      <c r="O2152"/>
      <c r="P2152" s="34"/>
    </row>
    <row r="2153" spans="1:16" x14ac:dyDescent="0.25">
      <c r="A2153" s="14"/>
      <c r="B2153"/>
      <c r="C2153" s="15"/>
      <c r="D2153"/>
      <c r="E2153"/>
      <c r="F2153" s="16"/>
      <c r="G2153"/>
      <c r="H2153"/>
      <c r="I2153" s="16"/>
      <c r="J2153"/>
      <c r="K2153"/>
      <c r="L2153"/>
      <c r="M2153" s="17"/>
      <c r="N2153"/>
      <c r="O2153"/>
      <c r="P2153" s="34"/>
    </row>
    <row r="2154" spans="1:16" x14ac:dyDescent="0.25">
      <c r="A2154" s="14"/>
      <c r="B2154"/>
      <c r="C2154" s="15"/>
      <c r="D2154"/>
      <c r="E2154"/>
      <c r="F2154" s="16"/>
      <c r="G2154"/>
      <c r="H2154"/>
      <c r="I2154" s="16"/>
      <c r="J2154"/>
      <c r="K2154"/>
      <c r="L2154"/>
      <c r="M2154" s="17"/>
      <c r="N2154"/>
      <c r="O2154"/>
      <c r="P2154" s="34"/>
    </row>
    <row r="2155" spans="1:16" x14ac:dyDescent="0.25">
      <c r="A2155" s="14"/>
      <c r="B2155"/>
      <c r="C2155" s="15"/>
      <c r="D2155"/>
      <c r="E2155"/>
      <c r="F2155" s="16"/>
      <c r="G2155"/>
      <c r="H2155"/>
      <c r="I2155" s="16"/>
      <c r="J2155"/>
      <c r="K2155"/>
      <c r="L2155"/>
      <c r="M2155" s="17"/>
      <c r="N2155"/>
      <c r="O2155"/>
      <c r="P2155" s="34"/>
    </row>
    <row r="2156" spans="1:16" x14ac:dyDescent="0.25">
      <c r="A2156" s="14"/>
      <c r="B2156"/>
      <c r="C2156" s="15"/>
      <c r="D2156"/>
      <c r="E2156"/>
      <c r="F2156" s="16"/>
      <c r="G2156"/>
      <c r="H2156"/>
      <c r="I2156" s="16"/>
      <c r="J2156"/>
      <c r="K2156"/>
      <c r="L2156"/>
      <c r="M2156" s="17"/>
      <c r="N2156"/>
      <c r="O2156"/>
      <c r="P2156" s="34"/>
    </row>
    <row r="2157" spans="1:16" x14ac:dyDescent="0.25">
      <c r="A2157" s="14"/>
      <c r="B2157"/>
      <c r="C2157" s="15"/>
      <c r="D2157"/>
      <c r="E2157"/>
      <c r="F2157" s="16"/>
      <c r="G2157"/>
      <c r="H2157"/>
      <c r="I2157" s="16"/>
      <c r="J2157"/>
      <c r="K2157"/>
      <c r="L2157"/>
      <c r="M2157" s="17"/>
      <c r="N2157"/>
      <c r="O2157"/>
      <c r="P2157" s="34"/>
    </row>
    <row r="2158" spans="1:16" x14ac:dyDescent="0.25">
      <c r="A2158" s="14"/>
      <c r="B2158"/>
      <c r="C2158" s="15"/>
      <c r="D2158"/>
      <c r="E2158"/>
      <c r="F2158" s="16"/>
      <c r="G2158"/>
      <c r="H2158"/>
      <c r="I2158" s="16"/>
      <c r="J2158"/>
      <c r="K2158"/>
      <c r="L2158"/>
      <c r="M2158" s="17"/>
      <c r="N2158"/>
      <c r="O2158"/>
      <c r="P2158" s="34"/>
    </row>
    <row r="2159" spans="1:16" x14ac:dyDescent="0.25">
      <c r="A2159" s="14"/>
      <c r="B2159"/>
      <c r="C2159" s="15"/>
      <c r="D2159"/>
      <c r="E2159"/>
      <c r="F2159" s="16"/>
      <c r="G2159"/>
      <c r="H2159"/>
      <c r="I2159" s="16"/>
      <c r="J2159"/>
      <c r="K2159"/>
      <c r="L2159"/>
      <c r="M2159" s="17"/>
      <c r="N2159"/>
      <c r="O2159"/>
      <c r="P2159" s="34"/>
    </row>
    <row r="2160" spans="1:16" x14ac:dyDescent="0.25">
      <c r="A2160" s="14"/>
      <c r="B2160"/>
      <c r="C2160" s="15"/>
      <c r="D2160"/>
      <c r="E2160"/>
      <c r="F2160" s="16"/>
      <c r="G2160"/>
      <c r="H2160"/>
      <c r="I2160" s="16"/>
      <c r="J2160"/>
      <c r="K2160"/>
      <c r="L2160"/>
      <c r="M2160" s="17"/>
      <c r="N2160"/>
      <c r="O2160"/>
      <c r="P2160" s="34"/>
    </row>
    <row r="2161" spans="1:16" x14ac:dyDescent="0.25">
      <c r="A2161" s="14"/>
      <c r="B2161"/>
      <c r="C2161" s="15"/>
      <c r="D2161"/>
      <c r="E2161"/>
      <c r="F2161" s="16"/>
      <c r="G2161"/>
      <c r="H2161"/>
      <c r="I2161" s="16"/>
      <c r="J2161"/>
      <c r="K2161"/>
      <c r="L2161"/>
      <c r="M2161" s="17"/>
      <c r="N2161"/>
      <c r="O2161"/>
      <c r="P2161" s="34"/>
    </row>
    <row r="2162" spans="1:16" x14ac:dyDescent="0.25">
      <c r="A2162" s="14"/>
      <c r="B2162"/>
      <c r="C2162" s="15"/>
      <c r="D2162"/>
      <c r="E2162"/>
      <c r="F2162" s="16"/>
      <c r="G2162"/>
      <c r="H2162"/>
      <c r="I2162" s="16"/>
      <c r="J2162"/>
      <c r="K2162"/>
      <c r="L2162"/>
      <c r="M2162" s="17"/>
      <c r="N2162"/>
      <c r="O2162"/>
      <c r="P2162" s="34"/>
    </row>
    <row r="2163" spans="1:16" x14ac:dyDescent="0.25">
      <c r="A2163" s="14"/>
      <c r="B2163"/>
      <c r="C2163" s="15"/>
      <c r="D2163"/>
      <c r="E2163"/>
      <c r="F2163" s="16"/>
      <c r="G2163"/>
      <c r="H2163"/>
      <c r="I2163" s="16"/>
      <c r="J2163"/>
      <c r="K2163"/>
      <c r="L2163"/>
      <c r="M2163" s="17"/>
      <c r="N2163"/>
      <c r="O2163"/>
      <c r="P2163" s="34"/>
    </row>
    <row r="2164" spans="1:16" x14ac:dyDescent="0.25">
      <c r="A2164" s="14"/>
      <c r="B2164"/>
      <c r="C2164" s="15"/>
      <c r="D2164"/>
      <c r="E2164"/>
      <c r="F2164" s="16"/>
      <c r="G2164"/>
      <c r="H2164"/>
      <c r="I2164" s="16"/>
      <c r="J2164"/>
      <c r="K2164"/>
      <c r="L2164"/>
      <c r="M2164" s="17"/>
      <c r="N2164"/>
      <c r="O2164"/>
      <c r="P2164" s="34"/>
    </row>
    <row r="2165" spans="1:16" x14ac:dyDescent="0.25">
      <c r="A2165" s="14"/>
      <c r="B2165"/>
      <c r="C2165" s="15"/>
      <c r="D2165"/>
      <c r="E2165"/>
      <c r="F2165" s="16"/>
      <c r="G2165"/>
      <c r="H2165"/>
      <c r="I2165" s="16"/>
      <c r="J2165"/>
      <c r="K2165"/>
      <c r="L2165"/>
      <c r="M2165" s="17"/>
      <c r="N2165"/>
      <c r="O2165"/>
      <c r="P2165" s="34"/>
    </row>
    <row r="2166" spans="1:16" x14ac:dyDescent="0.25">
      <c r="A2166" s="14"/>
      <c r="B2166"/>
      <c r="C2166" s="15"/>
      <c r="D2166"/>
      <c r="E2166"/>
      <c r="F2166" s="16"/>
      <c r="G2166"/>
      <c r="H2166"/>
      <c r="I2166" s="16"/>
      <c r="J2166"/>
      <c r="K2166"/>
      <c r="L2166"/>
      <c r="M2166" s="17"/>
      <c r="N2166"/>
      <c r="O2166"/>
      <c r="P2166" s="34"/>
    </row>
    <row r="2167" spans="1:16" x14ac:dyDescent="0.25">
      <c r="A2167" s="14"/>
      <c r="B2167"/>
      <c r="C2167" s="15"/>
      <c r="D2167"/>
      <c r="E2167"/>
      <c r="F2167" s="16"/>
      <c r="G2167"/>
      <c r="H2167"/>
      <c r="I2167" s="16"/>
      <c r="J2167"/>
      <c r="K2167"/>
      <c r="L2167"/>
      <c r="M2167" s="17"/>
      <c r="N2167"/>
      <c r="O2167"/>
      <c r="P2167" s="34"/>
    </row>
    <row r="2168" spans="1:16" x14ac:dyDescent="0.25">
      <c r="A2168" s="14"/>
      <c r="B2168"/>
      <c r="C2168" s="15"/>
      <c r="D2168"/>
      <c r="E2168"/>
      <c r="F2168" s="16"/>
      <c r="G2168"/>
      <c r="H2168"/>
      <c r="I2168" s="16"/>
      <c r="J2168"/>
      <c r="K2168"/>
      <c r="L2168"/>
      <c r="M2168" s="17"/>
      <c r="N2168"/>
      <c r="O2168"/>
      <c r="P2168" s="34"/>
    </row>
    <row r="2169" spans="1:16" x14ac:dyDescent="0.25">
      <c r="A2169" s="14"/>
      <c r="B2169"/>
      <c r="C2169" s="15"/>
      <c r="D2169"/>
      <c r="E2169"/>
      <c r="F2169" s="16"/>
      <c r="G2169"/>
      <c r="H2169"/>
      <c r="I2169" s="16"/>
      <c r="J2169"/>
      <c r="K2169"/>
      <c r="L2169"/>
      <c r="M2169" s="17"/>
      <c r="N2169"/>
      <c r="O2169"/>
      <c r="P2169" s="34"/>
    </row>
    <row r="2170" spans="1:16" x14ac:dyDescent="0.25">
      <c r="A2170" s="14"/>
      <c r="B2170"/>
      <c r="C2170" s="15"/>
      <c r="D2170"/>
      <c r="E2170"/>
      <c r="F2170" s="16"/>
      <c r="G2170"/>
      <c r="H2170"/>
      <c r="I2170" s="16"/>
      <c r="J2170"/>
      <c r="K2170"/>
      <c r="L2170"/>
      <c r="M2170" s="17"/>
      <c r="N2170"/>
      <c r="O2170"/>
      <c r="P2170" s="34"/>
    </row>
    <row r="2171" spans="1:16" x14ac:dyDescent="0.25">
      <c r="A2171" s="14"/>
      <c r="B2171"/>
      <c r="C2171" s="15"/>
      <c r="D2171"/>
      <c r="E2171"/>
      <c r="F2171" s="16"/>
      <c r="G2171"/>
      <c r="H2171"/>
      <c r="I2171" s="16"/>
      <c r="J2171"/>
      <c r="K2171"/>
      <c r="L2171"/>
      <c r="M2171" s="17"/>
      <c r="N2171"/>
      <c r="O2171"/>
      <c r="P2171" s="34"/>
    </row>
    <row r="2172" spans="1:16" x14ac:dyDescent="0.25">
      <c r="A2172" s="14"/>
      <c r="B2172"/>
      <c r="C2172" s="15"/>
      <c r="D2172"/>
      <c r="E2172"/>
      <c r="F2172" s="16"/>
      <c r="G2172"/>
      <c r="H2172"/>
      <c r="I2172" s="16"/>
      <c r="J2172"/>
      <c r="K2172"/>
      <c r="L2172"/>
      <c r="M2172" s="17"/>
      <c r="N2172"/>
      <c r="O2172"/>
      <c r="P2172" s="34"/>
    </row>
    <row r="2173" spans="1:16" x14ac:dyDescent="0.25">
      <c r="A2173" s="14"/>
      <c r="B2173"/>
      <c r="C2173" s="15"/>
      <c r="D2173"/>
      <c r="E2173"/>
      <c r="F2173" s="16"/>
      <c r="G2173"/>
      <c r="H2173"/>
      <c r="I2173" s="16"/>
      <c r="J2173"/>
      <c r="K2173"/>
      <c r="L2173"/>
      <c r="M2173" s="17"/>
      <c r="N2173"/>
      <c r="O2173"/>
      <c r="P2173" s="34"/>
    </row>
    <row r="2174" spans="1:16" x14ac:dyDescent="0.25">
      <c r="A2174" s="14"/>
      <c r="B2174"/>
      <c r="C2174" s="15"/>
      <c r="D2174"/>
      <c r="E2174"/>
      <c r="F2174" s="16"/>
      <c r="G2174"/>
      <c r="H2174"/>
      <c r="I2174" s="16"/>
      <c r="J2174"/>
      <c r="K2174"/>
      <c r="L2174"/>
      <c r="M2174" s="17"/>
      <c r="N2174"/>
      <c r="O2174"/>
      <c r="P2174" s="34"/>
    </row>
    <row r="2175" spans="1:16" x14ac:dyDescent="0.25">
      <c r="A2175" s="14"/>
      <c r="B2175"/>
      <c r="C2175" s="15"/>
      <c r="D2175"/>
      <c r="E2175"/>
      <c r="F2175" s="16"/>
      <c r="G2175"/>
      <c r="H2175"/>
      <c r="I2175" s="16"/>
      <c r="J2175"/>
      <c r="K2175"/>
      <c r="L2175"/>
      <c r="M2175" s="17"/>
      <c r="N2175"/>
      <c r="O2175"/>
      <c r="P2175" s="34"/>
    </row>
    <row r="2176" spans="1:16" x14ac:dyDescent="0.25">
      <c r="A2176" s="14"/>
      <c r="B2176"/>
      <c r="C2176" s="15"/>
      <c r="D2176"/>
      <c r="E2176"/>
      <c r="F2176" s="16"/>
      <c r="G2176"/>
      <c r="H2176"/>
      <c r="I2176" s="16"/>
      <c r="J2176"/>
      <c r="K2176"/>
      <c r="L2176"/>
      <c r="M2176" s="17"/>
      <c r="N2176"/>
      <c r="O2176"/>
      <c r="P2176" s="34"/>
    </row>
    <row r="2177" spans="1:16" x14ac:dyDescent="0.25">
      <c r="A2177" s="14"/>
      <c r="B2177"/>
      <c r="C2177" s="15"/>
      <c r="D2177"/>
      <c r="E2177"/>
      <c r="F2177" s="16"/>
      <c r="G2177"/>
      <c r="H2177"/>
      <c r="I2177" s="16"/>
      <c r="J2177"/>
      <c r="K2177"/>
      <c r="L2177"/>
      <c r="M2177" s="17"/>
      <c r="N2177"/>
      <c r="O2177"/>
      <c r="P2177" s="34"/>
    </row>
    <row r="2178" spans="1:16" x14ac:dyDescent="0.25">
      <c r="A2178" s="14"/>
      <c r="B2178"/>
      <c r="C2178" s="15"/>
      <c r="D2178"/>
      <c r="E2178"/>
      <c r="F2178" s="16"/>
      <c r="G2178"/>
      <c r="H2178"/>
      <c r="I2178" s="16"/>
      <c r="J2178"/>
      <c r="K2178"/>
      <c r="L2178"/>
      <c r="M2178" s="17"/>
      <c r="N2178"/>
      <c r="O2178"/>
      <c r="P2178" s="34"/>
    </row>
    <row r="2179" spans="1:16" x14ac:dyDescent="0.25">
      <c r="A2179" s="14"/>
      <c r="B2179"/>
      <c r="C2179" s="15"/>
      <c r="D2179"/>
      <c r="E2179"/>
      <c r="F2179" s="16"/>
      <c r="G2179"/>
      <c r="H2179"/>
      <c r="I2179" s="16"/>
      <c r="J2179"/>
      <c r="K2179"/>
      <c r="L2179"/>
      <c r="M2179" s="17"/>
      <c r="N2179"/>
      <c r="O2179"/>
      <c r="P2179" s="34"/>
    </row>
    <row r="2180" spans="1:16" x14ac:dyDescent="0.25">
      <c r="A2180" s="14"/>
      <c r="B2180"/>
      <c r="C2180" s="15"/>
      <c r="D2180"/>
      <c r="E2180"/>
      <c r="F2180" s="16"/>
      <c r="G2180"/>
      <c r="H2180"/>
      <c r="I2180" s="16"/>
      <c r="J2180"/>
      <c r="K2180"/>
      <c r="L2180"/>
      <c r="M2180" s="17"/>
      <c r="N2180"/>
      <c r="O2180"/>
      <c r="P2180" s="34"/>
    </row>
    <row r="2181" spans="1:16" x14ac:dyDescent="0.25">
      <c r="A2181" s="14"/>
      <c r="B2181"/>
      <c r="C2181" s="15"/>
      <c r="D2181"/>
      <c r="E2181"/>
      <c r="F2181" s="16"/>
      <c r="G2181"/>
      <c r="H2181"/>
      <c r="I2181" s="16"/>
      <c r="J2181"/>
      <c r="K2181"/>
      <c r="L2181"/>
      <c r="M2181" s="17"/>
      <c r="N2181"/>
      <c r="O2181"/>
      <c r="P2181" s="34"/>
    </row>
    <row r="2182" spans="1:16" x14ac:dyDescent="0.25">
      <c r="A2182" s="14"/>
      <c r="B2182"/>
      <c r="C2182" s="15"/>
      <c r="D2182"/>
      <c r="E2182"/>
      <c r="F2182" s="16"/>
      <c r="G2182"/>
      <c r="H2182"/>
      <c r="I2182" s="16"/>
      <c r="J2182"/>
      <c r="K2182"/>
      <c r="L2182"/>
      <c r="M2182" s="17"/>
      <c r="N2182"/>
      <c r="O2182"/>
      <c r="P2182" s="34"/>
    </row>
    <row r="2183" spans="1:16" x14ac:dyDescent="0.25">
      <c r="A2183" s="14"/>
      <c r="B2183"/>
      <c r="C2183" s="15"/>
      <c r="D2183"/>
      <c r="E2183"/>
      <c r="F2183" s="16"/>
      <c r="G2183"/>
      <c r="H2183"/>
      <c r="I2183" s="16"/>
      <c r="J2183"/>
      <c r="K2183"/>
      <c r="L2183"/>
      <c r="M2183" s="17"/>
      <c r="N2183"/>
      <c r="O2183"/>
      <c r="P2183" s="34"/>
    </row>
    <row r="2184" spans="1:16" x14ac:dyDescent="0.25">
      <c r="A2184" s="14"/>
      <c r="B2184"/>
      <c r="C2184" s="15"/>
      <c r="D2184"/>
      <c r="E2184"/>
      <c r="F2184" s="16"/>
      <c r="G2184"/>
      <c r="H2184"/>
      <c r="I2184" s="16"/>
      <c r="J2184"/>
      <c r="K2184"/>
      <c r="L2184"/>
      <c r="M2184" s="17"/>
      <c r="N2184"/>
      <c r="O2184"/>
      <c r="P2184" s="34"/>
    </row>
    <row r="2185" spans="1:16" x14ac:dyDescent="0.25">
      <c r="A2185" s="14"/>
      <c r="B2185"/>
      <c r="C2185" s="15"/>
      <c r="D2185"/>
      <c r="E2185"/>
      <c r="F2185" s="16"/>
      <c r="G2185"/>
      <c r="H2185"/>
      <c r="I2185" s="16"/>
      <c r="J2185"/>
      <c r="K2185"/>
      <c r="L2185"/>
      <c r="M2185" s="17"/>
      <c r="N2185"/>
      <c r="O2185"/>
      <c r="P2185" s="34"/>
    </row>
    <row r="2186" spans="1:16" x14ac:dyDescent="0.25">
      <c r="A2186" s="14"/>
      <c r="B2186"/>
      <c r="C2186" s="15"/>
      <c r="D2186"/>
      <c r="E2186"/>
      <c r="F2186" s="16"/>
      <c r="G2186"/>
      <c r="H2186"/>
      <c r="I2186" s="16"/>
      <c r="J2186"/>
      <c r="K2186"/>
      <c r="L2186"/>
      <c r="M2186" s="17"/>
      <c r="N2186"/>
      <c r="O2186"/>
      <c r="P2186" s="34"/>
    </row>
    <row r="2187" spans="1:16" x14ac:dyDescent="0.25">
      <c r="A2187" s="14"/>
      <c r="B2187"/>
      <c r="C2187" s="15"/>
      <c r="D2187"/>
      <c r="E2187"/>
      <c r="F2187" s="16"/>
      <c r="G2187"/>
      <c r="H2187"/>
      <c r="I2187" s="16"/>
      <c r="J2187"/>
      <c r="K2187"/>
      <c r="L2187"/>
      <c r="M2187" s="17"/>
      <c r="N2187"/>
      <c r="O2187"/>
      <c r="P2187" s="34"/>
    </row>
    <row r="2188" spans="1:16" x14ac:dyDescent="0.25">
      <c r="A2188" s="14"/>
      <c r="B2188"/>
      <c r="C2188" s="15"/>
      <c r="D2188"/>
      <c r="E2188"/>
      <c r="F2188" s="16"/>
      <c r="G2188"/>
      <c r="H2188"/>
      <c r="I2188" s="16"/>
      <c r="J2188"/>
      <c r="K2188"/>
      <c r="L2188"/>
      <c r="M2188" s="17"/>
      <c r="N2188"/>
      <c r="O2188"/>
      <c r="P2188" s="34"/>
    </row>
    <row r="2189" spans="1:16" x14ac:dyDescent="0.25">
      <c r="A2189" s="14"/>
      <c r="B2189"/>
      <c r="C2189" s="15"/>
      <c r="D2189"/>
      <c r="E2189"/>
      <c r="F2189" s="16"/>
      <c r="G2189"/>
      <c r="H2189"/>
      <c r="I2189" s="16"/>
      <c r="J2189"/>
      <c r="K2189"/>
      <c r="L2189"/>
      <c r="M2189" s="17"/>
      <c r="N2189"/>
      <c r="O2189"/>
      <c r="P2189" s="34"/>
    </row>
    <row r="2190" spans="1:16" x14ac:dyDescent="0.25">
      <c r="A2190" s="14"/>
      <c r="B2190"/>
      <c r="C2190" s="15"/>
      <c r="D2190"/>
      <c r="E2190"/>
      <c r="F2190" s="16"/>
      <c r="G2190"/>
      <c r="H2190"/>
      <c r="I2190" s="16"/>
      <c r="J2190"/>
      <c r="K2190"/>
      <c r="L2190"/>
      <c r="M2190" s="17"/>
      <c r="N2190"/>
      <c r="O2190"/>
      <c r="P2190" s="34"/>
    </row>
    <row r="2191" spans="1:16" x14ac:dyDescent="0.25">
      <c r="A2191" s="14"/>
      <c r="B2191"/>
      <c r="C2191" s="15"/>
      <c r="D2191"/>
      <c r="E2191"/>
      <c r="F2191" s="16"/>
      <c r="G2191"/>
      <c r="H2191"/>
      <c r="I2191" s="16"/>
      <c r="J2191"/>
      <c r="K2191"/>
      <c r="L2191"/>
      <c r="M2191" s="17"/>
      <c r="N2191"/>
      <c r="O2191"/>
      <c r="P2191" s="34"/>
    </row>
    <row r="2192" spans="1:16" x14ac:dyDescent="0.25">
      <c r="A2192" s="14"/>
      <c r="B2192"/>
      <c r="C2192" s="15"/>
      <c r="D2192"/>
      <c r="E2192"/>
      <c r="F2192" s="16"/>
      <c r="G2192"/>
      <c r="H2192"/>
      <c r="I2192" s="16"/>
      <c r="J2192"/>
      <c r="K2192"/>
      <c r="L2192"/>
      <c r="M2192" s="17"/>
      <c r="N2192"/>
      <c r="O2192"/>
      <c r="P2192" s="34"/>
    </row>
    <row r="2193" spans="1:16" x14ac:dyDescent="0.25">
      <c r="A2193" s="14"/>
      <c r="B2193"/>
      <c r="C2193" s="15"/>
      <c r="D2193"/>
      <c r="E2193"/>
      <c r="F2193" s="16"/>
      <c r="G2193"/>
      <c r="H2193"/>
      <c r="I2193" s="16"/>
      <c r="J2193"/>
      <c r="K2193"/>
      <c r="L2193"/>
      <c r="M2193" s="17"/>
      <c r="N2193"/>
      <c r="O2193"/>
      <c r="P2193" s="34"/>
    </row>
    <row r="2194" spans="1:16" x14ac:dyDescent="0.25">
      <c r="A2194" s="14"/>
      <c r="B2194"/>
      <c r="C2194" s="15"/>
      <c r="D2194"/>
      <c r="E2194"/>
      <c r="F2194" s="16"/>
      <c r="G2194"/>
      <c r="H2194"/>
      <c r="I2194" s="16"/>
      <c r="J2194"/>
      <c r="K2194"/>
      <c r="L2194"/>
      <c r="M2194" s="17"/>
      <c r="N2194"/>
      <c r="O2194"/>
      <c r="P2194" s="34"/>
    </row>
    <row r="2195" spans="1:16" x14ac:dyDescent="0.25">
      <c r="A2195" s="14"/>
      <c r="B2195"/>
      <c r="C2195" s="15"/>
      <c r="D2195"/>
      <c r="E2195"/>
      <c r="F2195" s="16"/>
      <c r="G2195"/>
      <c r="H2195"/>
      <c r="I2195" s="16"/>
      <c r="J2195"/>
      <c r="K2195"/>
      <c r="L2195"/>
      <c r="M2195" s="17"/>
      <c r="N2195"/>
      <c r="O2195"/>
      <c r="P2195" s="34"/>
    </row>
    <row r="2196" spans="1:16" x14ac:dyDescent="0.25">
      <c r="A2196" s="14"/>
      <c r="B2196"/>
      <c r="C2196" s="15"/>
      <c r="D2196"/>
      <c r="E2196"/>
      <c r="F2196" s="16"/>
      <c r="G2196"/>
      <c r="H2196"/>
      <c r="I2196" s="16"/>
      <c r="J2196"/>
      <c r="K2196"/>
      <c r="L2196"/>
      <c r="M2196" s="17"/>
      <c r="N2196"/>
      <c r="O2196"/>
      <c r="P2196" s="34"/>
    </row>
    <row r="2197" spans="1:16" x14ac:dyDescent="0.25">
      <c r="A2197" s="14"/>
      <c r="B2197"/>
      <c r="C2197" s="15"/>
      <c r="D2197"/>
      <c r="E2197"/>
      <c r="F2197" s="16"/>
      <c r="G2197"/>
      <c r="H2197"/>
      <c r="I2197" s="16"/>
      <c r="J2197"/>
      <c r="K2197"/>
      <c r="L2197"/>
      <c r="M2197" s="17"/>
      <c r="N2197"/>
      <c r="O2197"/>
      <c r="P2197" s="34"/>
    </row>
    <row r="2198" spans="1:16" x14ac:dyDescent="0.25">
      <c r="A2198" s="14"/>
      <c r="B2198"/>
      <c r="C2198" s="15"/>
      <c r="D2198"/>
      <c r="E2198"/>
      <c r="F2198" s="16"/>
      <c r="G2198"/>
      <c r="H2198"/>
      <c r="I2198" s="16"/>
      <c r="J2198"/>
      <c r="K2198"/>
      <c r="L2198"/>
      <c r="M2198" s="17"/>
      <c r="N2198"/>
      <c r="O2198"/>
      <c r="P2198" s="34"/>
    </row>
    <row r="2199" spans="1:16" x14ac:dyDescent="0.25">
      <c r="A2199" s="14"/>
      <c r="B2199"/>
      <c r="C2199" s="15"/>
      <c r="D2199"/>
      <c r="E2199"/>
      <c r="F2199" s="16"/>
      <c r="G2199"/>
      <c r="H2199"/>
      <c r="I2199" s="16"/>
      <c r="J2199"/>
      <c r="K2199"/>
      <c r="L2199"/>
      <c r="M2199" s="17"/>
      <c r="N2199"/>
      <c r="O2199"/>
      <c r="P2199" s="34"/>
    </row>
    <row r="2200" spans="1:16" x14ac:dyDescent="0.25">
      <c r="A2200" s="14"/>
      <c r="B2200"/>
      <c r="C2200" s="15"/>
      <c r="D2200"/>
      <c r="E2200"/>
      <c r="F2200" s="16"/>
      <c r="G2200"/>
      <c r="H2200"/>
      <c r="I2200" s="16"/>
      <c r="J2200"/>
      <c r="K2200"/>
      <c r="L2200"/>
      <c r="M2200" s="17"/>
      <c r="N2200"/>
      <c r="O2200"/>
      <c r="P2200" s="34"/>
    </row>
    <row r="2201" spans="1:16" x14ac:dyDescent="0.25">
      <c r="A2201" s="14"/>
      <c r="B2201"/>
      <c r="C2201" s="15"/>
      <c r="D2201"/>
      <c r="E2201"/>
      <c r="F2201" s="16"/>
      <c r="G2201"/>
      <c r="H2201"/>
      <c r="I2201" s="16"/>
      <c r="J2201"/>
      <c r="K2201"/>
      <c r="L2201"/>
      <c r="M2201" s="17"/>
      <c r="N2201"/>
      <c r="O2201"/>
      <c r="P2201" s="34"/>
    </row>
    <row r="2202" spans="1:16" x14ac:dyDescent="0.25">
      <c r="A2202" s="14"/>
      <c r="B2202"/>
      <c r="C2202" s="15"/>
      <c r="D2202"/>
      <c r="E2202"/>
      <c r="F2202" s="16"/>
      <c r="G2202"/>
      <c r="H2202"/>
      <c r="I2202" s="16"/>
      <c r="J2202"/>
      <c r="K2202"/>
      <c r="L2202"/>
      <c r="M2202" s="17"/>
      <c r="N2202"/>
      <c r="O2202"/>
      <c r="P2202" s="34"/>
    </row>
    <row r="2203" spans="1:16" x14ac:dyDescent="0.25">
      <c r="A2203" s="14"/>
      <c r="B2203"/>
      <c r="C2203" s="15"/>
      <c r="D2203"/>
      <c r="E2203"/>
      <c r="F2203" s="16"/>
      <c r="G2203"/>
      <c r="H2203"/>
      <c r="I2203" s="16"/>
      <c r="J2203"/>
      <c r="K2203"/>
      <c r="L2203"/>
      <c r="M2203" s="17"/>
      <c r="N2203"/>
      <c r="O2203"/>
      <c r="P2203" s="34"/>
    </row>
    <row r="2204" spans="1:16" x14ac:dyDescent="0.25">
      <c r="A2204" s="14"/>
      <c r="B2204"/>
      <c r="C2204" s="15"/>
      <c r="D2204"/>
      <c r="E2204"/>
      <c r="F2204" s="16"/>
      <c r="G2204"/>
      <c r="H2204"/>
      <c r="I2204" s="16"/>
      <c r="J2204"/>
      <c r="K2204"/>
      <c r="L2204"/>
      <c r="M2204" s="17"/>
      <c r="N2204"/>
      <c r="O2204"/>
      <c r="P2204" s="34"/>
    </row>
    <row r="2205" spans="1:16" x14ac:dyDescent="0.25">
      <c r="A2205" s="14"/>
      <c r="B2205"/>
      <c r="C2205" s="15"/>
      <c r="D2205"/>
      <c r="E2205"/>
      <c r="F2205" s="16"/>
      <c r="G2205"/>
      <c r="H2205"/>
      <c r="I2205" s="16"/>
      <c r="J2205"/>
      <c r="K2205"/>
      <c r="L2205"/>
      <c r="M2205" s="17"/>
      <c r="N2205"/>
      <c r="O2205"/>
      <c r="P2205" s="34"/>
    </row>
    <row r="2206" spans="1:16" x14ac:dyDescent="0.25">
      <c r="A2206" s="14"/>
      <c r="B2206"/>
      <c r="C2206" s="15"/>
      <c r="D2206"/>
      <c r="E2206"/>
      <c r="F2206" s="16"/>
      <c r="G2206"/>
      <c r="H2206"/>
      <c r="I2206" s="16"/>
      <c r="J2206"/>
      <c r="K2206"/>
      <c r="L2206"/>
      <c r="M2206" s="17"/>
      <c r="N2206"/>
      <c r="O2206"/>
      <c r="P2206" s="34"/>
    </row>
    <row r="2207" spans="1:16" x14ac:dyDescent="0.25">
      <c r="A2207" s="14"/>
      <c r="B2207"/>
      <c r="C2207" s="15"/>
      <c r="D2207"/>
      <c r="E2207"/>
      <c r="F2207" s="16"/>
      <c r="G2207"/>
      <c r="H2207"/>
      <c r="I2207" s="16"/>
      <c r="J2207"/>
      <c r="K2207"/>
      <c r="L2207"/>
      <c r="M2207" s="17"/>
      <c r="N2207"/>
      <c r="O2207"/>
      <c r="P2207" s="34"/>
    </row>
    <row r="2208" spans="1:16" x14ac:dyDescent="0.25">
      <c r="A2208" s="14"/>
      <c r="B2208"/>
      <c r="C2208" s="15"/>
      <c r="D2208"/>
      <c r="E2208"/>
      <c r="F2208" s="16"/>
      <c r="G2208"/>
      <c r="H2208"/>
      <c r="I2208" s="16"/>
      <c r="J2208"/>
      <c r="K2208"/>
      <c r="L2208"/>
      <c r="M2208" s="17"/>
      <c r="N2208"/>
      <c r="O2208"/>
      <c r="P2208" s="34"/>
    </row>
    <row r="2209" spans="1:16" x14ac:dyDescent="0.25">
      <c r="A2209" s="14"/>
      <c r="B2209"/>
      <c r="C2209" s="15"/>
      <c r="D2209"/>
      <c r="E2209"/>
      <c r="F2209" s="16"/>
      <c r="G2209"/>
      <c r="H2209"/>
      <c r="I2209" s="16"/>
      <c r="J2209"/>
      <c r="K2209"/>
      <c r="L2209"/>
      <c r="M2209" s="17"/>
      <c r="N2209"/>
      <c r="O2209"/>
      <c r="P2209" s="34"/>
    </row>
    <row r="2210" spans="1:16" x14ac:dyDescent="0.25">
      <c r="A2210" s="14"/>
      <c r="B2210"/>
      <c r="C2210" s="15"/>
      <c r="D2210"/>
      <c r="E2210"/>
      <c r="F2210" s="16"/>
      <c r="G2210"/>
      <c r="H2210"/>
      <c r="I2210" s="16"/>
      <c r="J2210"/>
      <c r="K2210"/>
      <c r="L2210"/>
      <c r="M2210" s="17"/>
      <c r="N2210"/>
      <c r="O2210"/>
      <c r="P2210" s="34"/>
    </row>
    <row r="2211" spans="1:16" x14ac:dyDescent="0.25">
      <c r="A2211" s="14"/>
      <c r="B2211"/>
      <c r="C2211" s="15"/>
      <c r="D2211"/>
      <c r="E2211"/>
      <c r="F2211" s="16"/>
      <c r="G2211"/>
      <c r="H2211"/>
      <c r="I2211" s="16"/>
      <c r="J2211"/>
      <c r="K2211"/>
      <c r="L2211"/>
      <c r="M2211" s="17"/>
      <c r="N2211"/>
      <c r="O2211"/>
      <c r="P2211" s="34"/>
    </row>
    <row r="2212" spans="1:16" x14ac:dyDescent="0.25">
      <c r="A2212" s="14"/>
      <c r="B2212"/>
      <c r="C2212" s="15"/>
      <c r="D2212"/>
      <c r="E2212"/>
      <c r="F2212" s="16"/>
      <c r="G2212"/>
      <c r="H2212"/>
      <c r="I2212" s="16"/>
      <c r="J2212"/>
      <c r="K2212"/>
      <c r="L2212"/>
      <c r="M2212" s="17"/>
      <c r="N2212"/>
      <c r="O2212"/>
      <c r="P2212" s="34"/>
    </row>
    <row r="2213" spans="1:16" x14ac:dyDescent="0.25">
      <c r="A2213" s="14"/>
      <c r="B2213"/>
      <c r="C2213" s="15"/>
      <c r="D2213"/>
      <c r="E2213"/>
      <c r="F2213" s="16"/>
      <c r="G2213"/>
      <c r="H2213"/>
      <c r="I2213" s="16"/>
      <c r="J2213"/>
      <c r="K2213"/>
      <c r="L2213"/>
      <c r="M2213" s="17"/>
      <c r="N2213"/>
      <c r="O2213"/>
      <c r="P2213" s="34"/>
    </row>
    <row r="2214" spans="1:16" x14ac:dyDescent="0.25">
      <c r="A2214" s="14"/>
      <c r="B2214"/>
      <c r="C2214" s="15"/>
      <c r="D2214"/>
      <c r="E2214"/>
      <c r="F2214" s="16"/>
      <c r="G2214"/>
      <c r="H2214"/>
      <c r="I2214" s="16"/>
      <c r="J2214"/>
      <c r="K2214"/>
      <c r="L2214"/>
      <c r="M2214" s="17"/>
      <c r="N2214"/>
      <c r="O2214"/>
      <c r="P2214" s="34"/>
    </row>
    <row r="2215" spans="1:16" x14ac:dyDescent="0.25">
      <c r="A2215" s="14"/>
      <c r="B2215"/>
      <c r="C2215" s="15"/>
      <c r="D2215"/>
      <c r="E2215"/>
      <c r="F2215" s="16"/>
      <c r="G2215"/>
      <c r="H2215"/>
      <c r="I2215" s="16"/>
      <c r="J2215"/>
      <c r="K2215"/>
      <c r="L2215"/>
      <c r="M2215" s="17"/>
      <c r="N2215"/>
      <c r="O2215"/>
      <c r="P2215" s="34"/>
    </row>
    <row r="2216" spans="1:16" x14ac:dyDescent="0.25">
      <c r="A2216" s="14"/>
      <c r="B2216"/>
      <c r="C2216" s="15"/>
      <c r="D2216"/>
      <c r="E2216"/>
      <c r="F2216" s="16"/>
      <c r="G2216"/>
      <c r="H2216"/>
      <c r="I2216" s="16"/>
      <c r="J2216"/>
      <c r="K2216"/>
      <c r="L2216"/>
      <c r="M2216" s="17"/>
      <c r="N2216"/>
      <c r="O2216"/>
      <c r="P2216" s="34"/>
    </row>
    <row r="2217" spans="1:16" x14ac:dyDescent="0.25">
      <c r="A2217" s="14"/>
      <c r="B2217"/>
      <c r="C2217" s="15"/>
      <c r="D2217"/>
      <c r="E2217"/>
      <c r="F2217" s="16"/>
      <c r="G2217"/>
      <c r="H2217"/>
      <c r="I2217" s="16"/>
      <c r="J2217"/>
      <c r="K2217"/>
      <c r="L2217"/>
      <c r="M2217" s="17"/>
      <c r="N2217"/>
      <c r="O2217"/>
      <c r="P2217" s="34"/>
    </row>
    <row r="2218" spans="1:16" x14ac:dyDescent="0.25">
      <c r="A2218" s="14"/>
      <c r="B2218"/>
      <c r="C2218" s="15"/>
      <c r="D2218"/>
      <c r="E2218"/>
      <c r="F2218" s="16"/>
      <c r="G2218"/>
      <c r="H2218"/>
      <c r="I2218" s="16"/>
      <c r="J2218"/>
      <c r="K2218"/>
      <c r="L2218"/>
      <c r="M2218" s="17"/>
      <c r="N2218"/>
      <c r="O2218"/>
      <c r="P2218" s="34"/>
    </row>
    <row r="2219" spans="1:16" x14ac:dyDescent="0.25">
      <c r="A2219" s="14"/>
      <c r="B2219"/>
      <c r="C2219" s="15"/>
      <c r="D2219"/>
      <c r="E2219"/>
      <c r="F2219" s="16"/>
      <c r="G2219"/>
      <c r="H2219"/>
      <c r="I2219" s="16"/>
      <c r="J2219"/>
      <c r="K2219"/>
      <c r="L2219"/>
      <c r="M2219" s="17"/>
      <c r="N2219"/>
      <c r="O2219"/>
      <c r="P2219" s="34"/>
    </row>
    <row r="2220" spans="1:16" x14ac:dyDescent="0.25">
      <c r="A2220" s="14"/>
      <c r="B2220"/>
      <c r="C2220" s="15"/>
      <c r="D2220"/>
      <c r="E2220"/>
      <c r="F2220" s="16"/>
      <c r="G2220"/>
      <c r="H2220"/>
      <c r="I2220" s="16"/>
      <c r="J2220"/>
      <c r="K2220"/>
      <c r="L2220"/>
      <c r="M2220" s="17"/>
      <c r="N2220"/>
      <c r="O2220"/>
      <c r="P2220" s="34"/>
    </row>
    <row r="2221" spans="1:16" x14ac:dyDescent="0.25">
      <c r="A2221" s="14"/>
      <c r="B2221"/>
      <c r="C2221" s="15"/>
      <c r="D2221"/>
      <c r="E2221"/>
      <c r="F2221" s="16"/>
      <c r="G2221"/>
      <c r="H2221"/>
      <c r="I2221" s="16"/>
      <c r="J2221"/>
      <c r="K2221"/>
      <c r="L2221"/>
      <c r="M2221" s="17"/>
      <c r="N2221"/>
      <c r="O2221"/>
      <c r="P2221" s="34"/>
    </row>
    <row r="2222" spans="1:16" x14ac:dyDescent="0.25">
      <c r="A2222" s="14"/>
      <c r="B2222"/>
      <c r="C2222" s="15"/>
      <c r="D2222"/>
      <c r="E2222"/>
      <c r="F2222" s="16"/>
      <c r="G2222"/>
      <c r="H2222"/>
      <c r="I2222" s="16"/>
      <c r="J2222"/>
      <c r="K2222"/>
      <c r="L2222"/>
      <c r="M2222" s="17"/>
      <c r="N2222"/>
      <c r="O2222"/>
      <c r="P2222" s="34"/>
    </row>
    <row r="2223" spans="1:16" x14ac:dyDescent="0.25">
      <c r="A2223" s="14"/>
      <c r="B2223"/>
      <c r="C2223" s="15"/>
      <c r="D2223"/>
      <c r="E2223"/>
      <c r="F2223" s="16"/>
      <c r="G2223"/>
      <c r="H2223"/>
      <c r="I2223" s="16"/>
      <c r="J2223"/>
      <c r="K2223"/>
      <c r="L2223"/>
      <c r="M2223" s="17"/>
      <c r="N2223"/>
      <c r="O2223"/>
      <c r="P2223" s="34"/>
    </row>
    <row r="2224" spans="1:16" x14ac:dyDescent="0.25">
      <c r="A2224" s="14"/>
      <c r="B2224"/>
      <c r="C2224" s="15"/>
      <c r="D2224"/>
      <c r="E2224"/>
      <c r="F2224" s="16"/>
      <c r="G2224"/>
      <c r="H2224"/>
      <c r="I2224" s="16"/>
      <c r="J2224"/>
      <c r="K2224"/>
      <c r="L2224"/>
      <c r="M2224" s="17"/>
      <c r="N2224"/>
      <c r="O2224"/>
      <c r="P2224" s="34"/>
    </row>
    <row r="2225" spans="1:16" x14ac:dyDescent="0.25">
      <c r="A2225" s="14"/>
      <c r="B2225"/>
      <c r="C2225" s="15"/>
      <c r="D2225"/>
      <c r="E2225"/>
      <c r="F2225" s="16"/>
      <c r="G2225"/>
      <c r="H2225"/>
      <c r="I2225" s="16"/>
      <c r="J2225"/>
      <c r="K2225"/>
      <c r="L2225"/>
      <c r="M2225" s="17"/>
      <c r="N2225"/>
      <c r="O2225"/>
      <c r="P2225" s="34"/>
    </row>
    <row r="2226" spans="1:16" x14ac:dyDescent="0.25">
      <c r="A2226" s="14"/>
      <c r="B2226"/>
      <c r="C2226" s="15"/>
      <c r="D2226"/>
      <c r="E2226"/>
      <c r="F2226" s="16"/>
      <c r="G2226"/>
      <c r="H2226"/>
      <c r="I2226" s="16"/>
      <c r="J2226"/>
      <c r="K2226"/>
      <c r="L2226"/>
      <c r="M2226" s="17"/>
      <c r="N2226"/>
      <c r="O2226"/>
      <c r="P2226" s="34"/>
    </row>
    <row r="2227" spans="1:16" x14ac:dyDescent="0.25">
      <c r="A2227" s="14"/>
      <c r="B2227"/>
      <c r="C2227" s="15"/>
      <c r="D2227"/>
      <c r="E2227"/>
      <c r="F2227" s="16"/>
      <c r="G2227"/>
      <c r="H2227"/>
      <c r="I2227" s="16"/>
      <c r="J2227"/>
      <c r="K2227"/>
      <c r="L2227"/>
      <c r="M2227" s="17"/>
      <c r="N2227"/>
      <c r="O2227"/>
      <c r="P2227" s="34"/>
    </row>
    <row r="2228" spans="1:16" x14ac:dyDescent="0.25">
      <c r="A2228" s="14"/>
      <c r="B2228"/>
      <c r="C2228" s="15"/>
      <c r="D2228"/>
      <c r="E2228"/>
      <c r="F2228" s="16"/>
      <c r="G2228"/>
      <c r="H2228"/>
      <c r="I2228" s="16"/>
      <c r="J2228"/>
      <c r="K2228"/>
      <c r="L2228"/>
      <c r="M2228" s="17"/>
      <c r="N2228"/>
      <c r="O2228"/>
      <c r="P2228" s="34"/>
    </row>
    <row r="2229" spans="1:16" x14ac:dyDescent="0.25">
      <c r="A2229" s="14"/>
      <c r="B2229"/>
      <c r="C2229" s="15"/>
      <c r="D2229"/>
      <c r="E2229"/>
      <c r="F2229" s="16"/>
      <c r="G2229"/>
      <c r="H2229"/>
      <c r="I2229" s="16"/>
      <c r="J2229"/>
      <c r="K2229"/>
      <c r="L2229"/>
      <c r="M2229" s="17"/>
      <c r="N2229"/>
      <c r="O2229"/>
      <c r="P2229" s="34"/>
    </row>
    <row r="2230" spans="1:16" x14ac:dyDescent="0.25">
      <c r="A2230" s="14"/>
      <c r="B2230"/>
      <c r="C2230" s="15"/>
      <c r="D2230"/>
      <c r="E2230"/>
      <c r="F2230" s="16"/>
      <c r="G2230"/>
      <c r="H2230"/>
      <c r="I2230" s="16"/>
      <c r="J2230"/>
      <c r="K2230"/>
      <c r="L2230"/>
      <c r="M2230" s="17"/>
      <c r="N2230"/>
      <c r="O2230"/>
      <c r="P2230" s="34"/>
    </row>
    <row r="2231" spans="1:16" x14ac:dyDescent="0.25">
      <c r="A2231" s="14"/>
      <c r="B2231"/>
      <c r="C2231" s="15"/>
      <c r="D2231"/>
      <c r="E2231"/>
      <c r="F2231" s="16"/>
      <c r="G2231"/>
      <c r="H2231"/>
      <c r="I2231" s="16"/>
      <c r="J2231"/>
      <c r="K2231"/>
      <c r="L2231"/>
      <c r="M2231" s="17"/>
      <c r="N2231"/>
      <c r="O2231"/>
      <c r="P2231" s="34"/>
    </row>
    <row r="2232" spans="1:16" x14ac:dyDescent="0.25">
      <c r="A2232" s="14"/>
      <c r="B2232"/>
      <c r="C2232" s="15"/>
      <c r="D2232"/>
      <c r="E2232"/>
      <c r="F2232" s="16"/>
      <c r="G2232"/>
      <c r="H2232"/>
      <c r="I2232" s="16"/>
      <c r="J2232"/>
      <c r="K2232"/>
      <c r="L2232"/>
      <c r="M2232" s="17"/>
      <c r="N2232"/>
      <c r="O2232"/>
      <c r="P2232" s="34"/>
    </row>
    <row r="2233" spans="1:16" x14ac:dyDescent="0.25">
      <c r="A2233" s="14"/>
      <c r="B2233"/>
      <c r="C2233" s="15"/>
      <c r="D2233"/>
      <c r="E2233"/>
      <c r="F2233" s="16"/>
      <c r="G2233"/>
      <c r="H2233"/>
      <c r="I2233" s="16"/>
      <c r="J2233"/>
      <c r="K2233"/>
      <c r="L2233"/>
      <c r="M2233" s="17"/>
      <c r="N2233"/>
      <c r="O2233"/>
      <c r="P2233" s="34"/>
    </row>
    <row r="2234" spans="1:16" x14ac:dyDescent="0.25">
      <c r="A2234" s="14"/>
      <c r="B2234"/>
      <c r="C2234" s="15"/>
      <c r="D2234"/>
      <c r="E2234"/>
      <c r="F2234" s="16"/>
      <c r="G2234"/>
      <c r="H2234"/>
      <c r="I2234" s="16"/>
      <c r="J2234"/>
      <c r="K2234"/>
      <c r="L2234"/>
      <c r="M2234" s="17"/>
      <c r="N2234"/>
      <c r="O2234"/>
      <c r="P2234" s="34"/>
    </row>
    <row r="2235" spans="1:16" x14ac:dyDescent="0.25">
      <c r="A2235" s="14"/>
      <c r="B2235"/>
      <c r="C2235" s="15"/>
      <c r="D2235"/>
      <c r="E2235"/>
      <c r="F2235" s="16"/>
      <c r="G2235"/>
      <c r="H2235"/>
      <c r="I2235" s="16"/>
      <c r="J2235"/>
      <c r="K2235"/>
      <c r="L2235"/>
      <c r="M2235" s="17"/>
      <c r="N2235"/>
      <c r="O2235"/>
      <c r="P2235" s="34"/>
    </row>
    <row r="2236" spans="1:16" x14ac:dyDescent="0.25">
      <c r="A2236" s="14"/>
      <c r="B2236"/>
      <c r="C2236" s="15"/>
      <c r="D2236"/>
      <c r="E2236"/>
      <c r="F2236" s="16"/>
      <c r="G2236"/>
      <c r="H2236"/>
      <c r="I2236" s="16"/>
      <c r="J2236"/>
      <c r="K2236"/>
      <c r="L2236"/>
      <c r="M2236" s="17"/>
      <c r="N2236"/>
      <c r="O2236"/>
      <c r="P2236" s="34"/>
    </row>
    <row r="2237" spans="1:16" x14ac:dyDescent="0.25">
      <c r="A2237" s="14"/>
      <c r="B2237"/>
      <c r="C2237" s="15"/>
      <c r="D2237"/>
      <c r="E2237"/>
      <c r="F2237" s="16"/>
      <c r="G2237"/>
      <c r="H2237"/>
      <c r="I2237" s="16"/>
      <c r="J2237"/>
      <c r="K2237"/>
      <c r="L2237"/>
      <c r="M2237" s="17"/>
      <c r="N2237"/>
      <c r="O2237"/>
      <c r="P2237" s="34"/>
    </row>
    <row r="2238" spans="1:16" x14ac:dyDescent="0.25">
      <c r="A2238" s="14"/>
      <c r="B2238"/>
      <c r="C2238" s="15"/>
      <c r="D2238"/>
      <c r="E2238"/>
      <c r="F2238" s="16"/>
      <c r="G2238"/>
      <c r="H2238"/>
      <c r="I2238" s="16"/>
      <c r="J2238"/>
      <c r="K2238"/>
      <c r="L2238"/>
      <c r="M2238" s="17"/>
      <c r="N2238"/>
      <c r="O2238"/>
      <c r="P2238" s="34"/>
    </row>
    <row r="2239" spans="1:16" x14ac:dyDescent="0.25">
      <c r="A2239" s="14"/>
      <c r="B2239"/>
      <c r="C2239" s="15"/>
      <c r="D2239"/>
      <c r="E2239"/>
      <c r="F2239" s="16"/>
      <c r="G2239"/>
      <c r="H2239"/>
      <c r="I2239" s="16"/>
      <c r="J2239"/>
      <c r="K2239"/>
      <c r="L2239"/>
      <c r="M2239" s="17"/>
      <c r="N2239"/>
      <c r="O2239"/>
      <c r="P2239" s="34"/>
    </row>
    <row r="2240" spans="1:16" x14ac:dyDescent="0.25">
      <c r="A2240" s="14"/>
      <c r="B2240"/>
      <c r="C2240" s="15"/>
      <c r="D2240"/>
      <c r="E2240"/>
      <c r="F2240" s="16"/>
      <c r="G2240"/>
      <c r="H2240"/>
      <c r="I2240" s="16"/>
      <c r="J2240"/>
      <c r="K2240"/>
      <c r="L2240"/>
      <c r="M2240" s="17"/>
      <c r="N2240"/>
      <c r="O2240"/>
      <c r="P2240" s="34"/>
    </row>
    <row r="2241" spans="1:16" x14ac:dyDescent="0.25">
      <c r="A2241" s="14"/>
      <c r="B2241"/>
      <c r="C2241" s="15"/>
      <c r="D2241"/>
      <c r="E2241"/>
      <c r="F2241" s="16"/>
      <c r="G2241"/>
      <c r="H2241"/>
      <c r="I2241" s="16"/>
      <c r="J2241"/>
      <c r="K2241"/>
      <c r="L2241"/>
      <c r="M2241" s="17"/>
      <c r="N2241"/>
      <c r="O2241"/>
      <c r="P2241" s="34"/>
    </row>
    <row r="2242" spans="1:16" x14ac:dyDescent="0.25">
      <c r="A2242" s="14"/>
      <c r="B2242"/>
      <c r="C2242" s="15"/>
      <c r="D2242"/>
      <c r="E2242"/>
      <c r="F2242" s="16"/>
      <c r="G2242"/>
      <c r="H2242"/>
      <c r="I2242" s="16"/>
      <c r="J2242"/>
      <c r="K2242"/>
      <c r="L2242"/>
      <c r="M2242" s="17"/>
      <c r="N2242"/>
      <c r="O2242"/>
      <c r="P2242" s="34"/>
    </row>
    <row r="2243" spans="1:16" x14ac:dyDescent="0.25">
      <c r="A2243" s="14"/>
      <c r="B2243"/>
      <c r="C2243" s="15"/>
      <c r="D2243"/>
      <c r="E2243"/>
      <c r="F2243" s="16"/>
      <c r="G2243"/>
      <c r="H2243"/>
      <c r="I2243" s="16"/>
      <c r="J2243"/>
      <c r="K2243"/>
      <c r="L2243"/>
      <c r="M2243" s="17"/>
      <c r="N2243"/>
      <c r="O2243"/>
      <c r="P2243" s="34"/>
    </row>
    <row r="2244" spans="1:16" x14ac:dyDescent="0.25">
      <c r="A2244" s="14"/>
      <c r="B2244"/>
      <c r="C2244" s="15"/>
      <c r="D2244"/>
      <c r="E2244"/>
      <c r="F2244" s="16"/>
      <c r="G2244"/>
      <c r="H2244"/>
      <c r="I2244" s="16"/>
      <c r="J2244"/>
      <c r="K2244"/>
      <c r="L2244"/>
      <c r="M2244" s="17"/>
      <c r="N2244"/>
      <c r="O2244"/>
      <c r="P2244" s="34"/>
    </row>
    <row r="2245" spans="1:16" x14ac:dyDescent="0.25">
      <c r="A2245" s="14"/>
      <c r="B2245"/>
      <c r="C2245" s="15"/>
      <c r="D2245"/>
      <c r="E2245"/>
      <c r="F2245" s="16"/>
      <c r="G2245"/>
      <c r="H2245"/>
      <c r="I2245" s="16"/>
      <c r="J2245"/>
      <c r="K2245"/>
      <c r="L2245"/>
      <c r="M2245" s="17"/>
      <c r="N2245"/>
      <c r="O2245"/>
      <c r="P2245" s="34"/>
    </row>
    <row r="2246" spans="1:16" x14ac:dyDescent="0.25">
      <c r="A2246" s="14"/>
      <c r="B2246"/>
      <c r="C2246" s="15"/>
      <c r="D2246"/>
      <c r="E2246"/>
      <c r="F2246" s="16"/>
      <c r="G2246"/>
      <c r="H2246"/>
      <c r="I2246" s="16"/>
      <c r="J2246"/>
      <c r="K2246"/>
      <c r="L2246"/>
      <c r="M2246" s="17"/>
      <c r="N2246"/>
      <c r="O2246"/>
      <c r="P2246" s="34"/>
    </row>
    <row r="2247" spans="1:16" x14ac:dyDescent="0.25">
      <c r="A2247" s="14"/>
      <c r="B2247"/>
      <c r="C2247" s="15"/>
      <c r="D2247"/>
      <c r="E2247"/>
      <c r="F2247" s="16"/>
      <c r="G2247"/>
      <c r="H2247"/>
      <c r="I2247" s="16"/>
      <c r="J2247"/>
      <c r="K2247"/>
      <c r="L2247"/>
      <c r="M2247" s="17"/>
      <c r="N2247"/>
      <c r="O2247"/>
      <c r="P2247" s="34"/>
    </row>
    <row r="2248" spans="1:16" x14ac:dyDescent="0.25">
      <c r="A2248" s="14"/>
      <c r="B2248"/>
      <c r="C2248" s="15"/>
      <c r="D2248"/>
      <c r="E2248"/>
      <c r="F2248" s="16"/>
      <c r="G2248"/>
      <c r="H2248"/>
      <c r="I2248" s="16"/>
      <c r="J2248"/>
      <c r="K2248"/>
      <c r="L2248"/>
      <c r="M2248" s="17"/>
      <c r="N2248"/>
      <c r="O2248"/>
      <c r="P2248" s="34"/>
    </row>
    <row r="2249" spans="1:16" x14ac:dyDescent="0.25">
      <c r="A2249" s="14"/>
      <c r="B2249"/>
      <c r="C2249" s="15"/>
      <c r="D2249"/>
      <c r="E2249"/>
      <c r="F2249" s="16"/>
      <c r="G2249"/>
      <c r="H2249"/>
      <c r="I2249" s="16"/>
      <c r="J2249"/>
      <c r="K2249"/>
      <c r="L2249"/>
      <c r="M2249" s="17"/>
      <c r="N2249"/>
      <c r="O2249"/>
      <c r="P2249" s="34"/>
    </row>
    <row r="2250" spans="1:16" x14ac:dyDescent="0.25">
      <c r="A2250" s="14"/>
      <c r="B2250"/>
      <c r="C2250" s="15"/>
      <c r="D2250"/>
      <c r="E2250"/>
      <c r="F2250" s="16"/>
      <c r="G2250"/>
      <c r="H2250"/>
      <c r="I2250" s="16"/>
      <c r="J2250"/>
      <c r="K2250"/>
      <c r="L2250"/>
      <c r="M2250" s="17"/>
      <c r="N2250"/>
      <c r="O2250"/>
      <c r="P2250" s="34"/>
    </row>
    <row r="2251" spans="1:16" x14ac:dyDescent="0.25">
      <c r="A2251" s="14"/>
      <c r="B2251"/>
      <c r="C2251" s="15"/>
      <c r="D2251"/>
      <c r="E2251"/>
      <c r="F2251" s="16"/>
      <c r="G2251"/>
      <c r="H2251"/>
      <c r="I2251" s="16"/>
      <c r="J2251"/>
      <c r="K2251"/>
      <c r="L2251"/>
      <c r="M2251" s="17"/>
      <c r="N2251"/>
      <c r="O2251"/>
      <c r="P2251" s="34"/>
    </row>
    <row r="2252" spans="1:16" x14ac:dyDescent="0.25">
      <c r="A2252" s="14"/>
      <c r="B2252"/>
      <c r="C2252" s="15"/>
      <c r="D2252"/>
      <c r="E2252"/>
      <c r="F2252" s="16"/>
      <c r="G2252"/>
      <c r="H2252"/>
      <c r="I2252" s="16"/>
      <c r="J2252"/>
      <c r="K2252"/>
      <c r="L2252"/>
      <c r="M2252" s="17"/>
      <c r="N2252"/>
      <c r="O2252"/>
      <c r="P2252" s="34"/>
    </row>
    <row r="2253" spans="1:16" x14ac:dyDescent="0.25">
      <c r="A2253" s="14"/>
      <c r="B2253"/>
      <c r="C2253" s="15"/>
      <c r="D2253"/>
      <c r="E2253"/>
      <c r="F2253" s="16"/>
      <c r="G2253"/>
      <c r="H2253"/>
      <c r="I2253" s="16"/>
      <c r="J2253"/>
      <c r="K2253"/>
      <c r="L2253"/>
      <c r="M2253" s="17"/>
      <c r="N2253"/>
      <c r="O2253"/>
      <c r="P2253" s="34"/>
    </row>
    <row r="2254" spans="1:16" x14ac:dyDescent="0.25">
      <c r="A2254" s="14"/>
      <c r="B2254"/>
      <c r="C2254" s="15"/>
      <c r="D2254"/>
      <c r="E2254"/>
      <c r="F2254" s="16"/>
      <c r="G2254"/>
      <c r="H2254"/>
      <c r="I2254" s="16"/>
      <c r="J2254"/>
      <c r="K2254"/>
      <c r="L2254"/>
      <c r="M2254" s="17"/>
      <c r="N2254"/>
      <c r="O2254"/>
      <c r="P2254" s="34"/>
    </row>
    <row r="2255" spans="1:16" x14ac:dyDescent="0.25">
      <c r="A2255" s="14"/>
      <c r="B2255"/>
      <c r="C2255" s="15"/>
      <c r="D2255"/>
      <c r="E2255"/>
      <c r="F2255" s="16"/>
      <c r="G2255"/>
      <c r="H2255"/>
      <c r="I2255" s="16"/>
      <c r="J2255"/>
      <c r="K2255"/>
      <c r="L2255"/>
      <c r="M2255" s="17"/>
      <c r="N2255"/>
      <c r="O2255"/>
      <c r="P2255" s="34"/>
    </row>
    <row r="2256" spans="1:16" x14ac:dyDescent="0.25">
      <c r="A2256" s="14"/>
      <c r="B2256"/>
      <c r="C2256" s="15"/>
      <c r="D2256"/>
      <c r="E2256"/>
      <c r="F2256" s="16"/>
      <c r="G2256"/>
      <c r="H2256"/>
      <c r="I2256" s="16"/>
      <c r="J2256"/>
      <c r="K2256"/>
      <c r="L2256"/>
      <c r="M2256" s="17"/>
      <c r="N2256"/>
      <c r="O2256"/>
      <c r="P2256" s="34"/>
    </row>
    <row r="2257" spans="1:16" x14ac:dyDescent="0.25">
      <c r="A2257" s="14"/>
      <c r="B2257"/>
      <c r="C2257" s="15"/>
      <c r="D2257"/>
      <c r="E2257"/>
      <c r="F2257" s="16"/>
      <c r="G2257"/>
      <c r="H2257"/>
      <c r="I2257" s="16"/>
      <c r="J2257"/>
      <c r="K2257"/>
      <c r="L2257"/>
      <c r="M2257" s="17"/>
      <c r="N2257"/>
      <c r="O2257"/>
      <c r="P2257" s="34"/>
    </row>
    <row r="2258" spans="1:16" x14ac:dyDescent="0.25">
      <c r="A2258" s="14"/>
      <c r="B2258"/>
      <c r="C2258" s="15"/>
      <c r="D2258"/>
      <c r="E2258"/>
      <c r="F2258" s="16"/>
      <c r="G2258"/>
      <c r="H2258"/>
      <c r="I2258" s="16"/>
      <c r="J2258"/>
      <c r="K2258"/>
      <c r="L2258"/>
      <c r="M2258" s="17"/>
      <c r="N2258"/>
      <c r="O2258"/>
      <c r="P2258" s="34"/>
    </row>
    <row r="2259" spans="1:16" x14ac:dyDescent="0.25">
      <c r="A2259" s="14"/>
      <c r="B2259"/>
      <c r="C2259" s="15"/>
      <c r="D2259"/>
      <c r="E2259"/>
      <c r="F2259" s="16"/>
      <c r="G2259"/>
      <c r="H2259"/>
      <c r="I2259" s="16"/>
      <c r="J2259"/>
      <c r="K2259"/>
      <c r="L2259"/>
      <c r="M2259" s="17"/>
      <c r="N2259"/>
      <c r="O2259"/>
      <c r="P2259" s="34"/>
    </row>
    <row r="2260" spans="1:16" x14ac:dyDescent="0.25">
      <c r="A2260" s="14"/>
      <c r="B2260"/>
      <c r="C2260" s="15"/>
      <c r="D2260"/>
      <c r="E2260"/>
      <c r="F2260" s="16"/>
      <c r="G2260"/>
      <c r="H2260"/>
      <c r="I2260" s="16"/>
      <c r="J2260"/>
      <c r="K2260"/>
      <c r="L2260"/>
      <c r="M2260" s="17"/>
      <c r="N2260"/>
      <c r="O2260"/>
      <c r="P2260" s="34"/>
    </row>
    <row r="2261" spans="1:16" x14ac:dyDescent="0.25">
      <c r="A2261" s="14"/>
      <c r="B2261"/>
      <c r="C2261" s="15"/>
      <c r="D2261"/>
      <c r="E2261"/>
      <c r="F2261" s="16"/>
      <c r="G2261"/>
      <c r="H2261"/>
      <c r="I2261" s="16"/>
      <c r="J2261"/>
      <c r="K2261"/>
      <c r="L2261"/>
      <c r="M2261" s="17"/>
      <c r="N2261"/>
      <c r="O2261"/>
      <c r="P2261" s="34"/>
    </row>
    <row r="2262" spans="1:16" x14ac:dyDescent="0.25">
      <c r="A2262" s="14"/>
      <c r="B2262"/>
      <c r="C2262" s="15"/>
      <c r="D2262"/>
      <c r="E2262"/>
      <c r="F2262" s="16"/>
      <c r="G2262"/>
      <c r="H2262"/>
      <c r="I2262" s="16"/>
      <c r="J2262"/>
      <c r="K2262"/>
      <c r="L2262"/>
      <c r="M2262" s="17"/>
      <c r="N2262"/>
      <c r="O2262"/>
      <c r="P2262" s="34"/>
    </row>
    <row r="2263" spans="1:16" x14ac:dyDescent="0.25">
      <c r="A2263" s="14"/>
      <c r="B2263"/>
      <c r="C2263" s="15"/>
      <c r="D2263"/>
      <c r="E2263"/>
      <c r="F2263" s="16"/>
      <c r="G2263"/>
      <c r="H2263"/>
      <c r="I2263" s="16"/>
      <c r="J2263"/>
      <c r="K2263"/>
      <c r="L2263"/>
      <c r="M2263" s="17"/>
      <c r="N2263"/>
      <c r="O2263"/>
      <c r="P2263" s="34"/>
    </row>
    <row r="2264" spans="1:16" x14ac:dyDescent="0.25">
      <c r="A2264" s="14"/>
      <c r="B2264"/>
      <c r="C2264" s="15"/>
      <c r="D2264"/>
      <c r="E2264"/>
      <c r="F2264" s="16"/>
      <c r="G2264"/>
      <c r="H2264"/>
      <c r="I2264" s="16"/>
      <c r="J2264"/>
      <c r="K2264"/>
      <c r="L2264"/>
      <c r="M2264" s="17"/>
      <c r="N2264"/>
      <c r="O2264"/>
      <c r="P2264" s="34"/>
    </row>
    <row r="2265" spans="1:16" x14ac:dyDescent="0.25">
      <c r="A2265" s="14"/>
      <c r="B2265"/>
      <c r="C2265" s="15"/>
      <c r="D2265"/>
      <c r="E2265"/>
      <c r="F2265" s="16"/>
      <c r="G2265"/>
      <c r="H2265"/>
      <c r="I2265" s="16"/>
      <c r="J2265"/>
      <c r="K2265"/>
      <c r="L2265"/>
      <c r="M2265" s="17"/>
      <c r="N2265"/>
      <c r="O2265"/>
      <c r="P2265" s="34"/>
    </row>
    <row r="2266" spans="1:16" x14ac:dyDescent="0.25">
      <c r="A2266" s="14"/>
      <c r="B2266"/>
      <c r="C2266" s="15"/>
      <c r="D2266"/>
      <c r="E2266"/>
      <c r="F2266" s="16"/>
      <c r="G2266"/>
      <c r="H2266"/>
      <c r="I2266" s="16"/>
      <c r="J2266"/>
      <c r="K2266"/>
      <c r="L2266"/>
      <c r="M2266" s="17"/>
      <c r="N2266"/>
      <c r="O2266"/>
      <c r="P2266" s="34"/>
    </row>
    <row r="2267" spans="1:16" x14ac:dyDescent="0.25">
      <c r="A2267" s="14"/>
      <c r="B2267"/>
      <c r="C2267" s="15"/>
      <c r="D2267"/>
      <c r="E2267"/>
      <c r="F2267" s="16"/>
      <c r="G2267"/>
      <c r="H2267"/>
      <c r="I2267" s="16"/>
      <c r="J2267"/>
      <c r="K2267"/>
      <c r="L2267"/>
      <c r="M2267" s="17"/>
      <c r="N2267"/>
      <c r="O2267"/>
      <c r="P2267" s="34"/>
    </row>
    <row r="2268" spans="1:16" x14ac:dyDescent="0.25">
      <c r="A2268" s="14"/>
      <c r="B2268"/>
      <c r="C2268" s="15"/>
      <c r="D2268"/>
      <c r="E2268"/>
      <c r="F2268" s="16"/>
      <c r="G2268"/>
      <c r="H2268"/>
      <c r="I2268" s="16"/>
      <c r="J2268"/>
      <c r="K2268"/>
      <c r="L2268"/>
      <c r="M2268" s="17"/>
      <c r="N2268"/>
      <c r="O2268"/>
      <c r="P2268" s="34"/>
    </row>
    <row r="2269" spans="1:16" x14ac:dyDescent="0.25">
      <c r="A2269" s="14"/>
      <c r="B2269"/>
      <c r="C2269" s="15"/>
      <c r="D2269"/>
      <c r="E2269"/>
      <c r="F2269" s="16"/>
      <c r="G2269"/>
      <c r="H2269"/>
      <c r="I2269" s="16"/>
      <c r="J2269"/>
      <c r="K2269"/>
      <c r="L2269"/>
      <c r="M2269" s="17"/>
      <c r="N2269"/>
      <c r="O2269"/>
      <c r="P2269" s="34"/>
    </row>
    <row r="2270" spans="1:16" x14ac:dyDescent="0.25">
      <c r="A2270" s="14"/>
      <c r="B2270"/>
      <c r="C2270" s="15"/>
      <c r="D2270"/>
      <c r="E2270"/>
      <c r="F2270" s="16"/>
      <c r="G2270"/>
      <c r="H2270"/>
      <c r="I2270" s="16"/>
      <c r="J2270"/>
      <c r="K2270"/>
      <c r="L2270"/>
      <c r="M2270" s="17"/>
      <c r="N2270"/>
      <c r="O2270"/>
      <c r="P2270" s="34"/>
    </row>
    <row r="2271" spans="1:16" x14ac:dyDescent="0.25">
      <c r="A2271" s="14"/>
      <c r="B2271"/>
      <c r="C2271" s="15"/>
      <c r="D2271"/>
      <c r="E2271"/>
      <c r="F2271" s="16"/>
      <c r="G2271"/>
      <c r="H2271"/>
      <c r="I2271" s="16"/>
      <c r="J2271"/>
      <c r="K2271"/>
      <c r="L2271"/>
      <c r="M2271" s="17"/>
      <c r="N2271"/>
      <c r="O2271"/>
      <c r="P2271" s="34"/>
    </row>
    <row r="2272" spans="1:16" x14ac:dyDescent="0.25">
      <c r="A2272" s="14"/>
      <c r="B2272"/>
      <c r="C2272" s="15"/>
      <c r="D2272"/>
      <c r="E2272"/>
      <c r="F2272" s="16"/>
      <c r="G2272"/>
      <c r="H2272"/>
      <c r="I2272" s="16"/>
      <c r="J2272"/>
      <c r="K2272"/>
      <c r="L2272"/>
      <c r="M2272" s="17"/>
      <c r="N2272"/>
      <c r="O2272"/>
      <c r="P2272" s="34"/>
    </row>
    <row r="2273" spans="1:16" x14ac:dyDescent="0.25">
      <c r="A2273" s="14"/>
      <c r="B2273"/>
      <c r="C2273" s="15"/>
      <c r="D2273"/>
      <c r="E2273"/>
      <c r="F2273" s="16"/>
      <c r="G2273"/>
      <c r="H2273"/>
      <c r="I2273" s="16"/>
      <c r="J2273"/>
      <c r="K2273"/>
      <c r="L2273"/>
      <c r="M2273" s="17"/>
      <c r="N2273"/>
      <c r="O2273"/>
      <c r="P2273" s="34"/>
    </row>
    <row r="2274" spans="1:16" x14ac:dyDescent="0.25">
      <c r="A2274" s="14"/>
      <c r="B2274"/>
      <c r="C2274" s="15"/>
      <c r="D2274"/>
      <c r="E2274"/>
      <c r="F2274" s="16"/>
      <c r="G2274"/>
      <c r="H2274"/>
      <c r="I2274" s="16"/>
      <c r="J2274"/>
      <c r="K2274"/>
      <c r="L2274"/>
      <c r="M2274" s="17"/>
      <c r="N2274"/>
      <c r="O2274"/>
      <c r="P2274" s="34"/>
    </row>
    <row r="2275" spans="1:16" x14ac:dyDescent="0.25">
      <c r="A2275" s="14"/>
      <c r="B2275"/>
      <c r="C2275" s="15"/>
      <c r="D2275"/>
      <c r="E2275"/>
      <c r="F2275" s="16"/>
      <c r="G2275"/>
      <c r="H2275"/>
      <c r="I2275" s="16"/>
      <c r="J2275"/>
      <c r="K2275"/>
      <c r="L2275"/>
      <c r="M2275" s="17"/>
      <c r="N2275"/>
      <c r="O2275"/>
      <c r="P2275" s="34"/>
    </row>
    <row r="2276" spans="1:16" x14ac:dyDescent="0.25">
      <c r="A2276" s="14"/>
      <c r="B2276"/>
      <c r="C2276" s="15"/>
      <c r="D2276"/>
      <c r="E2276"/>
      <c r="F2276" s="16"/>
      <c r="G2276"/>
      <c r="H2276"/>
      <c r="I2276" s="16"/>
      <c r="J2276"/>
      <c r="K2276"/>
      <c r="L2276"/>
      <c r="M2276" s="17"/>
      <c r="N2276"/>
      <c r="O2276"/>
      <c r="P2276" s="34"/>
    </row>
    <row r="2277" spans="1:16" x14ac:dyDescent="0.25">
      <c r="A2277" s="14"/>
      <c r="B2277"/>
      <c r="C2277" s="15"/>
      <c r="D2277"/>
      <c r="E2277"/>
      <c r="F2277" s="16"/>
      <c r="G2277"/>
      <c r="H2277"/>
      <c r="I2277" s="16"/>
      <c r="J2277"/>
      <c r="K2277"/>
      <c r="L2277"/>
      <c r="M2277" s="17"/>
      <c r="N2277"/>
      <c r="O2277"/>
      <c r="P2277" s="34"/>
    </row>
    <row r="2278" spans="1:16" x14ac:dyDescent="0.25">
      <c r="A2278" s="14"/>
      <c r="B2278"/>
      <c r="C2278" s="15"/>
      <c r="D2278"/>
      <c r="E2278"/>
      <c r="F2278" s="16"/>
      <c r="G2278"/>
      <c r="H2278"/>
      <c r="I2278" s="16"/>
      <c r="J2278"/>
      <c r="K2278"/>
      <c r="L2278"/>
      <c r="M2278" s="17"/>
      <c r="N2278"/>
      <c r="O2278"/>
      <c r="P2278" s="34"/>
    </row>
    <row r="2279" spans="1:16" x14ac:dyDescent="0.25">
      <c r="A2279" s="14"/>
      <c r="B2279"/>
      <c r="C2279" s="15"/>
      <c r="D2279"/>
      <c r="E2279"/>
      <c r="F2279" s="16"/>
      <c r="G2279"/>
      <c r="H2279"/>
      <c r="I2279" s="16"/>
      <c r="J2279"/>
      <c r="K2279"/>
      <c r="L2279"/>
      <c r="M2279" s="17"/>
      <c r="N2279"/>
      <c r="O2279"/>
      <c r="P2279" s="34"/>
    </row>
    <row r="2280" spans="1:16" x14ac:dyDescent="0.25">
      <c r="A2280" s="14"/>
      <c r="B2280"/>
      <c r="C2280" s="15"/>
      <c r="D2280"/>
      <c r="E2280"/>
      <c r="F2280" s="16"/>
      <c r="G2280"/>
      <c r="H2280"/>
      <c r="I2280" s="16"/>
      <c r="J2280"/>
      <c r="K2280"/>
      <c r="L2280"/>
      <c r="M2280" s="17"/>
      <c r="N2280"/>
      <c r="O2280"/>
      <c r="P2280" s="34"/>
    </row>
    <row r="2281" spans="1:16" x14ac:dyDescent="0.25">
      <c r="A2281" s="14"/>
      <c r="B2281"/>
      <c r="C2281" s="15"/>
      <c r="D2281"/>
      <c r="E2281"/>
      <c r="F2281" s="16"/>
      <c r="G2281"/>
      <c r="H2281"/>
      <c r="I2281" s="16"/>
      <c r="J2281"/>
      <c r="K2281"/>
      <c r="L2281"/>
      <c r="M2281" s="17"/>
      <c r="N2281"/>
      <c r="O2281"/>
      <c r="P2281" s="34"/>
    </row>
    <row r="2282" spans="1:16" x14ac:dyDescent="0.25">
      <c r="A2282" s="14"/>
      <c r="B2282"/>
      <c r="C2282" s="15"/>
      <c r="D2282"/>
      <c r="E2282"/>
      <c r="F2282" s="16"/>
      <c r="G2282"/>
      <c r="H2282"/>
      <c r="I2282" s="16"/>
      <c r="J2282"/>
      <c r="K2282"/>
      <c r="L2282"/>
      <c r="M2282" s="17"/>
      <c r="N2282"/>
      <c r="O2282"/>
      <c r="P2282" s="34"/>
    </row>
    <row r="2283" spans="1:16" x14ac:dyDescent="0.25">
      <c r="A2283" s="14"/>
      <c r="B2283"/>
      <c r="C2283" s="15"/>
      <c r="D2283"/>
      <c r="E2283"/>
      <c r="F2283" s="16"/>
      <c r="G2283"/>
      <c r="H2283"/>
      <c r="I2283" s="16"/>
      <c r="J2283"/>
      <c r="K2283"/>
      <c r="L2283"/>
      <c r="M2283" s="17"/>
      <c r="N2283"/>
      <c r="O2283"/>
      <c r="P2283" s="34"/>
    </row>
    <row r="2284" spans="1:16" x14ac:dyDescent="0.25">
      <c r="A2284" s="14"/>
      <c r="B2284"/>
      <c r="C2284" s="15"/>
      <c r="D2284"/>
      <c r="E2284"/>
      <c r="F2284" s="16"/>
      <c r="G2284"/>
      <c r="H2284"/>
      <c r="I2284" s="16"/>
      <c r="J2284"/>
      <c r="K2284"/>
      <c r="L2284"/>
      <c r="M2284" s="17"/>
      <c r="N2284"/>
      <c r="O2284"/>
      <c r="P2284" s="34"/>
    </row>
    <row r="2285" spans="1:16" x14ac:dyDescent="0.25">
      <c r="A2285" s="14"/>
      <c r="B2285"/>
      <c r="C2285" s="15"/>
      <c r="D2285"/>
      <c r="E2285"/>
      <c r="F2285" s="16"/>
      <c r="G2285"/>
      <c r="H2285"/>
      <c r="I2285" s="16"/>
      <c r="J2285"/>
      <c r="K2285"/>
      <c r="L2285"/>
      <c r="M2285" s="17"/>
      <c r="N2285"/>
      <c r="O2285"/>
      <c r="P2285" s="34"/>
    </row>
    <row r="2286" spans="1:16" x14ac:dyDescent="0.25">
      <c r="A2286" s="14"/>
      <c r="B2286"/>
      <c r="C2286" s="15"/>
      <c r="D2286"/>
      <c r="E2286"/>
      <c r="F2286" s="16"/>
      <c r="G2286"/>
      <c r="H2286"/>
      <c r="I2286" s="16"/>
      <c r="J2286"/>
      <c r="K2286"/>
      <c r="L2286"/>
      <c r="M2286" s="17"/>
      <c r="N2286"/>
      <c r="O2286"/>
      <c r="P2286" s="34"/>
    </row>
    <row r="2287" spans="1:16" x14ac:dyDescent="0.25">
      <c r="A2287" s="14"/>
      <c r="B2287"/>
      <c r="C2287" s="15"/>
      <c r="D2287"/>
      <c r="E2287"/>
      <c r="F2287" s="16"/>
      <c r="G2287"/>
      <c r="H2287"/>
      <c r="I2287" s="16"/>
      <c r="J2287"/>
      <c r="K2287"/>
      <c r="L2287"/>
      <c r="M2287" s="17"/>
      <c r="N2287"/>
      <c r="O2287"/>
      <c r="P2287" s="34"/>
    </row>
    <row r="2288" spans="1:16" x14ac:dyDescent="0.25">
      <c r="A2288" s="14"/>
      <c r="B2288"/>
      <c r="C2288" s="15"/>
      <c r="D2288"/>
      <c r="E2288"/>
      <c r="F2288" s="16"/>
      <c r="G2288"/>
      <c r="H2288"/>
      <c r="I2288" s="16"/>
      <c r="J2288"/>
      <c r="K2288"/>
      <c r="L2288"/>
      <c r="M2288" s="17"/>
      <c r="N2288"/>
      <c r="O2288"/>
      <c r="P2288" s="34"/>
    </row>
    <row r="2289" spans="1:16" x14ac:dyDescent="0.25">
      <c r="A2289" s="14"/>
      <c r="B2289"/>
      <c r="C2289" s="15"/>
      <c r="D2289"/>
      <c r="E2289"/>
      <c r="F2289" s="16"/>
      <c r="G2289"/>
      <c r="H2289"/>
      <c r="I2289" s="16"/>
      <c r="J2289"/>
      <c r="K2289"/>
      <c r="L2289"/>
      <c r="M2289" s="17"/>
      <c r="N2289"/>
      <c r="O2289"/>
      <c r="P2289" s="34"/>
    </row>
    <row r="2290" spans="1:16" x14ac:dyDescent="0.25">
      <c r="A2290" s="14"/>
      <c r="B2290"/>
      <c r="C2290" s="15"/>
      <c r="D2290"/>
      <c r="E2290"/>
      <c r="F2290" s="16"/>
      <c r="G2290"/>
      <c r="H2290"/>
      <c r="I2290" s="16"/>
      <c r="J2290"/>
      <c r="K2290"/>
      <c r="L2290"/>
      <c r="M2290" s="17"/>
      <c r="N2290"/>
      <c r="O2290"/>
      <c r="P2290" s="34"/>
    </row>
    <row r="2291" spans="1:16" x14ac:dyDescent="0.25">
      <c r="A2291" s="14"/>
      <c r="B2291"/>
      <c r="C2291" s="15"/>
      <c r="D2291"/>
      <c r="E2291"/>
      <c r="F2291" s="16"/>
      <c r="G2291"/>
      <c r="H2291"/>
      <c r="I2291" s="16"/>
      <c r="J2291"/>
      <c r="K2291"/>
      <c r="L2291"/>
      <c r="M2291" s="17"/>
      <c r="N2291"/>
      <c r="O2291"/>
      <c r="P2291" s="34"/>
    </row>
    <row r="2292" spans="1:16" x14ac:dyDescent="0.25">
      <c r="A2292" s="14"/>
      <c r="B2292"/>
      <c r="C2292" s="15"/>
      <c r="D2292"/>
      <c r="E2292"/>
      <c r="F2292" s="16"/>
      <c r="G2292"/>
      <c r="H2292"/>
      <c r="I2292" s="16"/>
      <c r="J2292"/>
      <c r="K2292"/>
      <c r="L2292"/>
      <c r="M2292" s="17"/>
      <c r="N2292"/>
      <c r="O2292"/>
      <c r="P2292" s="34"/>
    </row>
    <row r="2293" spans="1:16" x14ac:dyDescent="0.25">
      <c r="A2293" s="14"/>
      <c r="B2293"/>
      <c r="C2293" s="15"/>
      <c r="D2293"/>
      <c r="E2293"/>
      <c r="F2293" s="16"/>
      <c r="G2293"/>
      <c r="H2293"/>
      <c r="I2293" s="16"/>
      <c r="J2293"/>
      <c r="K2293"/>
      <c r="L2293"/>
      <c r="M2293" s="17"/>
      <c r="N2293"/>
      <c r="O2293"/>
      <c r="P2293" s="34"/>
    </row>
    <row r="2294" spans="1:16" x14ac:dyDescent="0.25">
      <c r="A2294" s="14"/>
      <c r="B2294"/>
      <c r="C2294" s="15"/>
      <c r="D2294"/>
      <c r="E2294"/>
      <c r="F2294" s="16"/>
      <c r="G2294"/>
      <c r="H2294"/>
      <c r="I2294" s="16"/>
      <c r="J2294"/>
      <c r="K2294"/>
      <c r="L2294"/>
      <c r="M2294" s="17"/>
      <c r="N2294"/>
      <c r="O2294"/>
      <c r="P2294" s="34"/>
    </row>
    <row r="2295" spans="1:16" x14ac:dyDescent="0.25">
      <c r="A2295" s="14"/>
      <c r="B2295"/>
      <c r="C2295" s="15"/>
      <c r="D2295"/>
      <c r="E2295"/>
      <c r="F2295" s="16"/>
      <c r="G2295"/>
      <c r="H2295"/>
      <c r="I2295" s="16"/>
      <c r="J2295"/>
      <c r="K2295"/>
      <c r="L2295"/>
      <c r="M2295" s="17"/>
      <c r="N2295"/>
      <c r="O2295"/>
      <c r="P2295" s="34"/>
    </row>
    <row r="2296" spans="1:16" x14ac:dyDescent="0.25">
      <c r="A2296" s="14"/>
      <c r="B2296"/>
      <c r="C2296" s="15"/>
      <c r="D2296"/>
      <c r="E2296"/>
      <c r="F2296" s="16"/>
      <c r="G2296"/>
      <c r="H2296"/>
      <c r="I2296" s="16"/>
      <c r="J2296"/>
      <c r="K2296"/>
      <c r="L2296"/>
      <c r="M2296" s="17"/>
      <c r="N2296"/>
      <c r="O2296"/>
      <c r="P2296" s="34"/>
    </row>
    <row r="2297" spans="1:16" x14ac:dyDescent="0.25">
      <c r="A2297" s="14"/>
      <c r="B2297"/>
      <c r="C2297" s="15"/>
      <c r="D2297"/>
      <c r="E2297"/>
      <c r="F2297" s="16"/>
      <c r="G2297"/>
      <c r="H2297"/>
      <c r="I2297" s="16"/>
      <c r="J2297"/>
      <c r="K2297"/>
      <c r="L2297"/>
      <c r="M2297" s="17"/>
      <c r="N2297"/>
      <c r="O2297"/>
      <c r="P2297" s="34"/>
    </row>
    <row r="2298" spans="1:16" x14ac:dyDescent="0.25">
      <c r="A2298" s="14"/>
      <c r="B2298"/>
      <c r="C2298" s="15"/>
      <c r="D2298"/>
      <c r="E2298"/>
      <c r="F2298" s="16"/>
      <c r="G2298"/>
      <c r="H2298"/>
      <c r="I2298" s="16"/>
      <c r="J2298"/>
      <c r="K2298"/>
      <c r="L2298"/>
      <c r="M2298" s="17"/>
      <c r="N2298"/>
      <c r="O2298"/>
      <c r="P2298" s="34"/>
    </row>
    <row r="2299" spans="1:16" x14ac:dyDescent="0.25">
      <c r="A2299" s="14"/>
      <c r="B2299"/>
      <c r="C2299" s="15"/>
      <c r="D2299"/>
      <c r="E2299"/>
      <c r="F2299" s="16"/>
      <c r="G2299"/>
      <c r="H2299"/>
      <c r="I2299" s="16"/>
      <c r="J2299"/>
      <c r="K2299"/>
      <c r="L2299"/>
      <c r="M2299" s="17"/>
      <c r="N2299"/>
      <c r="O2299"/>
      <c r="P2299" s="34"/>
    </row>
    <row r="2300" spans="1:16" x14ac:dyDescent="0.25">
      <c r="A2300" s="14"/>
      <c r="B2300"/>
      <c r="C2300" s="15"/>
      <c r="D2300"/>
      <c r="E2300"/>
      <c r="F2300" s="16"/>
      <c r="G2300"/>
      <c r="H2300"/>
      <c r="I2300" s="16"/>
      <c r="J2300"/>
      <c r="K2300"/>
      <c r="L2300"/>
      <c r="M2300" s="17"/>
      <c r="N2300"/>
      <c r="O2300"/>
      <c r="P2300" s="34"/>
    </row>
    <row r="2301" spans="1:16" x14ac:dyDescent="0.25">
      <c r="A2301" s="14"/>
      <c r="B2301"/>
      <c r="C2301" s="15"/>
      <c r="D2301"/>
      <c r="E2301"/>
      <c r="F2301" s="16"/>
      <c r="G2301"/>
      <c r="H2301"/>
      <c r="I2301" s="16"/>
      <c r="J2301"/>
      <c r="K2301"/>
      <c r="L2301"/>
      <c r="M2301" s="17"/>
      <c r="N2301"/>
      <c r="O2301"/>
      <c r="P2301" s="34"/>
    </row>
    <row r="2302" spans="1:16" x14ac:dyDescent="0.25">
      <c r="A2302" s="14"/>
      <c r="B2302"/>
      <c r="C2302" s="15"/>
      <c r="D2302"/>
      <c r="E2302"/>
      <c r="F2302" s="16"/>
      <c r="G2302"/>
      <c r="H2302"/>
      <c r="I2302" s="16"/>
      <c r="J2302"/>
      <c r="K2302"/>
      <c r="L2302"/>
      <c r="M2302" s="17"/>
      <c r="N2302"/>
      <c r="O2302"/>
      <c r="P2302" s="34"/>
    </row>
    <row r="2303" spans="1:16" x14ac:dyDescent="0.25">
      <c r="A2303" s="14"/>
      <c r="B2303"/>
      <c r="C2303" s="15"/>
      <c r="D2303"/>
      <c r="E2303"/>
      <c r="F2303" s="16"/>
      <c r="G2303"/>
      <c r="H2303"/>
      <c r="I2303" s="16"/>
      <c r="J2303"/>
      <c r="K2303"/>
      <c r="L2303"/>
      <c r="M2303" s="17"/>
      <c r="N2303"/>
      <c r="O2303"/>
      <c r="P2303" s="34"/>
    </row>
    <row r="2304" spans="1:16" x14ac:dyDescent="0.25">
      <c r="A2304" s="14"/>
      <c r="B2304"/>
      <c r="C2304" s="15"/>
      <c r="D2304"/>
      <c r="E2304"/>
      <c r="F2304" s="16"/>
      <c r="G2304"/>
      <c r="H2304"/>
      <c r="I2304" s="16"/>
      <c r="J2304"/>
      <c r="K2304"/>
      <c r="L2304"/>
      <c r="M2304" s="17"/>
      <c r="N2304"/>
      <c r="O2304"/>
      <c r="P2304" s="34"/>
    </row>
    <row r="2305" spans="1:16" x14ac:dyDescent="0.25">
      <c r="A2305" s="14"/>
      <c r="B2305"/>
      <c r="C2305" s="15"/>
      <c r="D2305"/>
      <c r="E2305"/>
      <c r="F2305" s="16"/>
      <c r="G2305"/>
      <c r="H2305"/>
      <c r="I2305" s="16"/>
      <c r="J2305"/>
      <c r="K2305"/>
      <c r="L2305"/>
      <c r="M2305" s="17"/>
      <c r="N2305"/>
      <c r="O2305"/>
      <c r="P2305" s="34"/>
    </row>
    <row r="2306" spans="1:16" x14ac:dyDescent="0.25">
      <c r="A2306" s="14"/>
      <c r="B2306"/>
      <c r="C2306" s="15"/>
      <c r="D2306"/>
      <c r="E2306"/>
      <c r="F2306" s="16"/>
      <c r="G2306"/>
      <c r="H2306"/>
      <c r="I2306" s="16"/>
      <c r="J2306"/>
      <c r="K2306"/>
      <c r="L2306"/>
      <c r="M2306" s="17"/>
      <c r="N2306"/>
      <c r="O2306"/>
      <c r="P2306" s="34"/>
    </row>
    <row r="2307" spans="1:16" x14ac:dyDescent="0.25">
      <c r="A2307" s="14"/>
      <c r="B2307"/>
      <c r="C2307" s="15"/>
      <c r="D2307"/>
      <c r="E2307"/>
      <c r="F2307" s="16"/>
      <c r="G2307"/>
      <c r="H2307"/>
      <c r="I2307" s="16"/>
      <c r="J2307"/>
      <c r="K2307"/>
      <c r="L2307"/>
      <c r="M2307" s="17"/>
      <c r="N2307"/>
      <c r="O2307"/>
      <c r="P2307" s="34"/>
    </row>
    <row r="2308" spans="1:16" x14ac:dyDescent="0.25">
      <c r="A2308" s="14"/>
      <c r="B2308"/>
      <c r="C2308" s="15"/>
      <c r="D2308"/>
      <c r="E2308"/>
      <c r="F2308" s="16"/>
      <c r="G2308"/>
      <c r="H2308"/>
      <c r="I2308" s="16"/>
      <c r="J2308"/>
      <c r="K2308"/>
      <c r="L2308"/>
      <c r="M2308" s="17"/>
      <c r="N2308"/>
      <c r="O2308"/>
      <c r="P2308" s="34"/>
    </row>
    <row r="2309" spans="1:16" x14ac:dyDescent="0.25">
      <c r="A2309" s="14"/>
      <c r="B2309"/>
      <c r="C2309" s="15"/>
      <c r="D2309"/>
      <c r="E2309"/>
      <c r="F2309" s="16"/>
      <c r="G2309"/>
      <c r="H2309"/>
      <c r="I2309" s="16"/>
      <c r="J2309"/>
      <c r="K2309"/>
      <c r="L2309"/>
      <c r="M2309" s="17"/>
      <c r="N2309"/>
      <c r="O2309"/>
      <c r="P2309" s="34"/>
    </row>
    <row r="2310" spans="1:16" x14ac:dyDescent="0.25">
      <c r="A2310" s="14"/>
      <c r="B2310"/>
      <c r="C2310" s="15"/>
      <c r="D2310"/>
      <c r="E2310"/>
      <c r="F2310" s="16"/>
      <c r="G2310"/>
      <c r="H2310"/>
      <c r="I2310" s="16"/>
      <c r="J2310"/>
      <c r="K2310"/>
      <c r="L2310"/>
      <c r="M2310" s="17"/>
      <c r="N2310"/>
      <c r="O2310"/>
      <c r="P2310" s="34"/>
    </row>
    <row r="2311" spans="1:16" x14ac:dyDescent="0.25">
      <c r="A2311" s="14"/>
      <c r="B2311"/>
      <c r="C2311" s="15"/>
      <c r="D2311"/>
      <c r="E2311"/>
      <c r="F2311" s="16"/>
      <c r="G2311"/>
      <c r="H2311"/>
      <c r="I2311" s="16"/>
      <c r="J2311"/>
      <c r="K2311"/>
      <c r="L2311"/>
      <c r="M2311" s="17"/>
      <c r="N2311"/>
      <c r="O2311"/>
      <c r="P2311" s="34"/>
    </row>
    <row r="2312" spans="1:16" x14ac:dyDescent="0.25">
      <c r="A2312" s="14"/>
      <c r="B2312"/>
      <c r="C2312" s="15"/>
      <c r="D2312"/>
      <c r="E2312"/>
      <c r="F2312" s="16"/>
      <c r="G2312"/>
      <c r="H2312"/>
      <c r="I2312" s="16"/>
      <c r="J2312"/>
      <c r="K2312"/>
      <c r="L2312"/>
      <c r="M2312" s="17"/>
      <c r="N2312"/>
      <c r="O2312"/>
      <c r="P2312" s="34"/>
    </row>
    <row r="2313" spans="1:16" x14ac:dyDescent="0.25">
      <c r="A2313" s="14"/>
      <c r="B2313"/>
      <c r="C2313" s="15"/>
      <c r="D2313"/>
      <c r="E2313"/>
      <c r="F2313" s="16"/>
      <c r="G2313"/>
      <c r="H2313"/>
      <c r="I2313" s="16"/>
      <c r="J2313"/>
      <c r="K2313"/>
      <c r="L2313"/>
      <c r="M2313" s="17"/>
      <c r="N2313"/>
      <c r="O2313"/>
      <c r="P2313" s="34"/>
    </row>
    <row r="2314" spans="1:16" x14ac:dyDescent="0.25">
      <c r="A2314" s="14"/>
      <c r="B2314"/>
      <c r="C2314" s="15"/>
      <c r="D2314"/>
      <c r="E2314"/>
      <c r="F2314" s="16"/>
      <c r="G2314"/>
      <c r="H2314"/>
      <c r="I2314" s="16"/>
      <c r="J2314"/>
      <c r="K2314"/>
      <c r="L2314"/>
      <c r="M2314" s="17"/>
      <c r="N2314"/>
      <c r="O2314"/>
      <c r="P2314" s="34"/>
    </row>
    <row r="2315" spans="1:16" x14ac:dyDescent="0.25">
      <c r="A2315" s="14"/>
      <c r="B2315"/>
      <c r="C2315" s="15"/>
      <c r="D2315"/>
      <c r="E2315"/>
      <c r="F2315" s="16"/>
      <c r="G2315"/>
      <c r="H2315"/>
      <c r="I2315" s="16"/>
      <c r="J2315"/>
      <c r="K2315"/>
      <c r="L2315"/>
      <c r="M2315" s="17"/>
      <c r="N2315"/>
      <c r="O2315"/>
      <c r="P2315" s="34"/>
    </row>
    <row r="2316" spans="1:16" x14ac:dyDescent="0.25">
      <c r="A2316" s="14"/>
      <c r="B2316"/>
      <c r="C2316" s="15"/>
      <c r="D2316"/>
      <c r="E2316"/>
      <c r="F2316" s="16"/>
      <c r="G2316"/>
      <c r="H2316"/>
      <c r="I2316" s="16"/>
      <c r="J2316"/>
      <c r="K2316"/>
      <c r="L2316"/>
      <c r="M2316" s="17"/>
      <c r="N2316"/>
      <c r="O2316"/>
      <c r="P2316" s="34"/>
    </row>
    <row r="2317" spans="1:16" x14ac:dyDescent="0.25">
      <c r="A2317" s="14"/>
      <c r="B2317"/>
      <c r="C2317" s="15"/>
      <c r="D2317"/>
      <c r="E2317"/>
      <c r="F2317" s="16"/>
      <c r="G2317"/>
      <c r="H2317"/>
      <c r="I2317" s="16"/>
      <c r="J2317"/>
      <c r="K2317"/>
      <c r="L2317"/>
      <c r="M2317" s="17"/>
      <c r="N2317"/>
      <c r="O2317"/>
      <c r="P2317" s="34"/>
    </row>
    <row r="2318" spans="1:16" x14ac:dyDescent="0.25">
      <c r="A2318" s="14"/>
      <c r="B2318"/>
      <c r="C2318" s="15"/>
      <c r="D2318"/>
      <c r="E2318"/>
      <c r="F2318" s="16"/>
      <c r="G2318"/>
      <c r="H2318"/>
      <c r="I2318" s="16"/>
      <c r="J2318"/>
      <c r="K2318"/>
      <c r="L2318"/>
      <c r="M2318" s="17"/>
      <c r="N2318"/>
      <c r="O2318"/>
      <c r="P2318" s="34"/>
    </row>
    <row r="2319" spans="1:16" x14ac:dyDescent="0.25">
      <c r="A2319" s="14"/>
      <c r="B2319"/>
      <c r="C2319" s="15"/>
      <c r="D2319"/>
      <c r="E2319"/>
      <c r="F2319" s="16"/>
      <c r="G2319"/>
      <c r="H2319"/>
      <c r="I2319" s="16"/>
      <c r="J2319"/>
      <c r="K2319"/>
      <c r="L2319"/>
      <c r="M2319" s="17"/>
      <c r="N2319"/>
      <c r="O2319"/>
      <c r="P2319" s="34"/>
    </row>
    <row r="2320" spans="1:16" x14ac:dyDescent="0.25">
      <c r="A2320" s="14"/>
      <c r="B2320"/>
      <c r="C2320" s="15"/>
      <c r="D2320"/>
      <c r="E2320"/>
      <c r="F2320" s="16"/>
      <c r="G2320"/>
      <c r="H2320"/>
      <c r="I2320" s="16"/>
      <c r="J2320"/>
      <c r="K2320"/>
      <c r="L2320"/>
      <c r="M2320" s="17"/>
      <c r="N2320"/>
      <c r="O2320"/>
      <c r="P2320" s="34"/>
    </row>
    <row r="2321" spans="1:16" x14ac:dyDescent="0.25">
      <c r="A2321" s="14"/>
      <c r="B2321"/>
      <c r="C2321" s="15"/>
      <c r="D2321"/>
      <c r="E2321"/>
      <c r="F2321" s="16"/>
      <c r="G2321"/>
      <c r="H2321"/>
      <c r="I2321" s="16"/>
      <c r="J2321"/>
      <c r="K2321"/>
      <c r="L2321"/>
      <c r="M2321" s="17"/>
      <c r="N2321"/>
      <c r="O2321"/>
      <c r="P2321" s="34"/>
    </row>
    <row r="2322" spans="1:16" x14ac:dyDescent="0.25">
      <c r="A2322" s="14"/>
      <c r="B2322"/>
      <c r="C2322" s="15"/>
      <c r="D2322"/>
      <c r="E2322"/>
      <c r="F2322" s="16"/>
      <c r="G2322"/>
      <c r="H2322"/>
      <c r="I2322" s="16"/>
      <c r="J2322"/>
      <c r="K2322"/>
      <c r="L2322"/>
      <c r="M2322" s="17"/>
      <c r="N2322"/>
      <c r="O2322"/>
      <c r="P2322" s="34"/>
    </row>
    <row r="2323" spans="1:16" x14ac:dyDescent="0.25">
      <c r="A2323" s="14"/>
      <c r="B2323"/>
      <c r="C2323" s="15"/>
      <c r="D2323"/>
      <c r="E2323"/>
      <c r="F2323" s="16"/>
      <c r="G2323"/>
      <c r="H2323"/>
      <c r="I2323" s="16"/>
      <c r="J2323"/>
      <c r="K2323"/>
      <c r="L2323"/>
      <c r="M2323" s="17"/>
      <c r="N2323"/>
      <c r="O2323"/>
      <c r="P2323" s="34"/>
    </row>
    <row r="2324" spans="1:16" x14ac:dyDescent="0.25">
      <c r="A2324" s="14"/>
      <c r="B2324"/>
      <c r="C2324" s="15"/>
      <c r="D2324"/>
      <c r="E2324"/>
      <c r="F2324" s="16"/>
      <c r="G2324"/>
      <c r="H2324"/>
      <c r="I2324" s="16"/>
      <c r="J2324"/>
      <c r="K2324"/>
      <c r="L2324"/>
      <c r="M2324" s="17"/>
      <c r="N2324"/>
      <c r="O2324"/>
      <c r="P2324" s="34"/>
    </row>
    <row r="2325" spans="1:16" x14ac:dyDescent="0.25">
      <c r="A2325" s="14"/>
      <c r="B2325"/>
      <c r="C2325" s="15"/>
      <c r="D2325"/>
      <c r="E2325"/>
      <c r="F2325" s="16"/>
      <c r="G2325"/>
      <c r="H2325"/>
      <c r="I2325" s="16"/>
      <c r="J2325"/>
      <c r="K2325"/>
      <c r="L2325"/>
      <c r="M2325" s="17"/>
      <c r="N2325"/>
      <c r="O2325"/>
      <c r="P2325" s="34"/>
    </row>
    <row r="2326" spans="1:16" x14ac:dyDescent="0.25">
      <c r="A2326" s="14"/>
      <c r="B2326"/>
      <c r="C2326" s="15"/>
      <c r="D2326"/>
      <c r="E2326"/>
      <c r="F2326" s="16"/>
      <c r="G2326"/>
      <c r="H2326"/>
      <c r="I2326" s="16"/>
      <c r="J2326"/>
      <c r="K2326"/>
      <c r="L2326"/>
      <c r="M2326" s="17"/>
      <c r="N2326"/>
      <c r="O2326"/>
      <c r="P2326" s="34"/>
    </row>
    <row r="2327" spans="1:16" x14ac:dyDescent="0.25">
      <c r="A2327" s="14"/>
      <c r="B2327"/>
      <c r="C2327" s="15"/>
      <c r="D2327"/>
      <c r="E2327"/>
      <c r="F2327" s="16"/>
      <c r="G2327"/>
      <c r="H2327"/>
      <c r="I2327" s="16"/>
      <c r="J2327"/>
      <c r="K2327"/>
      <c r="L2327"/>
      <c r="M2327" s="17"/>
      <c r="N2327"/>
      <c r="O2327"/>
      <c r="P2327" s="34"/>
    </row>
    <row r="2328" spans="1:16" x14ac:dyDescent="0.25">
      <c r="A2328" s="14"/>
      <c r="B2328"/>
      <c r="C2328" s="15"/>
      <c r="D2328"/>
      <c r="E2328"/>
      <c r="F2328" s="16"/>
      <c r="G2328"/>
      <c r="H2328"/>
      <c r="I2328" s="16"/>
      <c r="J2328"/>
      <c r="K2328"/>
      <c r="L2328"/>
      <c r="M2328" s="17"/>
      <c r="N2328"/>
      <c r="O2328"/>
      <c r="P2328" s="34"/>
    </row>
    <row r="2329" spans="1:16" x14ac:dyDescent="0.25">
      <c r="A2329" s="14"/>
      <c r="B2329"/>
      <c r="C2329" s="15"/>
      <c r="D2329"/>
      <c r="E2329"/>
      <c r="F2329" s="16"/>
      <c r="G2329"/>
      <c r="H2329"/>
      <c r="I2329" s="16"/>
      <c r="J2329"/>
      <c r="K2329"/>
      <c r="L2329"/>
      <c r="M2329" s="17"/>
      <c r="N2329"/>
      <c r="O2329"/>
      <c r="P2329" s="34"/>
    </row>
    <row r="2330" spans="1:16" x14ac:dyDescent="0.25">
      <c r="A2330" s="14"/>
      <c r="B2330"/>
      <c r="C2330" s="15"/>
      <c r="D2330"/>
      <c r="E2330"/>
      <c r="F2330" s="16"/>
      <c r="G2330"/>
      <c r="H2330"/>
      <c r="I2330" s="16"/>
      <c r="J2330"/>
      <c r="K2330"/>
      <c r="L2330"/>
      <c r="M2330" s="17"/>
      <c r="N2330"/>
      <c r="O2330"/>
      <c r="P2330" s="34"/>
    </row>
    <row r="2331" spans="1:16" x14ac:dyDescent="0.25">
      <c r="A2331" s="14"/>
      <c r="B2331"/>
      <c r="C2331" s="15"/>
      <c r="D2331"/>
      <c r="E2331"/>
      <c r="F2331" s="16"/>
      <c r="G2331"/>
      <c r="H2331"/>
      <c r="I2331" s="16"/>
      <c r="J2331"/>
      <c r="K2331"/>
      <c r="L2331"/>
      <c r="M2331" s="17"/>
      <c r="N2331"/>
      <c r="O2331"/>
      <c r="P2331" s="34"/>
    </row>
    <row r="2332" spans="1:16" x14ac:dyDescent="0.25">
      <c r="A2332" s="14"/>
      <c r="B2332"/>
      <c r="C2332" s="15"/>
      <c r="D2332"/>
      <c r="E2332"/>
      <c r="F2332" s="16"/>
      <c r="G2332"/>
      <c r="H2332"/>
      <c r="I2332" s="16"/>
      <c r="J2332"/>
      <c r="K2332"/>
      <c r="L2332"/>
      <c r="M2332" s="17"/>
      <c r="N2332"/>
      <c r="O2332"/>
      <c r="P2332" s="34"/>
    </row>
    <row r="2333" spans="1:16" x14ac:dyDescent="0.25">
      <c r="A2333" s="14"/>
      <c r="B2333"/>
      <c r="C2333" s="15"/>
      <c r="D2333"/>
      <c r="E2333"/>
      <c r="F2333" s="16"/>
      <c r="G2333"/>
      <c r="H2333"/>
      <c r="I2333" s="16"/>
      <c r="J2333"/>
      <c r="K2333"/>
      <c r="L2333"/>
      <c r="M2333" s="17"/>
      <c r="N2333"/>
      <c r="O2333"/>
      <c r="P2333" s="34"/>
    </row>
    <row r="2334" spans="1:16" x14ac:dyDescent="0.25">
      <c r="A2334" s="14"/>
      <c r="B2334"/>
      <c r="C2334" s="15"/>
      <c r="D2334"/>
      <c r="E2334"/>
      <c r="F2334" s="16"/>
      <c r="G2334"/>
      <c r="H2334"/>
      <c r="I2334" s="16"/>
      <c r="J2334"/>
      <c r="K2334"/>
      <c r="L2334"/>
      <c r="M2334" s="17"/>
      <c r="N2334"/>
      <c r="O2334"/>
      <c r="P2334" s="34"/>
    </row>
    <row r="2335" spans="1:16" x14ac:dyDescent="0.25">
      <c r="A2335" s="14"/>
      <c r="B2335"/>
      <c r="C2335" s="15"/>
      <c r="D2335"/>
      <c r="E2335"/>
      <c r="F2335" s="16"/>
      <c r="G2335"/>
      <c r="H2335"/>
      <c r="I2335" s="16"/>
      <c r="J2335"/>
      <c r="K2335"/>
      <c r="L2335"/>
      <c r="M2335" s="17"/>
      <c r="N2335"/>
      <c r="O2335"/>
      <c r="P2335" s="34"/>
    </row>
    <row r="2336" spans="1:16" x14ac:dyDescent="0.25">
      <c r="A2336" s="14"/>
      <c r="B2336"/>
      <c r="C2336" s="15"/>
      <c r="D2336"/>
      <c r="E2336"/>
      <c r="F2336" s="16"/>
      <c r="G2336"/>
      <c r="H2336"/>
      <c r="I2336" s="16"/>
      <c r="J2336"/>
      <c r="K2336"/>
      <c r="L2336"/>
      <c r="M2336" s="17"/>
      <c r="N2336"/>
      <c r="O2336"/>
      <c r="P2336" s="34"/>
    </row>
    <row r="2337" spans="1:16" x14ac:dyDescent="0.25">
      <c r="A2337" s="14"/>
      <c r="B2337"/>
      <c r="C2337" s="15"/>
      <c r="D2337"/>
      <c r="E2337"/>
      <c r="F2337" s="16"/>
      <c r="G2337"/>
      <c r="H2337"/>
      <c r="I2337" s="16"/>
      <c r="J2337"/>
      <c r="K2337"/>
      <c r="L2337"/>
      <c r="M2337" s="17"/>
      <c r="N2337"/>
      <c r="O2337"/>
      <c r="P2337" s="34"/>
    </row>
    <row r="2338" spans="1:16" x14ac:dyDescent="0.25">
      <c r="A2338" s="14"/>
      <c r="B2338"/>
      <c r="C2338" s="15"/>
      <c r="D2338"/>
      <c r="E2338"/>
      <c r="F2338" s="16"/>
      <c r="G2338"/>
      <c r="H2338"/>
      <c r="I2338" s="16"/>
      <c r="J2338"/>
      <c r="K2338"/>
      <c r="L2338"/>
      <c r="M2338" s="17"/>
      <c r="N2338"/>
      <c r="O2338"/>
      <c r="P2338" s="34"/>
    </row>
    <row r="2339" spans="1:16" x14ac:dyDescent="0.25">
      <c r="A2339" s="14"/>
      <c r="B2339"/>
      <c r="C2339" s="15"/>
      <c r="D2339"/>
      <c r="E2339"/>
      <c r="F2339" s="16"/>
      <c r="G2339"/>
      <c r="H2339"/>
      <c r="I2339" s="16"/>
      <c r="J2339"/>
      <c r="K2339"/>
      <c r="L2339"/>
      <c r="M2339" s="17"/>
      <c r="N2339"/>
      <c r="O2339"/>
      <c r="P2339" s="34"/>
    </row>
    <row r="2340" spans="1:16" x14ac:dyDescent="0.25">
      <c r="A2340" s="14"/>
      <c r="B2340"/>
      <c r="C2340" s="15"/>
      <c r="D2340"/>
      <c r="E2340"/>
      <c r="F2340" s="16"/>
      <c r="G2340"/>
      <c r="H2340"/>
      <c r="I2340" s="16"/>
      <c r="J2340"/>
      <c r="K2340"/>
      <c r="L2340"/>
      <c r="M2340" s="17"/>
      <c r="N2340"/>
      <c r="O2340"/>
      <c r="P2340" s="34"/>
    </row>
    <row r="2341" spans="1:16" x14ac:dyDescent="0.25">
      <c r="A2341" s="14"/>
      <c r="B2341"/>
      <c r="C2341" s="15"/>
      <c r="D2341"/>
      <c r="E2341"/>
      <c r="F2341" s="16"/>
      <c r="G2341"/>
      <c r="H2341"/>
      <c r="I2341" s="16"/>
      <c r="J2341"/>
      <c r="K2341"/>
      <c r="L2341"/>
      <c r="M2341" s="17"/>
      <c r="N2341"/>
      <c r="O2341"/>
      <c r="P2341" s="34"/>
    </row>
    <row r="2342" spans="1:16" x14ac:dyDescent="0.25">
      <c r="A2342" s="14"/>
      <c r="B2342"/>
      <c r="C2342" s="15"/>
      <c r="D2342"/>
      <c r="E2342"/>
      <c r="F2342" s="16"/>
      <c r="G2342"/>
      <c r="H2342"/>
      <c r="I2342" s="16"/>
      <c r="J2342"/>
      <c r="K2342"/>
      <c r="L2342"/>
      <c r="M2342" s="17"/>
      <c r="N2342"/>
      <c r="O2342"/>
      <c r="P2342" s="34"/>
    </row>
    <row r="2343" spans="1:16" x14ac:dyDescent="0.25">
      <c r="A2343" s="14"/>
      <c r="B2343"/>
      <c r="C2343" s="15"/>
      <c r="D2343"/>
      <c r="E2343"/>
      <c r="F2343" s="16"/>
      <c r="G2343"/>
      <c r="H2343"/>
      <c r="I2343" s="16"/>
      <c r="J2343"/>
      <c r="K2343"/>
      <c r="L2343"/>
      <c r="M2343" s="17"/>
      <c r="N2343"/>
      <c r="O2343"/>
      <c r="P2343" s="34"/>
    </row>
    <row r="2344" spans="1:16" x14ac:dyDescent="0.25">
      <c r="A2344" s="14"/>
      <c r="B2344"/>
      <c r="C2344" s="15"/>
      <c r="D2344"/>
      <c r="E2344"/>
      <c r="F2344" s="16"/>
      <c r="G2344"/>
      <c r="H2344"/>
      <c r="I2344" s="16"/>
      <c r="J2344"/>
      <c r="K2344"/>
      <c r="L2344"/>
      <c r="M2344" s="17"/>
      <c r="N2344"/>
      <c r="O2344"/>
      <c r="P2344" s="34"/>
    </row>
    <row r="2345" spans="1:16" x14ac:dyDescent="0.25">
      <c r="A2345" s="14"/>
      <c r="B2345"/>
      <c r="C2345" s="15"/>
      <c r="D2345"/>
      <c r="E2345"/>
      <c r="F2345" s="16"/>
      <c r="G2345"/>
      <c r="H2345"/>
      <c r="I2345" s="16"/>
      <c r="J2345"/>
      <c r="K2345"/>
      <c r="L2345"/>
      <c r="M2345" s="17"/>
      <c r="N2345"/>
      <c r="O2345"/>
      <c r="P2345" s="34"/>
    </row>
    <row r="2346" spans="1:16" x14ac:dyDescent="0.25">
      <c r="A2346" s="14"/>
      <c r="B2346"/>
      <c r="C2346" s="15"/>
      <c r="D2346"/>
      <c r="E2346"/>
      <c r="F2346" s="16"/>
      <c r="G2346"/>
      <c r="H2346"/>
      <c r="I2346" s="16"/>
      <c r="J2346"/>
      <c r="K2346"/>
      <c r="L2346"/>
      <c r="M2346" s="17"/>
      <c r="N2346"/>
      <c r="O2346"/>
      <c r="P2346" s="34"/>
    </row>
    <row r="2347" spans="1:16" x14ac:dyDescent="0.25">
      <c r="A2347" s="14"/>
      <c r="B2347"/>
      <c r="C2347" s="15"/>
      <c r="D2347"/>
      <c r="E2347"/>
      <c r="F2347" s="16"/>
      <c r="G2347"/>
      <c r="H2347"/>
      <c r="I2347" s="16"/>
      <c r="J2347"/>
      <c r="K2347"/>
      <c r="L2347"/>
      <c r="M2347" s="17"/>
      <c r="N2347"/>
      <c r="O2347"/>
      <c r="P2347" s="34"/>
    </row>
    <row r="2348" spans="1:16" x14ac:dyDescent="0.25">
      <c r="A2348" s="14"/>
      <c r="B2348"/>
      <c r="C2348" s="15"/>
      <c r="D2348"/>
      <c r="E2348"/>
      <c r="F2348" s="16"/>
      <c r="G2348"/>
      <c r="H2348"/>
      <c r="I2348" s="16"/>
      <c r="J2348"/>
      <c r="K2348"/>
      <c r="L2348"/>
      <c r="M2348" s="17"/>
      <c r="N2348"/>
      <c r="O2348"/>
      <c r="P2348" s="34"/>
    </row>
    <row r="2349" spans="1:16" x14ac:dyDescent="0.25">
      <c r="A2349" s="14"/>
      <c r="B2349"/>
      <c r="C2349" s="15"/>
      <c r="D2349"/>
      <c r="E2349"/>
      <c r="F2349" s="16"/>
      <c r="G2349"/>
      <c r="H2349"/>
      <c r="I2349" s="16"/>
      <c r="J2349"/>
      <c r="K2349"/>
      <c r="L2349"/>
      <c r="M2349" s="17"/>
      <c r="N2349"/>
      <c r="O2349"/>
      <c r="P2349" s="34"/>
    </row>
    <row r="2350" spans="1:16" x14ac:dyDescent="0.25">
      <c r="A2350" s="14"/>
      <c r="B2350"/>
      <c r="C2350" s="15"/>
      <c r="D2350"/>
      <c r="E2350"/>
      <c r="F2350" s="16"/>
      <c r="G2350"/>
      <c r="H2350"/>
      <c r="I2350" s="16"/>
      <c r="J2350"/>
      <c r="K2350"/>
      <c r="L2350"/>
      <c r="M2350" s="17"/>
      <c r="N2350"/>
      <c r="O2350"/>
      <c r="P2350" s="34"/>
    </row>
    <row r="2351" spans="1:16" x14ac:dyDescent="0.25">
      <c r="A2351" s="14"/>
      <c r="B2351"/>
      <c r="C2351" s="15"/>
      <c r="D2351"/>
      <c r="E2351"/>
      <c r="F2351" s="16"/>
      <c r="G2351"/>
      <c r="H2351"/>
      <c r="I2351" s="16"/>
      <c r="J2351"/>
      <c r="K2351"/>
      <c r="L2351"/>
      <c r="M2351" s="17"/>
      <c r="N2351"/>
      <c r="O2351"/>
      <c r="P2351" s="34"/>
    </row>
    <row r="2352" spans="1:16" x14ac:dyDescent="0.25">
      <c r="A2352" s="14"/>
      <c r="B2352"/>
      <c r="C2352" s="15"/>
      <c r="D2352"/>
      <c r="E2352"/>
      <c r="F2352" s="16"/>
      <c r="G2352"/>
      <c r="H2352"/>
      <c r="I2352" s="16"/>
      <c r="J2352"/>
      <c r="K2352"/>
      <c r="L2352"/>
      <c r="M2352" s="17"/>
      <c r="N2352"/>
      <c r="O2352"/>
      <c r="P2352" s="34"/>
    </row>
    <row r="2353" spans="1:16" x14ac:dyDescent="0.25">
      <c r="A2353" s="14"/>
      <c r="B2353"/>
      <c r="C2353" s="15"/>
      <c r="D2353"/>
      <c r="E2353"/>
      <c r="F2353" s="16"/>
      <c r="G2353"/>
      <c r="H2353"/>
      <c r="I2353" s="16"/>
      <c r="J2353"/>
      <c r="K2353"/>
      <c r="L2353"/>
      <c r="M2353" s="17"/>
      <c r="N2353"/>
      <c r="O2353"/>
      <c r="P2353" s="34"/>
    </row>
    <row r="2354" spans="1:16" x14ac:dyDescent="0.25">
      <c r="A2354" s="14"/>
      <c r="B2354"/>
      <c r="C2354" s="15"/>
      <c r="D2354"/>
      <c r="E2354"/>
      <c r="F2354" s="16"/>
      <c r="G2354"/>
      <c r="H2354"/>
      <c r="I2354" s="16"/>
      <c r="J2354"/>
      <c r="K2354"/>
      <c r="L2354"/>
      <c r="M2354" s="17"/>
      <c r="N2354"/>
      <c r="O2354"/>
      <c r="P2354" s="34"/>
    </row>
    <row r="2355" spans="1:16" x14ac:dyDescent="0.25">
      <c r="A2355" s="14"/>
      <c r="B2355"/>
      <c r="C2355" s="15"/>
      <c r="D2355"/>
      <c r="E2355"/>
      <c r="F2355" s="16"/>
      <c r="G2355"/>
      <c r="H2355"/>
      <c r="I2355" s="16"/>
      <c r="J2355"/>
      <c r="K2355"/>
      <c r="L2355"/>
      <c r="M2355" s="17"/>
      <c r="N2355"/>
      <c r="O2355"/>
      <c r="P2355" s="34"/>
    </row>
    <row r="2356" spans="1:16" x14ac:dyDescent="0.25">
      <c r="A2356" s="14"/>
      <c r="B2356"/>
      <c r="C2356" s="15"/>
      <c r="D2356"/>
      <c r="E2356"/>
      <c r="F2356" s="16"/>
      <c r="G2356"/>
      <c r="H2356"/>
      <c r="I2356" s="16"/>
      <c r="J2356"/>
      <c r="K2356"/>
      <c r="L2356"/>
      <c r="M2356" s="17"/>
      <c r="N2356"/>
      <c r="O2356"/>
      <c r="P2356" s="34"/>
    </row>
    <row r="2357" spans="1:16" x14ac:dyDescent="0.25">
      <c r="A2357" s="14"/>
      <c r="B2357"/>
      <c r="C2357" s="15"/>
      <c r="D2357"/>
      <c r="E2357"/>
      <c r="F2357" s="16"/>
      <c r="G2357"/>
      <c r="H2357"/>
      <c r="I2357" s="16"/>
      <c r="J2357"/>
      <c r="K2357"/>
      <c r="L2357"/>
      <c r="M2357" s="17"/>
      <c r="N2357"/>
      <c r="O2357"/>
      <c r="P2357" s="34"/>
    </row>
    <row r="2358" spans="1:16" x14ac:dyDescent="0.25">
      <c r="A2358" s="14"/>
      <c r="B2358"/>
      <c r="C2358" s="15"/>
      <c r="D2358"/>
      <c r="E2358"/>
      <c r="F2358" s="16"/>
      <c r="G2358"/>
      <c r="H2358"/>
      <c r="I2358" s="16"/>
      <c r="J2358"/>
      <c r="K2358"/>
      <c r="L2358"/>
      <c r="M2358" s="17"/>
      <c r="N2358"/>
      <c r="O2358"/>
      <c r="P2358" s="34"/>
    </row>
    <row r="2359" spans="1:16" x14ac:dyDescent="0.25">
      <c r="A2359" s="14"/>
      <c r="B2359"/>
      <c r="C2359" s="15"/>
      <c r="D2359"/>
      <c r="E2359"/>
      <c r="F2359" s="16"/>
      <c r="G2359"/>
      <c r="H2359"/>
      <c r="I2359" s="16"/>
      <c r="J2359"/>
      <c r="K2359"/>
      <c r="L2359"/>
      <c r="M2359" s="17"/>
      <c r="N2359"/>
      <c r="O2359"/>
      <c r="P2359" s="34"/>
    </row>
    <row r="2360" spans="1:16" x14ac:dyDescent="0.25">
      <c r="A2360" s="14"/>
      <c r="B2360"/>
      <c r="C2360" s="15"/>
      <c r="D2360"/>
      <c r="E2360"/>
      <c r="F2360" s="16"/>
      <c r="G2360"/>
      <c r="H2360"/>
      <c r="I2360" s="16"/>
      <c r="J2360"/>
      <c r="K2360"/>
      <c r="L2360"/>
      <c r="M2360" s="17"/>
      <c r="N2360"/>
      <c r="O2360"/>
      <c r="P2360" s="34"/>
    </row>
    <row r="2361" spans="1:16" x14ac:dyDescent="0.25">
      <c r="A2361" s="14"/>
      <c r="B2361"/>
      <c r="C2361" s="15"/>
      <c r="D2361"/>
      <c r="E2361"/>
      <c r="F2361" s="16"/>
      <c r="G2361"/>
      <c r="H2361"/>
      <c r="I2361" s="16"/>
      <c r="J2361"/>
      <c r="K2361"/>
      <c r="L2361"/>
      <c r="M2361" s="17"/>
      <c r="N2361"/>
      <c r="O2361"/>
      <c r="P2361" s="34"/>
    </row>
    <row r="2362" spans="1:16" x14ac:dyDescent="0.25">
      <c r="A2362" s="14"/>
      <c r="B2362"/>
      <c r="C2362" s="15"/>
      <c r="D2362"/>
      <c r="E2362"/>
      <c r="F2362" s="16"/>
      <c r="G2362"/>
      <c r="H2362"/>
      <c r="I2362" s="16"/>
      <c r="J2362"/>
      <c r="K2362"/>
      <c r="L2362"/>
      <c r="M2362" s="17"/>
      <c r="N2362"/>
      <c r="O2362"/>
      <c r="P2362" s="34"/>
    </row>
    <row r="2363" spans="1:16" x14ac:dyDescent="0.25">
      <c r="A2363" s="14"/>
      <c r="B2363"/>
      <c r="C2363" s="15"/>
      <c r="D2363"/>
      <c r="E2363"/>
      <c r="F2363" s="16"/>
      <c r="G2363"/>
      <c r="H2363"/>
      <c r="I2363" s="16"/>
      <c r="J2363"/>
      <c r="K2363"/>
      <c r="L2363"/>
      <c r="M2363" s="17"/>
      <c r="N2363"/>
      <c r="O2363"/>
      <c r="P2363" s="34"/>
    </row>
    <row r="2364" spans="1:16" x14ac:dyDescent="0.25">
      <c r="A2364" s="14"/>
      <c r="B2364"/>
      <c r="C2364" s="15"/>
      <c r="D2364"/>
      <c r="E2364"/>
      <c r="F2364" s="16"/>
      <c r="G2364"/>
      <c r="H2364"/>
      <c r="I2364" s="16"/>
      <c r="J2364"/>
      <c r="K2364"/>
      <c r="L2364"/>
      <c r="M2364" s="17"/>
      <c r="N2364"/>
      <c r="O2364"/>
      <c r="P2364" s="34"/>
    </row>
    <row r="2365" spans="1:16" x14ac:dyDescent="0.25">
      <c r="A2365" s="14"/>
      <c r="B2365"/>
      <c r="C2365" s="15"/>
      <c r="D2365"/>
      <c r="E2365"/>
      <c r="F2365" s="16"/>
      <c r="G2365"/>
      <c r="H2365"/>
      <c r="I2365" s="16"/>
      <c r="J2365"/>
      <c r="K2365"/>
      <c r="L2365"/>
      <c r="M2365" s="17"/>
      <c r="N2365"/>
      <c r="O2365"/>
      <c r="P2365" s="34"/>
    </row>
    <row r="2366" spans="1:16" x14ac:dyDescent="0.25">
      <c r="A2366" s="14"/>
      <c r="B2366"/>
      <c r="C2366" s="15"/>
      <c r="D2366"/>
      <c r="E2366"/>
      <c r="F2366" s="16"/>
      <c r="G2366"/>
      <c r="H2366"/>
      <c r="I2366" s="16"/>
      <c r="J2366"/>
      <c r="K2366"/>
      <c r="L2366"/>
      <c r="M2366" s="17"/>
      <c r="N2366"/>
      <c r="O2366"/>
      <c r="P2366" s="34"/>
    </row>
    <row r="2367" spans="1:16" x14ac:dyDescent="0.25">
      <c r="A2367" s="14"/>
      <c r="B2367"/>
      <c r="C2367" s="15"/>
      <c r="D2367"/>
      <c r="E2367"/>
      <c r="F2367" s="16"/>
      <c r="G2367"/>
      <c r="H2367"/>
      <c r="I2367" s="16"/>
      <c r="J2367"/>
      <c r="K2367"/>
      <c r="L2367"/>
      <c r="M2367" s="17"/>
      <c r="N2367"/>
      <c r="O2367"/>
      <c r="P2367" s="34"/>
    </row>
    <row r="2368" spans="1:16" x14ac:dyDescent="0.25">
      <c r="A2368" s="14"/>
      <c r="B2368"/>
      <c r="C2368" s="15"/>
      <c r="D2368"/>
      <c r="E2368"/>
      <c r="F2368" s="16"/>
      <c r="G2368"/>
      <c r="H2368"/>
      <c r="I2368" s="16"/>
      <c r="J2368"/>
      <c r="K2368"/>
      <c r="L2368"/>
      <c r="M2368" s="17"/>
      <c r="N2368"/>
      <c r="O2368"/>
      <c r="P2368" s="34"/>
    </row>
    <row r="2369" spans="1:16" x14ac:dyDescent="0.25">
      <c r="A2369" s="14"/>
      <c r="B2369"/>
      <c r="C2369" s="15"/>
      <c r="D2369"/>
      <c r="E2369"/>
      <c r="F2369" s="16"/>
      <c r="G2369"/>
      <c r="H2369"/>
      <c r="I2369" s="16"/>
      <c r="J2369"/>
      <c r="K2369"/>
      <c r="L2369"/>
      <c r="M2369" s="17"/>
      <c r="N2369"/>
      <c r="O2369"/>
      <c r="P2369" s="34"/>
    </row>
    <row r="2370" spans="1:16" x14ac:dyDescent="0.25">
      <c r="A2370" s="14"/>
      <c r="B2370"/>
      <c r="C2370" s="15"/>
      <c r="D2370"/>
      <c r="E2370"/>
      <c r="F2370" s="16"/>
      <c r="G2370"/>
      <c r="H2370"/>
      <c r="I2370" s="16"/>
      <c r="J2370"/>
      <c r="K2370"/>
      <c r="L2370"/>
      <c r="M2370" s="17"/>
      <c r="N2370"/>
      <c r="O2370"/>
      <c r="P2370" s="34"/>
    </row>
    <row r="2371" spans="1:16" x14ac:dyDescent="0.25">
      <c r="A2371" s="14"/>
      <c r="B2371"/>
      <c r="C2371" s="15"/>
      <c r="D2371"/>
      <c r="E2371"/>
      <c r="F2371" s="16"/>
      <c r="G2371"/>
      <c r="H2371"/>
      <c r="I2371" s="16"/>
      <c r="J2371"/>
      <c r="K2371"/>
      <c r="L2371"/>
      <c r="M2371" s="17"/>
      <c r="N2371"/>
      <c r="O2371"/>
      <c r="P2371" s="34"/>
    </row>
    <row r="2372" spans="1:16" x14ac:dyDescent="0.25">
      <c r="A2372" s="14"/>
      <c r="B2372"/>
      <c r="C2372" s="15"/>
      <c r="D2372"/>
      <c r="E2372"/>
      <c r="F2372" s="16"/>
      <c r="G2372"/>
      <c r="H2372"/>
      <c r="I2372" s="16"/>
      <c r="J2372"/>
      <c r="K2372"/>
      <c r="L2372"/>
      <c r="M2372" s="17"/>
      <c r="N2372"/>
      <c r="O2372"/>
      <c r="P2372" s="34"/>
    </row>
    <row r="2373" spans="1:16" x14ac:dyDescent="0.25">
      <c r="A2373" s="14"/>
      <c r="B2373"/>
      <c r="C2373" s="15"/>
      <c r="D2373"/>
      <c r="E2373"/>
      <c r="F2373" s="16"/>
      <c r="G2373"/>
      <c r="H2373"/>
      <c r="I2373" s="16"/>
      <c r="J2373"/>
      <c r="K2373"/>
      <c r="L2373"/>
      <c r="M2373" s="17"/>
      <c r="N2373"/>
      <c r="O2373"/>
      <c r="P2373" s="34"/>
    </row>
    <row r="2374" spans="1:16" x14ac:dyDescent="0.25">
      <c r="A2374" s="14"/>
      <c r="B2374"/>
      <c r="C2374" s="15"/>
      <c r="D2374"/>
      <c r="E2374"/>
      <c r="F2374" s="16"/>
      <c r="G2374"/>
      <c r="H2374"/>
      <c r="I2374" s="16"/>
      <c r="J2374"/>
      <c r="K2374"/>
      <c r="L2374"/>
      <c r="M2374" s="17"/>
      <c r="N2374"/>
      <c r="O2374"/>
      <c r="P2374" s="34"/>
    </row>
    <row r="2375" spans="1:16" x14ac:dyDescent="0.25">
      <c r="A2375" s="14"/>
      <c r="B2375"/>
      <c r="C2375" s="15"/>
      <c r="D2375"/>
      <c r="E2375"/>
      <c r="F2375" s="16"/>
      <c r="G2375"/>
      <c r="H2375"/>
      <c r="I2375" s="16"/>
      <c r="J2375"/>
      <c r="K2375"/>
      <c r="L2375"/>
      <c r="M2375" s="17"/>
      <c r="N2375"/>
      <c r="O2375"/>
      <c r="P2375" s="34"/>
    </row>
    <row r="2376" spans="1:16" x14ac:dyDescent="0.25">
      <c r="A2376" s="14"/>
      <c r="B2376"/>
      <c r="C2376" s="15"/>
      <c r="D2376"/>
      <c r="E2376"/>
      <c r="F2376" s="16"/>
      <c r="G2376"/>
      <c r="H2376"/>
      <c r="I2376" s="16"/>
      <c r="J2376"/>
      <c r="K2376"/>
      <c r="L2376"/>
      <c r="M2376" s="17"/>
      <c r="N2376"/>
      <c r="O2376"/>
      <c r="P2376" s="34"/>
    </row>
    <row r="2377" spans="1:16" x14ac:dyDescent="0.25">
      <c r="A2377" s="14"/>
      <c r="B2377"/>
      <c r="C2377" s="15"/>
      <c r="D2377"/>
      <c r="E2377"/>
      <c r="F2377" s="16"/>
      <c r="G2377"/>
      <c r="H2377"/>
      <c r="I2377" s="16"/>
      <c r="J2377"/>
      <c r="K2377"/>
      <c r="L2377"/>
      <c r="M2377" s="17"/>
      <c r="N2377"/>
      <c r="O2377"/>
      <c r="P2377" s="34"/>
    </row>
    <row r="2378" spans="1:16" x14ac:dyDescent="0.25">
      <c r="A2378" s="14"/>
      <c r="B2378"/>
      <c r="C2378" s="15"/>
      <c r="D2378"/>
      <c r="E2378"/>
      <c r="F2378" s="16"/>
      <c r="G2378"/>
      <c r="H2378"/>
      <c r="I2378" s="16"/>
      <c r="J2378"/>
      <c r="K2378"/>
      <c r="L2378"/>
      <c r="M2378" s="17"/>
      <c r="N2378"/>
      <c r="O2378"/>
      <c r="P2378" s="34"/>
    </row>
    <row r="2379" spans="1:16" x14ac:dyDescent="0.25">
      <c r="A2379" s="14"/>
      <c r="B2379"/>
      <c r="C2379" s="15"/>
      <c r="D2379"/>
      <c r="E2379"/>
      <c r="F2379" s="16"/>
      <c r="G2379"/>
      <c r="H2379"/>
      <c r="I2379" s="16"/>
      <c r="J2379"/>
      <c r="K2379"/>
      <c r="L2379"/>
      <c r="M2379" s="17"/>
      <c r="N2379"/>
      <c r="O2379"/>
      <c r="P2379" s="34"/>
    </row>
    <row r="2380" spans="1:16" x14ac:dyDescent="0.25">
      <c r="A2380" s="14"/>
      <c r="B2380"/>
      <c r="C2380" s="15"/>
      <c r="D2380"/>
      <c r="E2380"/>
      <c r="F2380" s="16"/>
      <c r="G2380"/>
      <c r="H2380"/>
      <c r="I2380" s="16"/>
      <c r="J2380"/>
      <c r="K2380"/>
      <c r="L2380"/>
      <c r="M2380" s="17"/>
      <c r="N2380"/>
      <c r="O2380"/>
      <c r="P2380" s="34"/>
    </row>
    <row r="2381" spans="1:16" x14ac:dyDescent="0.25">
      <c r="A2381" s="14"/>
      <c r="B2381"/>
      <c r="C2381" s="15"/>
      <c r="D2381"/>
      <c r="E2381"/>
      <c r="F2381" s="16"/>
      <c r="G2381"/>
      <c r="H2381"/>
      <c r="I2381" s="16"/>
      <c r="J2381"/>
      <c r="K2381"/>
      <c r="L2381"/>
      <c r="M2381" s="17"/>
      <c r="N2381"/>
      <c r="O2381"/>
      <c r="P2381" s="34"/>
    </row>
    <row r="2382" spans="1:16" x14ac:dyDescent="0.25">
      <c r="A2382" s="14"/>
      <c r="B2382"/>
      <c r="C2382" s="15"/>
      <c r="D2382"/>
      <c r="E2382"/>
      <c r="F2382" s="16"/>
      <c r="G2382"/>
      <c r="H2382"/>
      <c r="I2382" s="16"/>
      <c r="J2382"/>
      <c r="K2382"/>
      <c r="L2382"/>
      <c r="M2382" s="17"/>
      <c r="N2382"/>
      <c r="O2382"/>
      <c r="P2382" s="34"/>
    </row>
    <row r="2383" spans="1:16" x14ac:dyDescent="0.25">
      <c r="A2383" s="14"/>
      <c r="B2383"/>
      <c r="C2383" s="15"/>
      <c r="D2383"/>
      <c r="E2383"/>
      <c r="F2383" s="16"/>
      <c r="G2383"/>
      <c r="H2383"/>
      <c r="I2383" s="16"/>
      <c r="J2383"/>
      <c r="K2383"/>
      <c r="L2383"/>
      <c r="M2383" s="17"/>
      <c r="N2383"/>
      <c r="O2383"/>
      <c r="P2383" s="34"/>
    </row>
    <row r="2384" spans="1:16" x14ac:dyDescent="0.25">
      <c r="A2384" s="14"/>
      <c r="B2384"/>
      <c r="C2384" s="15"/>
      <c r="D2384"/>
      <c r="E2384"/>
      <c r="F2384" s="16"/>
      <c r="G2384"/>
      <c r="H2384"/>
      <c r="I2384" s="16"/>
      <c r="J2384"/>
      <c r="K2384"/>
      <c r="L2384"/>
      <c r="M2384" s="17"/>
      <c r="N2384"/>
      <c r="O2384"/>
      <c r="P2384" s="34"/>
    </row>
    <row r="2385" spans="1:16" x14ac:dyDescent="0.25">
      <c r="A2385" s="14"/>
      <c r="B2385"/>
      <c r="C2385" s="15"/>
      <c r="D2385"/>
      <c r="E2385"/>
      <c r="F2385" s="16"/>
      <c r="G2385"/>
      <c r="H2385"/>
      <c r="I2385" s="16"/>
      <c r="J2385"/>
      <c r="K2385"/>
      <c r="L2385"/>
      <c r="M2385" s="17"/>
      <c r="N2385"/>
      <c r="O2385"/>
      <c r="P2385" s="34"/>
    </row>
    <row r="2386" spans="1:16" x14ac:dyDescent="0.25">
      <c r="A2386" s="14"/>
      <c r="B2386"/>
      <c r="C2386" s="15"/>
      <c r="D2386"/>
      <c r="E2386"/>
      <c r="F2386" s="16"/>
      <c r="G2386"/>
      <c r="H2386"/>
      <c r="I2386" s="16"/>
      <c r="J2386"/>
      <c r="K2386"/>
      <c r="L2386"/>
      <c r="M2386" s="17"/>
      <c r="N2386"/>
      <c r="O2386"/>
      <c r="P2386" s="34"/>
    </row>
    <row r="2387" spans="1:16" x14ac:dyDescent="0.25">
      <c r="A2387" s="14"/>
      <c r="B2387"/>
      <c r="C2387" s="15"/>
      <c r="D2387"/>
      <c r="E2387"/>
      <c r="F2387" s="16"/>
      <c r="G2387"/>
      <c r="H2387"/>
      <c r="I2387" s="16"/>
      <c r="J2387"/>
      <c r="K2387"/>
      <c r="L2387"/>
      <c r="M2387" s="17"/>
      <c r="N2387"/>
      <c r="O2387"/>
      <c r="P2387" s="34"/>
    </row>
    <row r="2388" spans="1:16" x14ac:dyDescent="0.25">
      <c r="A2388" s="14"/>
      <c r="B2388"/>
      <c r="C2388" s="15"/>
      <c r="D2388"/>
      <c r="E2388"/>
      <c r="F2388" s="16"/>
      <c r="G2388"/>
      <c r="H2388"/>
      <c r="I2388" s="16"/>
      <c r="J2388"/>
      <c r="K2388"/>
      <c r="L2388"/>
      <c r="M2388" s="17"/>
      <c r="N2388"/>
      <c r="O2388"/>
      <c r="P2388" s="34"/>
    </row>
    <row r="2389" spans="1:16" x14ac:dyDescent="0.25">
      <c r="A2389" s="14"/>
      <c r="B2389"/>
      <c r="C2389" s="15"/>
      <c r="D2389"/>
      <c r="E2389"/>
      <c r="F2389" s="16"/>
      <c r="G2389"/>
      <c r="H2389"/>
      <c r="I2389" s="16"/>
      <c r="J2389"/>
      <c r="K2389"/>
      <c r="L2389"/>
      <c r="M2389" s="17"/>
      <c r="N2389"/>
      <c r="O2389"/>
      <c r="P2389" s="34"/>
    </row>
    <row r="2390" spans="1:16" x14ac:dyDescent="0.25">
      <c r="A2390" s="14"/>
      <c r="B2390"/>
      <c r="C2390" s="15"/>
      <c r="D2390"/>
      <c r="E2390"/>
      <c r="F2390" s="16"/>
      <c r="G2390"/>
      <c r="H2390"/>
      <c r="I2390" s="16"/>
      <c r="J2390"/>
      <c r="K2390"/>
      <c r="L2390"/>
      <c r="M2390" s="17"/>
      <c r="N2390"/>
      <c r="O2390"/>
      <c r="P2390" s="34"/>
    </row>
    <row r="2391" spans="1:16" x14ac:dyDescent="0.25">
      <c r="A2391" s="14"/>
      <c r="B2391"/>
      <c r="C2391" s="15"/>
      <c r="D2391"/>
      <c r="E2391"/>
      <c r="F2391" s="16"/>
      <c r="G2391"/>
      <c r="H2391"/>
      <c r="I2391" s="16"/>
      <c r="J2391"/>
      <c r="K2391"/>
      <c r="L2391"/>
      <c r="M2391" s="17"/>
      <c r="N2391"/>
      <c r="O2391"/>
      <c r="P2391" s="34"/>
    </row>
    <row r="2392" spans="1:16" x14ac:dyDescent="0.25">
      <c r="A2392" s="14"/>
      <c r="B2392"/>
      <c r="C2392" s="15"/>
      <c r="D2392"/>
      <c r="E2392"/>
      <c r="F2392" s="16"/>
      <c r="G2392"/>
      <c r="H2392"/>
      <c r="I2392" s="16"/>
      <c r="J2392"/>
      <c r="K2392"/>
      <c r="L2392"/>
      <c r="M2392" s="17"/>
      <c r="N2392"/>
      <c r="O2392"/>
      <c r="P2392" s="34"/>
    </row>
    <row r="2393" spans="1:16" x14ac:dyDescent="0.25">
      <c r="A2393" s="14"/>
      <c r="B2393"/>
      <c r="C2393" s="15"/>
      <c r="D2393"/>
      <c r="E2393"/>
      <c r="F2393" s="16"/>
      <c r="G2393"/>
      <c r="H2393"/>
      <c r="I2393" s="16"/>
      <c r="J2393"/>
      <c r="K2393"/>
      <c r="L2393"/>
      <c r="M2393" s="17"/>
      <c r="N2393"/>
      <c r="O2393"/>
      <c r="P2393" s="34"/>
    </row>
    <row r="2394" spans="1:16" x14ac:dyDescent="0.25">
      <c r="A2394" s="14"/>
      <c r="B2394"/>
      <c r="C2394" s="15"/>
      <c r="D2394"/>
      <c r="E2394"/>
      <c r="F2394" s="16"/>
      <c r="G2394"/>
      <c r="H2394"/>
      <c r="I2394" s="16"/>
      <c r="J2394"/>
      <c r="K2394"/>
      <c r="L2394"/>
      <c r="M2394" s="17"/>
      <c r="N2394"/>
      <c r="O2394"/>
      <c r="P2394" s="34"/>
    </row>
    <row r="2395" spans="1:16" x14ac:dyDescent="0.25">
      <c r="A2395" s="14"/>
      <c r="B2395"/>
      <c r="C2395" s="15"/>
      <c r="D2395"/>
      <c r="E2395"/>
      <c r="F2395" s="16"/>
      <c r="G2395"/>
      <c r="H2395"/>
      <c r="I2395" s="16"/>
      <c r="J2395"/>
      <c r="K2395"/>
      <c r="L2395"/>
      <c r="M2395" s="17"/>
      <c r="N2395"/>
      <c r="O2395"/>
      <c r="P2395" s="34"/>
    </row>
    <row r="2396" spans="1:16" x14ac:dyDescent="0.25">
      <c r="A2396" s="14"/>
      <c r="B2396"/>
      <c r="C2396" s="15"/>
      <c r="D2396"/>
      <c r="E2396"/>
      <c r="F2396" s="16"/>
      <c r="G2396"/>
      <c r="H2396"/>
      <c r="I2396" s="16"/>
      <c r="J2396"/>
      <c r="K2396"/>
      <c r="L2396"/>
      <c r="M2396" s="17"/>
      <c r="N2396"/>
      <c r="O2396"/>
      <c r="P2396" s="34"/>
    </row>
    <row r="2397" spans="1:16" x14ac:dyDescent="0.25">
      <c r="A2397" s="14"/>
      <c r="B2397"/>
      <c r="C2397" s="15"/>
      <c r="D2397"/>
      <c r="E2397"/>
      <c r="F2397" s="16"/>
      <c r="G2397"/>
      <c r="H2397"/>
      <c r="I2397" s="16"/>
      <c r="J2397"/>
      <c r="K2397"/>
      <c r="L2397"/>
      <c r="M2397" s="17"/>
      <c r="N2397"/>
      <c r="O2397"/>
      <c r="P2397" s="34"/>
    </row>
    <row r="2398" spans="1:16" x14ac:dyDescent="0.25">
      <c r="A2398" s="14"/>
      <c r="B2398"/>
      <c r="C2398" s="15"/>
      <c r="D2398"/>
      <c r="E2398"/>
      <c r="F2398" s="16"/>
      <c r="G2398"/>
      <c r="H2398"/>
      <c r="I2398" s="16"/>
      <c r="J2398"/>
      <c r="K2398"/>
      <c r="L2398"/>
      <c r="M2398" s="17"/>
      <c r="N2398"/>
      <c r="O2398"/>
      <c r="P2398" s="34"/>
    </row>
    <row r="2399" spans="1:16" x14ac:dyDescent="0.25">
      <c r="A2399" s="14"/>
      <c r="B2399"/>
      <c r="C2399" s="15"/>
      <c r="D2399"/>
      <c r="E2399"/>
      <c r="F2399" s="16"/>
      <c r="G2399"/>
      <c r="H2399"/>
      <c r="I2399" s="16"/>
      <c r="J2399"/>
      <c r="K2399"/>
      <c r="L2399"/>
      <c r="M2399" s="17"/>
      <c r="N2399"/>
      <c r="O2399"/>
      <c r="P2399" s="34"/>
    </row>
    <row r="2400" spans="1:16" x14ac:dyDescent="0.25">
      <c r="A2400" s="14"/>
      <c r="B2400"/>
      <c r="C2400" s="15"/>
      <c r="D2400"/>
      <c r="E2400"/>
      <c r="F2400" s="16"/>
      <c r="G2400"/>
      <c r="H2400"/>
      <c r="I2400" s="16"/>
      <c r="J2400"/>
      <c r="K2400"/>
      <c r="L2400"/>
      <c r="M2400" s="17"/>
      <c r="N2400"/>
      <c r="O2400"/>
      <c r="P2400" s="34"/>
    </row>
    <row r="2401" spans="1:16" x14ac:dyDescent="0.25">
      <c r="A2401" s="14"/>
      <c r="B2401"/>
      <c r="C2401" s="15"/>
      <c r="D2401"/>
      <c r="E2401"/>
      <c r="F2401" s="16"/>
      <c r="G2401"/>
      <c r="H2401"/>
      <c r="I2401" s="16"/>
      <c r="J2401"/>
      <c r="K2401"/>
      <c r="L2401"/>
      <c r="M2401" s="17"/>
      <c r="N2401"/>
      <c r="O2401"/>
      <c r="P2401" s="34"/>
    </row>
    <row r="2402" spans="1:16" x14ac:dyDescent="0.25">
      <c r="A2402" s="14"/>
      <c r="B2402"/>
      <c r="C2402" s="15"/>
      <c r="D2402"/>
      <c r="E2402"/>
      <c r="F2402" s="16"/>
      <c r="G2402"/>
      <c r="H2402"/>
      <c r="I2402" s="16"/>
      <c r="J2402"/>
      <c r="K2402"/>
      <c r="L2402"/>
      <c r="M2402" s="17"/>
      <c r="N2402"/>
      <c r="O2402"/>
      <c r="P2402" s="34"/>
    </row>
    <row r="2403" spans="1:16" x14ac:dyDescent="0.25">
      <c r="A2403" s="14"/>
      <c r="B2403"/>
      <c r="C2403" s="15"/>
      <c r="D2403"/>
      <c r="E2403"/>
      <c r="F2403" s="16"/>
      <c r="G2403"/>
      <c r="H2403"/>
      <c r="I2403" s="16"/>
      <c r="J2403"/>
      <c r="K2403"/>
      <c r="L2403"/>
      <c r="M2403" s="17"/>
      <c r="N2403"/>
      <c r="O2403"/>
      <c r="P2403" s="34"/>
    </row>
    <row r="2404" spans="1:16" x14ac:dyDescent="0.25">
      <c r="A2404" s="14"/>
      <c r="B2404"/>
      <c r="C2404" s="15"/>
      <c r="D2404"/>
      <c r="E2404"/>
      <c r="F2404" s="16"/>
      <c r="G2404"/>
      <c r="H2404"/>
      <c r="I2404" s="16"/>
      <c r="J2404"/>
      <c r="K2404"/>
      <c r="L2404"/>
      <c r="M2404" s="17"/>
      <c r="N2404"/>
      <c r="O2404"/>
      <c r="P2404" s="34"/>
    </row>
    <row r="2405" spans="1:16" x14ac:dyDescent="0.25">
      <c r="A2405" s="14"/>
      <c r="B2405"/>
      <c r="C2405" s="15"/>
      <c r="D2405"/>
      <c r="E2405"/>
      <c r="F2405" s="16"/>
      <c r="G2405"/>
      <c r="H2405"/>
      <c r="I2405" s="16"/>
      <c r="J2405"/>
      <c r="K2405"/>
      <c r="L2405"/>
      <c r="M2405" s="17"/>
      <c r="N2405"/>
      <c r="O2405"/>
      <c r="P2405" s="34"/>
    </row>
    <row r="2406" spans="1:16" x14ac:dyDescent="0.25">
      <c r="A2406" s="14"/>
      <c r="B2406"/>
      <c r="C2406" s="15"/>
      <c r="D2406"/>
      <c r="E2406"/>
      <c r="F2406" s="16"/>
      <c r="G2406"/>
      <c r="H2406"/>
      <c r="I2406" s="16"/>
      <c r="J2406"/>
      <c r="K2406"/>
      <c r="L2406"/>
      <c r="M2406" s="17"/>
      <c r="N2406"/>
      <c r="O2406"/>
      <c r="P2406" s="34"/>
    </row>
    <row r="2407" spans="1:16" x14ac:dyDescent="0.25">
      <c r="A2407" s="14"/>
      <c r="B2407"/>
      <c r="C2407" s="15"/>
      <c r="D2407"/>
      <c r="E2407"/>
      <c r="F2407" s="16"/>
      <c r="G2407"/>
      <c r="H2407"/>
      <c r="I2407" s="16"/>
      <c r="J2407"/>
      <c r="K2407"/>
      <c r="L2407"/>
      <c r="M2407" s="17"/>
      <c r="N2407"/>
      <c r="O2407"/>
      <c r="P2407" s="34"/>
    </row>
    <row r="2408" spans="1:16" x14ac:dyDescent="0.25">
      <c r="A2408" s="14"/>
      <c r="B2408"/>
      <c r="C2408" s="15"/>
      <c r="D2408"/>
      <c r="E2408"/>
      <c r="F2408" s="16"/>
      <c r="G2408"/>
      <c r="H2408"/>
      <c r="I2408" s="16"/>
      <c r="J2408"/>
      <c r="K2408"/>
      <c r="L2408"/>
      <c r="M2408" s="17"/>
      <c r="N2408"/>
      <c r="O2408"/>
      <c r="P2408" s="34"/>
    </row>
    <row r="2409" spans="1:16" x14ac:dyDescent="0.25">
      <c r="A2409" s="14"/>
      <c r="B2409"/>
      <c r="C2409" s="15"/>
      <c r="D2409"/>
      <c r="E2409"/>
      <c r="F2409" s="16"/>
      <c r="G2409"/>
      <c r="H2409"/>
      <c r="I2409" s="16"/>
      <c r="J2409"/>
      <c r="K2409"/>
      <c r="L2409"/>
      <c r="M2409" s="17"/>
      <c r="N2409"/>
      <c r="O2409"/>
      <c r="P2409" s="34"/>
    </row>
    <row r="2410" spans="1:16" x14ac:dyDescent="0.25">
      <c r="A2410" s="14"/>
      <c r="B2410"/>
      <c r="C2410" s="15"/>
      <c r="D2410"/>
      <c r="E2410"/>
      <c r="F2410" s="16"/>
      <c r="G2410"/>
      <c r="H2410"/>
      <c r="I2410" s="16"/>
      <c r="J2410"/>
      <c r="K2410"/>
      <c r="L2410"/>
      <c r="M2410" s="17"/>
      <c r="N2410"/>
      <c r="O2410"/>
      <c r="P2410" s="34"/>
    </row>
    <row r="2411" spans="1:16" x14ac:dyDescent="0.25">
      <c r="A2411" s="14"/>
      <c r="B2411"/>
      <c r="C2411" s="15"/>
      <c r="D2411"/>
      <c r="E2411"/>
      <c r="F2411" s="16"/>
      <c r="G2411"/>
      <c r="H2411"/>
      <c r="I2411" s="16"/>
      <c r="J2411"/>
      <c r="K2411"/>
      <c r="L2411"/>
      <c r="M2411" s="17"/>
      <c r="N2411"/>
      <c r="O2411"/>
      <c r="P2411" s="34"/>
    </row>
    <row r="2412" spans="1:16" x14ac:dyDescent="0.25">
      <c r="A2412" s="14"/>
      <c r="B2412"/>
      <c r="C2412" s="15"/>
      <c r="D2412"/>
      <c r="E2412"/>
      <c r="F2412" s="16"/>
      <c r="G2412"/>
      <c r="H2412"/>
      <c r="I2412" s="16"/>
      <c r="J2412"/>
      <c r="K2412"/>
      <c r="L2412"/>
      <c r="M2412" s="17"/>
      <c r="N2412"/>
      <c r="O2412"/>
      <c r="P2412" s="34"/>
    </row>
    <row r="2413" spans="1:16" x14ac:dyDescent="0.25">
      <c r="A2413" s="14"/>
      <c r="B2413"/>
      <c r="C2413" s="15"/>
      <c r="D2413"/>
      <c r="E2413"/>
      <c r="F2413" s="16"/>
      <c r="G2413"/>
      <c r="H2413"/>
      <c r="I2413" s="16"/>
      <c r="J2413"/>
      <c r="K2413"/>
      <c r="L2413"/>
      <c r="M2413" s="17"/>
      <c r="N2413"/>
      <c r="O2413"/>
      <c r="P2413" s="34"/>
    </row>
    <row r="2414" spans="1:16" x14ac:dyDescent="0.25">
      <c r="A2414" s="14"/>
      <c r="B2414"/>
      <c r="C2414" s="15"/>
      <c r="D2414"/>
      <c r="E2414"/>
      <c r="F2414" s="16"/>
      <c r="G2414"/>
      <c r="H2414"/>
      <c r="I2414" s="16"/>
      <c r="J2414"/>
      <c r="K2414"/>
      <c r="L2414"/>
      <c r="M2414" s="17"/>
      <c r="N2414"/>
      <c r="O2414"/>
      <c r="P2414" s="34"/>
    </row>
    <row r="2415" spans="1:16" x14ac:dyDescent="0.25">
      <c r="A2415" s="14"/>
      <c r="B2415"/>
      <c r="C2415" s="15"/>
      <c r="D2415"/>
      <c r="E2415"/>
      <c r="F2415" s="16"/>
      <c r="G2415"/>
      <c r="H2415"/>
      <c r="I2415" s="16"/>
      <c r="J2415"/>
      <c r="K2415"/>
      <c r="L2415"/>
      <c r="M2415" s="17"/>
      <c r="N2415"/>
      <c r="O2415"/>
      <c r="P2415" s="34"/>
    </row>
    <row r="2416" spans="1:16" x14ac:dyDescent="0.25">
      <c r="A2416" s="14"/>
      <c r="B2416"/>
      <c r="C2416" s="15"/>
      <c r="D2416"/>
      <c r="E2416"/>
      <c r="F2416" s="16"/>
      <c r="G2416"/>
      <c r="H2416"/>
      <c r="I2416" s="16"/>
      <c r="J2416"/>
      <c r="K2416"/>
      <c r="L2416"/>
      <c r="M2416" s="17"/>
      <c r="N2416"/>
      <c r="O2416"/>
      <c r="P2416" s="34"/>
    </row>
    <row r="2417" spans="1:16" x14ac:dyDescent="0.25">
      <c r="A2417" s="14"/>
      <c r="B2417"/>
      <c r="C2417" s="15"/>
      <c r="D2417"/>
      <c r="E2417"/>
      <c r="F2417" s="16"/>
      <c r="G2417"/>
      <c r="H2417"/>
      <c r="I2417" s="16"/>
      <c r="J2417"/>
      <c r="K2417"/>
      <c r="L2417"/>
      <c r="M2417" s="17"/>
      <c r="N2417"/>
      <c r="O2417"/>
      <c r="P2417" s="34"/>
    </row>
    <row r="2418" spans="1:16" x14ac:dyDescent="0.25">
      <c r="A2418" s="14"/>
      <c r="B2418"/>
      <c r="C2418" s="15"/>
      <c r="D2418"/>
      <c r="E2418"/>
      <c r="F2418" s="16"/>
      <c r="G2418"/>
      <c r="H2418"/>
      <c r="I2418" s="16"/>
      <c r="J2418"/>
      <c r="K2418"/>
      <c r="L2418"/>
      <c r="M2418" s="17"/>
      <c r="N2418"/>
      <c r="O2418"/>
      <c r="P2418" s="34"/>
    </row>
    <row r="2419" spans="1:16" x14ac:dyDescent="0.25">
      <c r="A2419" s="14"/>
      <c r="B2419"/>
      <c r="C2419" s="15"/>
      <c r="D2419"/>
      <c r="E2419"/>
      <c r="F2419" s="16"/>
      <c r="G2419"/>
      <c r="H2419"/>
      <c r="I2419" s="16"/>
      <c r="J2419"/>
      <c r="K2419"/>
      <c r="L2419"/>
      <c r="M2419" s="17"/>
      <c r="N2419"/>
      <c r="O2419"/>
      <c r="P2419" s="34"/>
    </row>
    <row r="2420" spans="1:16" x14ac:dyDescent="0.25">
      <c r="A2420" s="14"/>
      <c r="B2420"/>
      <c r="C2420" s="15"/>
      <c r="D2420"/>
      <c r="E2420"/>
      <c r="F2420" s="16"/>
      <c r="G2420"/>
      <c r="H2420"/>
      <c r="I2420" s="16"/>
      <c r="J2420"/>
      <c r="K2420"/>
      <c r="L2420"/>
      <c r="M2420" s="17"/>
      <c r="N2420"/>
      <c r="O2420"/>
      <c r="P2420" s="34"/>
    </row>
    <row r="2421" spans="1:16" x14ac:dyDescent="0.25">
      <c r="A2421" s="14"/>
      <c r="B2421"/>
      <c r="C2421" s="15"/>
      <c r="D2421"/>
      <c r="E2421"/>
      <c r="F2421" s="16"/>
      <c r="G2421"/>
      <c r="H2421"/>
      <c r="I2421" s="16"/>
      <c r="J2421"/>
      <c r="K2421"/>
      <c r="L2421"/>
      <c r="M2421" s="17"/>
      <c r="N2421"/>
      <c r="O2421"/>
      <c r="P2421" s="34"/>
    </row>
    <row r="2422" spans="1:16" x14ac:dyDescent="0.25">
      <c r="A2422" s="14"/>
      <c r="B2422"/>
      <c r="C2422" s="15"/>
      <c r="D2422"/>
      <c r="E2422"/>
      <c r="F2422" s="16"/>
      <c r="G2422"/>
      <c r="H2422"/>
      <c r="I2422" s="16"/>
      <c r="J2422"/>
      <c r="K2422"/>
      <c r="L2422"/>
      <c r="M2422" s="17"/>
      <c r="N2422"/>
      <c r="O2422"/>
      <c r="P2422" s="34"/>
    </row>
    <row r="2423" spans="1:16" x14ac:dyDescent="0.25">
      <c r="A2423" s="14"/>
      <c r="B2423"/>
      <c r="C2423" s="15"/>
      <c r="D2423"/>
      <c r="E2423"/>
      <c r="F2423" s="16"/>
      <c r="G2423"/>
      <c r="H2423"/>
      <c r="I2423" s="16"/>
      <c r="J2423"/>
      <c r="K2423"/>
      <c r="L2423"/>
      <c r="M2423" s="17"/>
      <c r="N2423"/>
      <c r="O2423"/>
      <c r="P2423" s="34"/>
    </row>
    <row r="2424" spans="1:16" x14ac:dyDescent="0.25">
      <c r="A2424" s="14"/>
      <c r="B2424"/>
      <c r="C2424" s="15"/>
      <c r="D2424"/>
      <c r="E2424"/>
      <c r="F2424" s="16"/>
      <c r="G2424"/>
      <c r="H2424"/>
      <c r="I2424" s="16"/>
      <c r="J2424"/>
      <c r="K2424"/>
      <c r="L2424"/>
      <c r="M2424" s="17"/>
      <c r="N2424"/>
      <c r="O2424"/>
      <c r="P2424" s="34"/>
    </row>
    <row r="2425" spans="1:16" x14ac:dyDescent="0.25">
      <c r="A2425" s="14"/>
      <c r="B2425"/>
      <c r="C2425" s="15"/>
      <c r="D2425"/>
      <c r="E2425"/>
      <c r="F2425" s="16"/>
      <c r="G2425"/>
      <c r="H2425"/>
      <c r="I2425" s="16"/>
      <c r="J2425"/>
      <c r="K2425"/>
      <c r="L2425"/>
      <c r="M2425" s="17"/>
      <c r="N2425"/>
      <c r="O2425"/>
      <c r="P2425" s="34"/>
    </row>
    <row r="2426" spans="1:16" x14ac:dyDescent="0.25">
      <c r="A2426" s="14"/>
      <c r="B2426"/>
      <c r="C2426" s="15"/>
      <c r="D2426"/>
      <c r="E2426"/>
      <c r="F2426" s="16"/>
      <c r="G2426"/>
      <c r="H2426"/>
      <c r="I2426" s="16"/>
      <c r="J2426"/>
      <c r="K2426"/>
      <c r="L2426"/>
      <c r="M2426" s="17"/>
      <c r="N2426"/>
      <c r="O2426"/>
      <c r="P2426" s="34"/>
    </row>
    <row r="2427" spans="1:16" x14ac:dyDescent="0.25">
      <c r="A2427" s="14"/>
      <c r="B2427"/>
      <c r="C2427" s="15"/>
      <c r="D2427"/>
      <c r="E2427"/>
      <c r="F2427" s="16"/>
      <c r="G2427"/>
      <c r="H2427"/>
      <c r="I2427" s="16"/>
      <c r="J2427"/>
      <c r="K2427"/>
      <c r="L2427"/>
      <c r="M2427" s="17"/>
      <c r="N2427"/>
      <c r="O2427"/>
      <c r="P2427" s="34"/>
    </row>
    <row r="2428" spans="1:16" x14ac:dyDescent="0.25">
      <c r="A2428" s="14"/>
      <c r="B2428"/>
      <c r="C2428" s="15"/>
      <c r="D2428"/>
      <c r="E2428"/>
      <c r="F2428" s="16"/>
      <c r="G2428"/>
      <c r="H2428"/>
      <c r="I2428" s="16"/>
      <c r="J2428"/>
      <c r="K2428"/>
      <c r="L2428"/>
      <c r="M2428" s="17"/>
      <c r="N2428"/>
      <c r="O2428"/>
      <c r="P2428" s="34"/>
    </row>
    <row r="2429" spans="1:16" x14ac:dyDescent="0.25">
      <c r="A2429" s="14"/>
      <c r="B2429"/>
      <c r="C2429" s="15"/>
      <c r="D2429"/>
      <c r="E2429"/>
      <c r="F2429" s="16"/>
      <c r="G2429"/>
      <c r="H2429"/>
      <c r="I2429" s="16"/>
      <c r="J2429"/>
      <c r="K2429"/>
      <c r="L2429"/>
      <c r="M2429" s="17"/>
      <c r="N2429"/>
      <c r="O2429"/>
      <c r="P2429" s="34"/>
    </row>
    <row r="2430" spans="1:16" x14ac:dyDescent="0.25">
      <c r="A2430" s="14"/>
      <c r="B2430"/>
      <c r="C2430" s="15"/>
      <c r="D2430"/>
      <c r="E2430"/>
      <c r="F2430" s="16"/>
      <c r="G2430"/>
      <c r="H2430"/>
      <c r="I2430" s="16"/>
      <c r="J2430"/>
      <c r="K2430"/>
      <c r="L2430"/>
      <c r="M2430" s="17"/>
      <c r="N2430"/>
      <c r="O2430"/>
      <c r="P2430" s="34"/>
    </row>
    <row r="2431" spans="1:16" x14ac:dyDescent="0.25">
      <c r="A2431" s="14"/>
      <c r="B2431"/>
      <c r="C2431" s="15"/>
      <c r="D2431"/>
      <c r="E2431"/>
      <c r="F2431" s="16"/>
      <c r="G2431"/>
      <c r="H2431"/>
      <c r="I2431" s="16"/>
      <c r="J2431"/>
      <c r="K2431"/>
      <c r="L2431"/>
      <c r="M2431" s="17"/>
      <c r="N2431"/>
      <c r="O2431"/>
      <c r="P2431" s="34"/>
    </row>
    <row r="2432" spans="1:16" x14ac:dyDescent="0.25">
      <c r="A2432" s="14"/>
      <c r="B2432"/>
      <c r="C2432" s="15"/>
      <c r="D2432"/>
      <c r="E2432"/>
      <c r="F2432" s="16"/>
      <c r="G2432"/>
      <c r="H2432"/>
      <c r="I2432" s="16"/>
      <c r="J2432"/>
      <c r="K2432"/>
      <c r="L2432"/>
      <c r="M2432" s="17"/>
      <c r="N2432"/>
      <c r="O2432"/>
      <c r="P2432" s="34"/>
    </row>
    <row r="2433" spans="1:16" x14ac:dyDescent="0.25">
      <c r="A2433" s="14"/>
      <c r="B2433"/>
      <c r="C2433" s="15"/>
      <c r="D2433"/>
      <c r="E2433"/>
      <c r="F2433" s="16"/>
      <c r="G2433"/>
      <c r="H2433"/>
      <c r="I2433" s="16"/>
      <c r="J2433"/>
      <c r="K2433"/>
      <c r="L2433"/>
      <c r="M2433" s="17"/>
      <c r="N2433"/>
      <c r="O2433"/>
      <c r="P2433" s="34"/>
    </row>
    <row r="2434" spans="1:16" x14ac:dyDescent="0.25">
      <c r="A2434" s="14"/>
      <c r="B2434"/>
      <c r="C2434" s="15"/>
      <c r="D2434"/>
      <c r="E2434"/>
      <c r="F2434" s="16"/>
      <c r="G2434"/>
      <c r="H2434"/>
      <c r="I2434" s="16"/>
      <c r="J2434"/>
      <c r="K2434"/>
      <c r="L2434"/>
      <c r="M2434" s="17"/>
      <c r="N2434"/>
      <c r="O2434"/>
      <c r="P2434" s="34"/>
    </row>
    <row r="2435" spans="1:16" x14ac:dyDescent="0.25">
      <c r="A2435" s="14"/>
      <c r="B2435"/>
      <c r="C2435" s="15"/>
      <c r="D2435"/>
      <c r="E2435"/>
      <c r="F2435" s="16"/>
      <c r="G2435"/>
      <c r="H2435"/>
      <c r="I2435" s="16"/>
      <c r="J2435"/>
      <c r="K2435"/>
      <c r="L2435"/>
      <c r="M2435" s="17"/>
      <c r="N2435"/>
      <c r="O2435"/>
      <c r="P2435" s="34"/>
    </row>
    <row r="2436" spans="1:16" x14ac:dyDescent="0.25">
      <c r="A2436" s="14"/>
      <c r="B2436"/>
      <c r="C2436" s="15"/>
      <c r="D2436"/>
      <c r="E2436"/>
      <c r="F2436" s="16"/>
      <c r="G2436"/>
      <c r="H2436"/>
      <c r="I2436" s="16"/>
      <c r="J2436"/>
      <c r="K2436"/>
      <c r="L2436"/>
      <c r="M2436" s="17"/>
      <c r="N2436"/>
      <c r="O2436"/>
      <c r="P2436" s="34"/>
    </row>
    <row r="2437" spans="1:16" x14ac:dyDescent="0.25">
      <c r="A2437" s="14"/>
      <c r="B2437"/>
      <c r="C2437" s="15"/>
      <c r="D2437"/>
      <c r="E2437"/>
      <c r="F2437" s="16"/>
      <c r="G2437"/>
      <c r="H2437"/>
      <c r="I2437" s="16"/>
      <c r="J2437"/>
      <c r="K2437"/>
      <c r="L2437"/>
      <c r="M2437" s="17"/>
      <c r="N2437"/>
      <c r="O2437"/>
      <c r="P2437" s="34"/>
    </row>
    <row r="2438" spans="1:16" x14ac:dyDescent="0.25">
      <c r="A2438" s="14"/>
      <c r="B2438"/>
      <c r="C2438" s="15"/>
      <c r="D2438"/>
      <c r="E2438"/>
      <c r="F2438" s="16"/>
      <c r="G2438"/>
      <c r="H2438"/>
      <c r="I2438" s="16"/>
      <c r="J2438"/>
      <c r="K2438"/>
      <c r="L2438"/>
      <c r="M2438" s="17"/>
      <c r="N2438"/>
      <c r="O2438"/>
      <c r="P2438" s="34"/>
    </row>
    <row r="2439" spans="1:16" x14ac:dyDescent="0.25">
      <c r="A2439" s="14"/>
      <c r="B2439"/>
      <c r="C2439" s="15"/>
      <c r="D2439"/>
      <c r="E2439"/>
      <c r="F2439" s="16"/>
      <c r="G2439"/>
      <c r="H2439"/>
      <c r="I2439" s="16"/>
      <c r="J2439"/>
      <c r="K2439"/>
      <c r="L2439"/>
      <c r="M2439" s="17"/>
      <c r="N2439"/>
      <c r="O2439"/>
      <c r="P2439" s="34"/>
    </row>
    <row r="2440" spans="1:16" x14ac:dyDescent="0.25">
      <c r="A2440" s="14"/>
      <c r="B2440"/>
      <c r="C2440" s="15"/>
      <c r="D2440"/>
      <c r="E2440"/>
      <c r="F2440" s="16"/>
      <c r="G2440"/>
      <c r="H2440"/>
      <c r="I2440" s="16"/>
      <c r="J2440"/>
      <c r="K2440"/>
      <c r="L2440"/>
      <c r="M2440" s="17"/>
      <c r="N2440"/>
      <c r="O2440"/>
      <c r="P2440" s="34"/>
    </row>
    <row r="2441" spans="1:16" x14ac:dyDescent="0.25">
      <c r="A2441" s="14"/>
      <c r="B2441"/>
      <c r="C2441" s="15"/>
      <c r="D2441"/>
      <c r="E2441"/>
      <c r="F2441" s="16"/>
      <c r="G2441"/>
      <c r="H2441"/>
      <c r="I2441" s="16"/>
      <c r="J2441"/>
      <c r="K2441"/>
      <c r="L2441"/>
      <c r="M2441" s="17"/>
      <c r="N2441"/>
      <c r="O2441"/>
      <c r="P2441" s="34"/>
    </row>
    <row r="2442" spans="1:16" x14ac:dyDescent="0.25">
      <c r="A2442" s="14"/>
      <c r="B2442"/>
      <c r="C2442" s="15"/>
      <c r="D2442"/>
      <c r="E2442"/>
      <c r="F2442" s="16"/>
      <c r="G2442"/>
      <c r="H2442"/>
      <c r="I2442" s="16"/>
      <c r="J2442"/>
      <c r="K2442"/>
      <c r="L2442"/>
      <c r="M2442" s="17"/>
      <c r="N2442"/>
      <c r="O2442"/>
      <c r="P2442" s="34"/>
    </row>
    <row r="2443" spans="1:16" x14ac:dyDescent="0.25">
      <c r="A2443" s="14"/>
      <c r="B2443"/>
      <c r="C2443" s="15"/>
      <c r="D2443"/>
      <c r="E2443"/>
      <c r="F2443" s="16"/>
      <c r="G2443"/>
      <c r="H2443"/>
      <c r="I2443" s="16"/>
      <c r="J2443"/>
      <c r="K2443"/>
      <c r="L2443"/>
      <c r="M2443" s="17"/>
      <c r="N2443"/>
      <c r="O2443"/>
      <c r="P2443" s="34"/>
    </row>
    <row r="2444" spans="1:16" x14ac:dyDescent="0.25">
      <c r="A2444" s="14"/>
      <c r="B2444"/>
      <c r="C2444" s="15"/>
      <c r="D2444"/>
      <c r="E2444"/>
      <c r="F2444" s="16"/>
      <c r="G2444"/>
      <c r="H2444"/>
      <c r="I2444" s="16"/>
      <c r="J2444"/>
      <c r="K2444"/>
      <c r="L2444"/>
      <c r="M2444" s="17"/>
      <c r="N2444"/>
      <c r="O2444"/>
      <c r="P2444" s="34"/>
    </row>
    <row r="2445" spans="1:16" x14ac:dyDescent="0.25">
      <c r="A2445" s="14"/>
      <c r="B2445"/>
      <c r="C2445" s="15"/>
      <c r="D2445"/>
      <c r="E2445"/>
      <c r="F2445" s="16"/>
      <c r="G2445"/>
      <c r="H2445"/>
      <c r="I2445" s="16"/>
      <c r="J2445"/>
      <c r="K2445"/>
      <c r="L2445"/>
      <c r="M2445" s="17"/>
      <c r="N2445"/>
      <c r="O2445"/>
      <c r="P2445" s="34"/>
    </row>
    <row r="2446" spans="1:16" x14ac:dyDescent="0.25">
      <c r="A2446" s="14"/>
      <c r="B2446"/>
      <c r="C2446" s="15"/>
      <c r="D2446"/>
      <c r="E2446"/>
      <c r="F2446" s="16"/>
      <c r="G2446"/>
      <c r="H2446"/>
      <c r="I2446" s="16"/>
      <c r="J2446"/>
      <c r="K2446"/>
      <c r="L2446"/>
      <c r="M2446" s="17"/>
      <c r="N2446"/>
      <c r="O2446"/>
      <c r="P2446" s="34"/>
    </row>
    <row r="2447" spans="1:16" x14ac:dyDescent="0.25">
      <c r="A2447" s="14"/>
      <c r="B2447"/>
      <c r="C2447" s="15"/>
      <c r="D2447"/>
      <c r="E2447"/>
      <c r="F2447" s="16"/>
      <c r="G2447"/>
      <c r="H2447"/>
      <c r="I2447" s="16"/>
      <c r="J2447"/>
      <c r="K2447"/>
      <c r="L2447"/>
      <c r="M2447" s="17"/>
      <c r="N2447"/>
      <c r="O2447"/>
      <c r="P2447" s="34"/>
    </row>
    <row r="2448" spans="1:16" x14ac:dyDescent="0.25">
      <c r="A2448" s="14"/>
      <c r="B2448"/>
      <c r="C2448" s="15"/>
      <c r="D2448"/>
      <c r="E2448"/>
      <c r="F2448" s="16"/>
      <c r="G2448"/>
      <c r="H2448"/>
      <c r="I2448" s="16"/>
      <c r="J2448"/>
      <c r="K2448"/>
      <c r="L2448"/>
      <c r="M2448" s="17"/>
      <c r="N2448"/>
      <c r="O2448"/>
      <c r="P2448" s="34"/>
    </row>
    <row r="2449" spans="1:16" x14ac:dyDescent="0.25">
      <c r="A2449" s="14"/>
      <c r="B2449"/>
      <c r="C2449" s="15"/>
      <c r="D2449"/>
      <c r="E2449"/>
      <c r="F2449" s="16"/>
      <c r="G2449"/>
      <c r="H2449"/>
      <c r="I2449" s="16"/>
      <c r="J2449"/>
      <c r="K2449"/>
      <c r="L2449"/>
      <c r="M2449" s="17"/>
      <c r="N2449"/>
      <c r="O2449"/>
      <c r="P2449" s="34"/>
    </row>
    <row r="2450" spans="1:16" x14ac:dyDescent="0.25">
      <c r="A2450" s="14"/>
      <c r="B2450"/>
      <c r="C2450" s="15"/>
      <c r="D2450"/>
      <c r="E2450"/>
      <c r="F2450" s="16"/>
      <c r="G2450"/>
      <c r="H2450"/>
      <c r="I2450" s="16"/>
      <c r="J2450"/>
      <c r="K2450"/>
      <c r="L2450"/>
      <c r="M2450" s="17"/>
      <c r="N2450"/>
      <c r="O2450"/>
      <c r="P2450" s="34"/>
    </row>
    <row r="2451" spans="1:16" x14ac:dyDescent="0.25">
      <c r="A2451" s="14"/>
      <c r="B2451"/>
      <c r="C2451" s="15"/>
      <c r="D2451"/>
      <c r="E2451"/>
      <c r="F2451" s="16"/>
      <c r="G2451"/>
      <c r="H2451"/>
      <c r="I2451" s="16"/>
      <c r="J2451"/>
      <c r="K2451"/>
      <c r="L2451"/>
      <c r="M2451" s="17"/>
      <c r="N2451"/>
      <c r="O2451"/>
      <c r="P2451" s="34"/>
    </row>
    <row r="2452" spans="1:16" x14ac:dyDescent="0.25">
      <c r="A2452" s="14"/>
      <c r="B2452"/>
      <c r="C2452" s="15"/>
      <c r="D2452"/>
      <c r="E2452"/>
      <c r="F2452" s="16"/>
      <c r="G2452"/>
      <c r="H2452"/>
      <c r="I2452" s="16"/>
      <c r="J2452"/>
      <c r="K2452"/>
      <c r="L2452"/>
      <c r="M2452" s="17"/>
      <c r="N2452"/>
      <c r="O2452"/>
      <c r="P2452" s="34"/>
    </row>
    <row r="2453" spans="1:16" x14ac:dyDescent="0.25">
      <c r="A2453" s="14"/>
      <c r="B2453"/>
      <c r="C2453" s="15"/>
      <c r="D2453"/>
      <c r="E2453"/>
      <c r="F2453" s="16"/>
      <c r="G2453"/>
      <c r="H2453"/>
      <c r="I2453" s="16"/>
      <c r="J2453"/>
      <c r="K2453"/>
      <c r="L2453"/>
      <c r="M2453" s="17"/>
      <c r="N2453"/>
      <c r="O2453"/>
      <c r="P2453" s="34"/>
    </row>
    <row r="2454" spans="1:16" x14ac:dyDescent="0.25">
      <c r="A2454" s="14"/>
      <c r="B2454"/>
      <c r="C2454" s="15"/>
      <c r="D2454"/>
      <c r="E2454"/>
      <c r="F2454" s="16"/>
      <c r="G2454"/>
      <c r="H2454"/>
      <c r="I2454" s="16"/>
      <c r="J2454"/>
      <c r="K2454"/>
      <c r="L2454"/>
      <c r="M2454" s="17"/>
      <c r="N2454"/>
      <c r="O2454"/>
      <c r="P2454" s="34"/>
    </row>
    <row r="2455" spans="1:16" x14ac:dyDescent="0.25">
      <c r="A2455" s="14"/>
      <c r="B2455"/>
      <c r="C2455" s="15"/>
      <c r="D2455"/>
      <c r="E2455"/>
      <c r="F2455" s="16"/>
      <c r="G2455"/>
      <c r="H2455"/>
      <c r="I2455" s="16"/>
      <c r="J2455"/>
      <c r="K2455"/>
      <c r="L2455"/>
      <c r="M2455" s="17"/>
      <c r="N2455"/>
      <c r="O2455"/>
      <c r="P2455" s="34"/>
    </row>
    <row r="2456" spans="1:16" x14ac:dyDescent="0.25">
      <c r="A2456" s="14"/>
      <c r="B2456"/>
      <c r="C2456" s="15"/>
      <c r="D2456"/>
      <c r="E2456"/>
      <c r="F2456" s="16"/>
      <c r="G2456"/>
      <c r="H2456"/>
      <c r="I2456" s="16"/>
      <c r="J2456"/>
      <c r="K2456"/>
      <c r="L2456"/>
      <c r="M2456" s="17"/>
      <c r="N2456"/>
      <c r="O2456"/>
      <c r="P2456" s="34"/>
    </row>
    <row r="2457" spans="1:16" x14ac:dyDescent="0.25">
      <c r="A2457" s="14"/>
      <c r="B2457"/>
      <c r="C2457" s="15"/>
      <c r="D2457"/>
      <c r="E2457"/>
      <c r="F2457" s="16"/>
      <c r="G2457"/>
      <c r="H2457"/>
      <c r="I2457" s="16"/>
      <c r="J2457"/>
      <c r="K2457"/>
      <c r="L2457"/>
      <c r="M2457" s="17"/>
      <c r="N2457"/>
      <c r="O2457"/>
      <c r="P2457" s="34"/>
    </row>
    <row r="2458" spans="1:16" x14ac:dyDescent="0.25">
      <c r="A2458" s="14"/>
      <c r="B2458"/>
      <c r="C2458" s="15"/>
      <c r="D2458"/>
      <c r="E2458"/>
      <c r="F2458" s="16"/>
      <c r="G2458"/>
      <c r="H2458"/>
      <c r="I2458" s="16"/>
      <c r="J2458"/>
      <c r="K2458"/>
      <c r="L2458"/>
      <c r="M2458" s="17"/>
      <c r="N2458"/>
      <c r="O2458"/>
      <c r="P2458" s="34"/>
    </row>
    <row r="2459" spans="1:16" x14ac:dyDescent="0.25">
      <c r="A2459" s="14"/>
      <c r="B2459"/>
      <c r="C2459" s="15"/>
      <c r="D2459"/>
      <c r="E2459"/>
      <c r="F2459" s="16"/>
      <c r="G2459"/>
      <c r="H2459"/>
      <c r="I2459" s="16"/>
      <c r="J2459"/>
      <c r="K2459"/>
      <c r="L2459"/>
      <c r="M2459" s="17"/>
      <c r="N2459"/>
      <c r="O2459"/>
      <c r="P2459" s="34"/>
    </row>
    <row r="2460" spans="1:16" x14ac:dyDescent="0.25">
      <c r="A2460" s="14"/>
      <c r="B2460"/>
      <c r="C2460" s="15"/>
      <c r="D2460"/>
      <c r="E2460"/>
      <c r="F2460" s="16"/>
      <c r="G2460"/>
      <c r="H2460"/>
      <c r="I2460" s="16"/>
      <c r="J2460"/>
      <c r="K2460"/>
      <c r="L2460"/>
      <c r="M2460" s="17"/>
      <c r="N2460"/>
      <c r="O2460"/>
      <c r="P2460" s="34"/>
    </row>
    <row r="2461" spans="1:16" x14ac:dyDescent="0.25">
      <c r="A2461" s="14"/>
      <c r="B2461"/>
      <c r="C2461" s="15"/>
      <c r="D2461"/>
      <c r="E2461"/>
      <c r="F2461" s="16"/>
      <c r="G2461"/>
      <c r="H2461"/>
      <c r="I2461" s="16"/>
      <c r="J2461"/>
      <c r="K2461"/>
      <c r="L2461"/>
      <c r="M2461" s="17"/>
      <c r="N2461"/>
      <c r="O2461"/>
      <c r="P2461" s="34"/>
    </row>
    <row r="2462" spans="1:16" x14ac:dyDescent="0.25">
      <c r="A2462" s="14"/>
      <c r="B2462"/>
      <c r="C2462" s="15"/>
      <c r="D2462"/>
      <c r="E2462"/>
      <c r="F2462" s="16"/>
      <c r="G2462"/>
      <c r="H2462"/>
      <c r="I2462" s="16"/>
      <c r="J2462"/>
      <c r="K2462"/>
      <c r="L2462"/>
      <c r="M2462" s="17"/>
      <c r="N2462"/>
      <c r="O2462"/>
      <c r="P2462" s="34"/>
    </row>
    <row r="2463" spans="1:16" x14ac:dyDescent="0.25">
      <c r="A2463" s="14"/>
      <c r="B2463"/>
      <c r="C2463" s="15"/>
      <c r="D2463"/>
      <c r="E2463"/>
      <c r="F2463" s="16"/>
      <c r="G2463"/>
      <c r="H2463"/>
      <c r="I2463" s="16"/>
      <c r="J2463"/>
      <c r="K2463"/>
      <c r="L2463"/>
      <c r="M2463" s="17"/>
      <c r="N2463"/>
      <c r="O2463"/>
      <c r="P2463" s="34"/>
    </row>
    <row r="2464" spans="1:16" x14ac:dyDescent="0.25">
      <c r="A2464" s="14"/>
      <c r="B2464"/>
      <c r="C2464" s="15"/>
      <c r="D2464"/>
      <c r="E2464"/>
      <c r="F2464" s="16"/>
      <c r="G2464"/>
      <c r="H2464"/>
      <c r="I2464" s="16"/>
      <c r="J2464"/>
      <c r="K2464"/>
      <c r="L2464"/>
      <c r="M2464" s="17"/>
      <c r="N2464"/>
      <c r="O2464"/>
      <c r="P2464" s="34"/>
    </row>
    <row r="2465" spans="1:16" x14ac:dyDescent="0.25">
      <c r="A2465" s="14"/>
      <c r="B2465"/>
      <c r="C2465" s="15"/>
      <c r="D2465"/>
      <c r="E2465"/>
      <c r="F2465" s="16"/>
      <c r="G2465"/>
      <c r="H2465"/>
      <c r="I2465" s="16"/>
      <c r="J2465"/>
      <c r="K2465"/>
      <c r="L2465"/>
      <c r="M2465" s="17"/>
      <c r="N2465"/>
      <c r="O2465"/>
      <c r="P2465" s="34"/>
    </row>
    <row r="2466" spans="1:16" x14ac:dyDescent="0.25">
      <c r="A2466" s="14"/>
      <c r="B2466"/>
      <c r="C2466" s="15"/>
      <c r="D2466"/>
      <c r="E2466"/>
      <c r="F2466" s="16"/>
      <c r="G2466"/>
      <c r="H2466"/>
      <c r="I2466" s="16"/>
      <c r="J2466"/>
      <c r="K2466"/>
      <c r="L2466"/>
      <c r="M2466" s="17"/>
      <c r="N2466"/>
      <c r="O2466"/>
      <c r="P2466" s="34"/>
    </row>
    <row r="2467" spans="1:16" x14ac:dyDescent="0.25">
      <c r="A2467" s="14"/>
      <c r="B2467"/>
      <c r="C2467" s="15"/>
      <c r="D2467"/>
      <c r="E2467"/>
      <c r="F2467" s="16"/>
      <c r="G2467"/>
      <c r="H2467"/>
      <c r="I2467" s="16"/>
      <c r="J2467"/>
      <c r="K2467"/>
      <c r="L2467"/>
      <c r="M2467" s="17"/>
      <c r="N2467"/>
      <c r="O2467"/>
      <c r="P2467" s="34"/>
    </row>
    <row r="2468" spans="1:16" x14ac:dyDescent="0.25">
      <c r="A2468" s="14"/>
      <c r="B2468"/>
      <c r="C2468" s="15"/>
      <c r="D2468"/>
      <c r="E2468"/>
      <c r="F2468" s="16"/>
      <c r="G2468"/>
      <c r="H2468"/>
      <c r="I2468" s="16"/>
      <c r="J2468"/>
      <c r="K2468"/>
      <c r="L2468"/>
      <c r="M2468" s="17"/>
      <c r="N2468"/>
      <c r="O2468"/>
      <c r="P2468" s="34"/>
    </row>
    <row r="2469" spans="1:16" x14ac:dyDescent="0.25">
      <c r="A2469" s="14"/>
      <c r="B2469"/>
      <c r="C2469" s="15"/>
      <c r="D2469"/>
      <c r="E2469"/>
      <c r="F2469" s="16"/>
      <c r="G2469"/>
      <c r="H2469"/>
      <c r="I2469" s="16"/>
      <c r="J2469"/>
      <c r="K2469"/>
      <c r="L2469"/>
      <c r="M2469" s="17"/>
      <c r="N2469"/>
      <c r="O2469"/>
      <c r="P2469" s="34"/>
    </row>
    <row r="2470" spans="1:16" x14ac:dyDescent="0.25">
      <c r="A2470" s="14"/>
      <c r="B2470"/>
      <c r="C2470" s="15"/>
      <c r="D2470"/>
      <c r="E2470"/>
      <c r="F2470" s="16"/>
      <c r="G2470"/>
      <c r="H2470"/>
      <c r="I2470" s="16"/>
      <c r="J2470"/>
      <c r="K2470"/>
      <c r="L2470"/>
      <c r="M2470" s="17"/>
      <c r="N2470"/>
      <c r="O2470"/>
      <c r="P2470" s="34"/>
    </row>
    <row r="2471" spans="1:16" x14ac:dyDescent="0.25">
      <c r="A2471" s="14"/>
      <c r="B2471"/>
      <c r="C2471" s="15"/>
      <c r="D2471"/>
      <c r="E2471"/>
      <c r="F2471" s="16"/>
      <c r="G2471"/>
      <c r="H2471"/>
      <c r="I2471" s="16"/>
      <c r="J2471"/>
      <c r="K2471"/>
      <c r="L2471"/>
      <c r="M2471" s="17"/>
      <c r="N2471"/>
      <c r="O2471"/>
      <c r="P2471" s="34"/>
    </row>
    <row r="2472" spans="1:16" x14ac:dyDescent="0.25">
      <c r="A2472" s="14"/>
      <c r="B2472"/>
      <c r="C2472" s="15"/>
      <c r="D2472"/>
      <c r="E2472"/>
      <c r="F2472" s="16"/>
      <c r="G2472"/>
      <c r="H2472"/>
      <c r="I2472" s="16"/>
      <c r="J2472"/>
      <c r="K2472"/>
      <c r="L2472"/>
      <c r="M2472" s="17"/>
      <c r="N2472"/>
      <c r="O2472"/>
      <c r="P2472" s="34"/>
    </row>
    <row r="2473" spans="1:16" x14ac:dyDescent="0.25">
      <c r="A2473" s="14"/>
      <c r="B2473"/>
      <c r="C2473" s="15"/>
      <c r="D2473"/>
      <c r="E2473"/>
      <c r="F2473" s="16"/>
      <c r="G2473"/>
      <c r="H2473"/>
      <c r="I2473" s="16"/>
      <c r="J2473"/>
      <c r="K2473"/>
      <c r="L2473"/>
      <c r="M2473" s="17"/>
      <c r="N2473"/>
      <c r="O2473"/>
      <c r="P2473" s="34"/>
    </row>
    <row r="2474" spans="1:16" x14ac:dyDescent="0.25">
      <c r="A2474" s="14"/>
      <c r="B2474"/>
      <c r="C2474" s="15"/>
      <c r="D2474"/>
      <c r="E2474"/>
      <c r="F2474" s="16"/>
      <c r="G2474"/>
      <c r="H2474"/>
      <c r="I2474" s="16"/>
      <c r="J2474"/>
      <c r="K2474"/>
      <c r="L2474"/>
      <c r="M2474" s="17"/>
      <c r="N2474"/>
      <c r="O2474"/>
      <c r="P2474" s="34"/>
    </row>
    <row r="2475" spans="1:16" x14ac:dyDescent="0.25">
      <c r="A2475" s="14"/>
      <c r="B2475"/>
      <c r="C2475" s="15"/>
      <c r="D2475"/>
      <c r="E2475"/>
      <c r="F2475" s="16"/>
      <c r="G2475"/>
      <c r="H2475"/>
      <c r="I2475" s="16"/>
      <c r="J2475"/>
      <c r="K2475"/>
      <c r="L2475"/>
      <c r="M2475" s="17"/>
      <c r="N2475"/>
      <c r="O2475"/>
      <c r="P2475" s="34"/>
    </row>
    <row r="2476" spans="1:16" x14ac:dyDescent="0.25">
      <c r="A2476" s="14"/>
      <c r="B2476"/>
      <c r="C2476" s="15"/>
      <c r="D2476"/>
      <c r="E2476"/>
      <c r="F2476" s="16"/>
      <c r="G2476"/>
      <c r="H2476"/>
      <c r="I2476" s="16"/>
      <c r="J2476"/>
      <c r="K2476"/>
      <c r="L2476"/>
      <c r="M2476" s="17"/>
      <c r="N2476"/>
      <c r="O2476"/>
      <c r="P2476" s="34"/>
    </row>
    <row r="2477" spans="1:16" x14ac:dyDescent="0.25">
      <c r="A2477" s="14"/>
      <c r="B2477"/>
      <c r="C2477" s="15"/>
      <c r="D2477"/>
      <c r="E2477"/>
      <c r="F2477" s="16"/>
      <c r="G2477"/>
      <c r="H2477"/>
      <c r="I2477" s="16"/>
      <c r="J2477"/>
      <c r="K2477"/>
      <c r="L2477"/>
      <c r="M2477" s="17"/>
      <c r="N2477"/>
      <c r="O2477"/>
      <c r="P2477" s="34"/>
    </row>
    <row r="2478" spans="1:16" x14ac:dyDescent="0.25">
      <c r="A2478" s="14"/>
      <c r="B2478"/>
      <c r="C2478" s="15"/>
      <c r="D2478"/>
      <c r="E2478"/>
      <c r="F2478" s="16"/>
      <c r="G2478"/>
      <c r="H2478"/>
      <c r="I2478" s="16"/>
      <c r="J2478"/>
      <c r="K2478"/>
      <c r="L2478"/>
      <c r="M2478" s="17"/>
      <c r="N2478"/>
      <c r="O2478"/>
      <c r="P2478" s="34"/>
    </row>
    <row r="2479" spans="1:16" x14ac:dyDescent="0.25">
      <c r="A2479" s="14"/>
      <c r="B2479"/>
      <c r="C2479" s="15"/>
      <c r="D2479"/>
      <c r="E2479"/>
      <c r="F2479" s="16"/>
      <c r="G2479"/>
      <c r="H2479"/>
      <c r="I2479" s="16"/>
      <c r="J2479"/>
      <c r="K2479"/>
      <c r="L2479"/>
      <c r="M2479" s="17"/>
      <c r="N2479"/>
      <c r="O2479"/>
      <c r="P2479" s="34"/>
    </row>
    <row r="2480" spans="1:16" x14ac:dyDescent="0.25">
      <c r="A2480" s="14"/>
      <c r="B2480"/>
      <c r="C2480" s="15"/>
      <c r="D2480"/>
      <c r="E2480"/>
      <c r="F2480" s="16"/>
      <c r="G2480"/>
      <c r="H2480"/>
      <c r="I2480" s="16"/>
      <c r="J2480"/>
      <c r="K2480"/>
      <c r="L2480"/>
      <c r="M2480" s="17"/>
      <c r="N2480"/>
      <c r="O2480"/>
      <c r="P2480" s="34"/>
    </row>
    <row r="2481" spans="1:16" x14ac:dyDescent="0.25">
      <c r="A2481" s="14"/>
      <c r="B2481"/>
      <c r="C2481" s="15"/>
      <c r="D2481"/>
      <c r="E2481"/>
      <c r="F2481" s="16"/>
      <c r="G2481"/>
      <c r="H2481"/>
      <c r="I2481" s="16"/>
      <c r="J2481"/>
      <c r="K2481"/>
      <c r="L2481"/>
      <c r="M2481" s="17"/>
      <c r="N2481"/>
      <c r="O2481"/>
      <c r="P2481" s="34"/>
    </row>
    <row r="2482" spans="1:16" x14ac:dyDescent="0.25">
      <c r="A2482" s="14"/>
      <c r="B2482"/>
      <c r="C2482" s="15"/>
      <c r="D2482"/>
      <c r="E2482"/>
      <c r="F2482" s="16"/>
      <c r="G2482"/>
      <c r="H2482"/>
      <c r="I2482" s="16"/>
      <c r="J2482"/>
      <c r="K2482"/>
      <c r="L2482"/>
      <c r="M2482" s="17"/>
      <c r="N2482"/>
      <c r="O2482"/>
      <c r="P2482" s="34"/>
    </row>
    <row r="2483" spans="1:16" x14ac:dyDescent="0.25">
      <c r="A2483" s="14"/>
      <c r="B2483"/>
      <c r="C2483" s="15"/>
      <c r="D2483"/>
      <c r="E2483"/>
      <c r="F2483" s="16"/>
      <c r="G2483"/>
      <c r="H2483"/>
      <c r="I2483" s="16"/>
      <c r="J2483"/>
      <c r="K2483"/>
      <c r="L2483"/>
      <c r="M2483" s="17"/>
      <c r="N2483"/>
      <c r="O2483"/>
      <c r="P2483" s="34"/>
    </row>
    <row r="2484" spans="1:16" x14ac:dyDescent="0.25">
      <c r="A2484" s="14"/>
      <c r="B2484"/>
      <c r="C2484" s="15"/>
      <c r="D2484"/>
      <c r="E2484"/>
      <c r="F2484" s="16"/>
      <c r="G2484"/>
      <c r="H2484"/>
      <c r="I2484" s="16"/>
      <c r="J2484"/>
      <c r="K2484"/>
      <c r="L2484"/>
      <c r="M2484" s="17"/>
      <c r="N2484"/>
      <c r="O2484"/>
      <c r="P2484" s="34"/>
    </row>
    <row r="2485" spans="1:16" x14ac:dyDescent="0.25">
      <c r="A2485" s="14"/>
      <c r="B2485"/>
      <c r="C2485" s="15"/>
      <c r="D2485"/>
      <c r="E2485"/>
      <c r="F2485" s="16"/>
      <c r="G2485"/>
      <c r="H2485"/>
      <c r="I2485" s="16"/>
      <c r="J2485"/>
      <c r="K2485"/>
      <c r="L2485"/>
      <c r="M2485" s="17"/>
      <c r="N2485"/>
      <c r="O2485"/>
      <c r="P2485" s="34"/>
    </row>
    <row r="2486" spans="1:16" x14ac:dyDescent="0.25">
      <c r="A2486" s="14"/>
      <c r="B2486"/>
      <c r="C2486" s="15"/>
      <c r="D2486"/>
      <c r="E2486"/>
      <c r="F2486" s="16"/>
      <c r="G2486"/>
      <c r="H2486"/>
      <c r="I2486" s="16"/>
      <c r="J2486"/>
      <c r="K2486"/>
      <c r="L2486"/>
      <c r="M2486" s="17"/>
      <c r="N2486"/>
      <c r="O2486"/>
      <c r="P2486" s="34"/>
    </row>
    <row r="2487" spans="1:16" x14ac:dyDescent="0.25">
      <c r="A2487" s="14"/>
      <c r="B2487"/>
      <c r="C2487" s="15"/>
      <c r="D2487"/>
      <c r="E2487"/>
      <c r="F2487" s="16"/>
      <c r="G2487"/>
      <c r="H2487"/>
      <c r="I2487" s="16"/>
      <c r="J2487"/>
      <c r="K2487"/>
      <c r="L2487"/>
      <c r="M2487" s="17"/>
      <c r="N2487"/>
      <c r="O2487"/>
      <c r="P2487" s="34"/>
    </row>
    <row r="2488" spans="1:16" x14ac:dyDescent="0.25">
      <c r="A2488" s="14"/>
      <c r="B2488"/>
      <c r="C2488" s="15"/>
      <c r="D2488"/>
      <c r="E2488"/>
      <c r="F2488" s="16"/>
      <c r="G2488"/>
      <c r="H2488"/>
      <c r="I2488" s="16"/>
      <c r="J2488"/>
      <c r="K2488"/>
      <c r="L2488"/>
      <c r="M2488" s="17"/>
      <c r="N2488"/>
      <c r="O2488"/>
      <c r="P2488" s="34"/>
    </row>
    <row r="2489" spans="1:16" x14ac:dyDescent="0.25">
      <c r="A2489" s="14"/>
      <c r="B2489"/>
      <c r="C2489" s="15"/>
      <c r="D2489"/>
      <c r="E2489"/>
      <c r="F2489" s="16"/>
      <c r="G2489"/>
      <c r="H2489"/>
      <c r="I2489" s="16"/>
      <c r="J2489"/>
      <c r="K2489"/>
      <c r="L2489"/>
      <c r="M2489" s="17"/>
      <c r="N2489"/>
      <c r="O2489"/>
      <c r="P2489" s="34"/>
    </row>
    <row r="2490" spans="1:16" x14ac:dyDescent="0.25">
      <c r="A2490" s="14"/>
      <c r="B2490"/>
      <c r="C2490" s="15"/>
      <c r="D2490"/>
      <c r="E2490"/>
      <c r="F2490" s="16"/>
      <c r="G2490"/>
      <c r="H2490"/>
      <c r="I2490" s="16"/>
      <c r="J2490"/>
      <c r="K2490"/>
      <c r="L2490"/>
      <c r="M2490" s="17"/>
      <c r="N2490"/>
      <c r="O2490"/>
      <c r="P2490" s="34"/>
    </row>
    <row r="2491" spans="1:16" x14ac:dyDescent="0.25">
      <c r="A2491" s="14"/>
      <c r="B2491"/>
      <c r="C2491" s="15"/>
      <c r="D2491"/>
      <c r="E2491"/>
      <c r="F2491" s="16"/>
      <c r="G2491"/>
      <c r="H2491"/>
      <c r="I2491" s="16"/>
      <c r="J2491"/>
      <c r="K2491"/>
      <c r="L2491"/>
      <c r="M2491" s="17"/>
      <c r="N2491"/>
      <c r="O2491"/>
      <c r="P2491" s="34"/>
    </row>
    <row r="2492" spans="1:16" x14ac:dyDescent="0.25">
      <c r="A2492" s="14"/>
      <c r="B2492"/>
      <c r="C2492" s="15"/>
      <c r="D2492"/>
      <c r="E2492"/>
      <c r="F2492" s="16"/>
      <c r="G2492"/>
      <c r="H2492"/>
      <c r="I2492" s="16"/>
      <c r="J2492"/>
      <c r="K2492"/>
      <c r="L2492"/>
      <c r="M2492" s="17"/>
      <c r="N2492"/>
      <c r="O2492"/>
      <c r="P2492" s="34"/>
    </row>
    <row r="2493" spans="1:16" x14ac:dyDescent="0.25">
      <c r="A2493" s="14"/>
      <c r="B2493"/>
      <c r="C2493" s="15"/>
      <c r="D2493"/>
      <c r="E2493"/>
      <c r="F2493" s="16"/>
      <c r="G2493"/>
      <c r="H2493"/>
      <c r="I2493" s="16"/>
      <c r="J2493"/>
      <c r="K2493"/>
      <c r="L2493"/>
      <c r="M2493" s="17"/>
      <c r="N2493"/>
      <c r="O2493"/>
      <c r="P2493" s="34"/>
    </row>
    <row r="2494" spans="1:16" x14ac:dyDescent="0.25">
      <c r="A2494" s="14"/>
      <c r="B2494"/>
      <c r="C2494" s="15"/>
      <c r="D2494"/>
      <c r="E2494"/>
      <c r="F2494" s="16"/>
      <c r="G2494"/>
      <c r="H2494"/>
      <c r="I2494" s="16"/>
      <c r="J2494"/>
      <c r="K2494"/>
      <c r="L2494"/>
      <c r="M2494" s="17"/>
      <c r="N2494"/>
      <c r="O2494"/>
      <c r="P2494" s="34"/>
    </row>
    <row r="2495" spans="1:16" x14ac:dyDescent="0.25">
      <c r="A2495" s="14"/>
      <c r="B2495"/>
      <c r="C2495" s="15"/>
      <c r="D2495"/>
      <c r="E2495"/>
      <c r="F2495" s="16"/>
      <c r="G2495"/>
      <c r="H2495"/>
      <c r="I2495" s="16"/>
      <c r="J2495"/>
      <c r="K2495"/>
      <c r="L2495"/>
      <c r="M2495" s="17"/>
      <c r="N2495"/>
      <c r="O2495"/>
      <c r="P2495" s="34"/>
    </row>
    <row r="2496" spans="1:16" x14ac:dyDescent="0.25">
      <c r="A2496" s="14"/>
      <c r="B2496"/>
      <c r="C2496" s="15"/>
      <c r="D2496"/>
      <c r="E2496"/>
      <c r="F2496" s="16"/>
      <c r="G2496"/>
      <c r="H2496"/>
      <c r="I2496" s="16"/>
      <c r="J2496"/>
      <c r="K2496"/>
      <c r="L2496"/>
      <c r="M2496" s="17"/>
      <c r="N2496"/>
      <c r="O2496"/>
      <c r="P2496" s="34"/>
    </row>
    <row r="2497" spans="1:16" x14ac:dyDescent="0.25">
      <c r="A2497" s="14"/>
      <c r="B2497"/>
      <c r="C2497" s="15"/>
      <c r="D2497"/>
      <c r="E2497"/>
      <c r="F2497" s="16"/>
      <c r="G2497"/>
      <c r="H2497"/>
      <c r="I2497" s="16"/>
      <c r="J2497"/>
      <c r="K2497"/>
      <c r="L2497"/>
      <c r="M2497" s="17"/>
      <c r="N2497"/>
      <c r="O2497"/>
      <c r="P2497" s="34"/>
    </row>
    <row r="2498" spans="1:16" x14ac:dyDescent="0.25">
      <c r="A2498" s="14"/>
      <c r="B2498"/>
      <c r="C2498" s="15"/>
      <c r="D2498"/>
      <c r="E2498"/>
      <c r="F2498" s="16"/>
      <c r="G2498"/>
      <c r="H2498"/>
      <c r="I2498" s="16"/>
      <c r="J2498"/>
      <c r="K2498"/>
      <c r="L2498"/>
      <c r="M2498" s="17"/>
      <c r="N2498"/>
      <c r="O2498"/>
      <c r="P2498" s="34"/>
    </row>
    <row r="2499" spans="1:16" x14ac:dyDescent="0.25">
      <c r="A2499" s="14"/>
      <c r="B2499"/>
      <c r="C2499" s="15"/>
      <c r="D2499"/>
      <c r="E2499"/>
      <c r="F2499" s="16"/>
      <c r="G2499"/>
      <c r="H2499"/>
      <c r="I2499" s="16"/>
      <c r="J2499"/>
      <c r="K2499"/>
      <c r="L2499"/>
      <c r="M2499" s="17"/>
      <c r="N2499"/>
      <c r="O2499"/>
      <c r="P2499" s="34"/>
    </row>
    <row r="2500" spans="1:16" x14ac:dyDescent="0.25">
      <c r="A2500" s="14"/>
      <c r="B2500"/>
      <c r="C2500" s="15"/>
      <c r="D2500"/>
      <c r="E2500"/>
      <c r="F2500" s="16"/>
      <c r="G2500"/>
      <c r="H2500"/>
      <c r="I2500" s="16"/>
      <c r="J2500"/>
      <c r="K2500"/>
      <c r="L2500"/>
      <c r="M2500" s="17"/>
      <c r="N2500"/>
      <c r="O2500"/>
      <c r="P2500" s="34"/>
    </row>
    <row r="2501" spans="1:16" x14ac:dyDescent="0.25">
      <c r="A2501" s="14"/>
      <c r="B2501"/>
      <c r="C2501" s="15"/>
      <c r="D2501"/>
      <c r="E2501"/>
      <c r="F2501" s="16"/>
      <c r="G2501"/>
      <c r="H2501"/>
      <c r="I2501" s="16"/>
      <c r="J2501"/>
      <c r="K2501"/>
      <c r="L2501"/>
      <c r="M2501" s="17"/>
      <c r="N2501"/>
      <c r="O2501"/>
      <c r="P2501" s="34"/>
    </row>
    <row r="2502" spans="1:16" x14ac:dyDescent="0.25">
      <c r="A2502" s="14"/>
      <c r="B2502"/>
      <c r="C2502" s="15"/>
      <c r="D2502"/>
      <c r="E2502"/>
      <c r="F2502" s="16"/>
      <c r="G2502"/>
      <c r="H2502"/>
      <c r="I2502" s="16"/>
      <c r="J2502"/>
      <c r="K2502"/>
      <c r="L2502"/>
      <c r="M2502" s="17"/>
      <c r="N2502"/>
      <c r="O2502"/>
      <c r="P2502" s="34"/>
    </row>
    <row r="2503" spans="1:16" x14ac:dyDescent="0.25">
      <c r="A2503" s="14"/>
      <c r="B2503"/>
      <c r="C2503" s="15"/>
      <c r="D2503"/>
      <c r="E2503"/>
      <c r="F2503" s="16"/>
      <c r="G2503"/>
      <c r="H2503"/>
      <c r="I2503" s="16"/>
      <c r="J2503"/>
      <c r="K2503"/>
      <c r="L2503"/>
      <c r="M2503" s="17"/>
      <c r="N2503"/>
      <c r="O2503"/>
      <c r="P2503" s="34"/>
    </row>
    <row r="2504" spans="1:16" x14ac:dyDescent="0.25">
      <c r="A2504" s="14"/>
      <c r="B2504"/>
      <c r="C2504" s="15"/>
      <c r="D2504"/>
      <c r="E2504"/>
      <c r="F2504" s="16"/>
      <c r="G2504"/>
      <c r="H2504"/>
      <c r="I2504" s="16"/>
      <c r="J2504"/>
      <c r="K2504"/>
      <c r="L2504"/>
      <c r="M2504" s="17"/>
      <c r="N2504"/>
      <c r="O2504"/>
      <c r="P2504" s="34"/>
    </row>
    <row r="2505" spans="1:16" x14ac:dyDescent="0.25">
      <c r="A2505" s="14"/>
      <c r="B2505"/>
      <c r="C2505" s="15"/>
      <c r="D2505"/>
      <c r="E2505"/>
      <c r="F2505" s="16"/>
      <c r="G2505"/>
      <c r="H2505"/>
      <c r="I2505" s="16"/>
      <c r="J2505"/>
      <c r="K2505"/>
      <c r="L2505"/>
      <c r="M2505" s="17"/>
      <c r="N2505"/>
      <c r="O2505"/>
      <c r="P2505" s="34"/>
    </row>
    <row r="2506" spans="1:16" x14ac:dyDescent="0.25">
      <c r="A2506" s="14"/>
      <c r="B2506"/>
      <c r="C2506" s="15"/>
      <c r="D2506"/>
      <c r="E2506"/>
      <c r="F2506" s="16"/>
      <c r="G2506"/>
      <c r="H2506"/>
      <c r="I2506" s="16"/>
      <c r="J2506"/>
      <c r="K2506"/>
      <c r="L2506"/>
      <c r="M2506" s="17"/>
      <c r="N2506"/>
      <c r="O2506"/>
      <c r="P2506" s="34"/>
    </row>
    <row r="2507" spans="1:16" x14ac:dyDescent="0.25">
      <c r="A2507" s="14"/>
      <c r="B2507"/>
      <c r="C2507" s="15"/>
      <c r="D2507"/>
      <c r="E2507"/>
      <c r="F2507" s="16"/>
      <c r="G2507"/>
      <c r="H2507"/>
      <c r="I2507" s="16"/>
      <c r="J2507"/>
      <c r="K2507"/>
      <c r="L2507"/>
      <c r="M2507" s="17"/>
      <c r="N2507"/>
      <c r="O2507"/>
      <c r="P2507" s="34"/>
    </row>
    <row r="2508" spans="1:16" x14ac:dyDescent="0.25">
      <c r="A2508" s="14"/>
      <c r="B2508"/>
      <c r="C2508" s="15"/>
      <c r="D2508"/>
      <c r="E2508"/>
      <c r="F2508" s="16"/>
      <c r="G2508"/>
      <c r="H2508"/>
      <c r="I2508" s="16"/>
      <c r="J2508"/>
      <c r="K2508"/>
      <c r="L2508"/>
      <c r="M2508" s="17"/>
      <c r="N2508"/>
      <c r="O2508"/>
      <c r="P2508" s="34"/>
    </row>
    <row r="2509" spans="1:16" x14ac:dyDescent="0.25">
      <c r="A2509" s="14"/>
      <c r="B2509"/>
      <c r="C2509" s="15"/>
      <c r="D2509"/>
      <c r="E2509"/>
      <c r="F2509" s="16"/>
      <c r="G2509"/>
      <c r="H2509"/>
      <c r="I2509" s="16"/>
      <c r="J2509"/>
      <c r="K2509"/>
      <c r="L2509"/>
      <c r="M2509" s="17"/>
      <c r="N2509"/>
      <c r="O2509"/>
      <c r="P2509" s="34"/>
    </row>
    <row r="2510" spans="1:16" x14ac:dyDescent="0.25">
      <c r="A2510" s="14"/>
      <c r="B2510"/>
      <c r="C2510" s="15"/>
      <c r="D2510"/>
      <c r="E2510"/>
      <c r="F2510" s="16"/>
      <c r="G2510"/>
      <c r="H2510"/>
      <c r="I2510" s="16"/>
      <c r="J2510"/>
      <c r="K2510"/>
      <c r="L2510"/>
      <c r="M2510" s="17"/>
      <c r="N2510"/>
      <c r="O2510"/>
      <c r="P2510" s="34"/>
    </row>
    <row r="2511" spans="1:16" x14ac:dyDescent="0.25">
      <c r="A2511" s="14"/>
      <c r="B2511"/>
      <c r="C2511" s="15"/>
      <c r="D2511"/>
      <c r="E2511"/>
      <c r="F2511" s="16"/>
      <c r="G2511"/>
      <c r="H2511"/>
      <c r="I2511" s="16"/>
      <c r="J2511"/>
      <c r="K2511"/>
      <c r="L2511"/>
      <c r="M2511" s="17"/>
      <c r="N2511"/>
      <c r="O2511"/>
      <c r="P2511" s="34"/>
    </row>
    <row r="2512" spans="1:16" x14ac:dyDescent="0.25">
      <c r="A2512" s="14"/>
      <c r="B2512"/>
      <c r="C2512" s="15"/>
      <c r="D2512"/>
      <c r="E2512"/>
      <c r="F2512" s="16"/>
      <c r="G2512"/>
      <c r="H2512"/>
      <c r="I2512" s="16"/>
      <c r="J2512"/>
      <c r="K2512"/>
      <c r="L2512"/>
      <c r="M2512" s="17"/>
      <c r="N2512"/>
      <c r="O2512"/>
      <c r="P2512" s="34"/>
    </row>
    <row r="2513" spans="1:16" x14ac:dyDescent="0.25">
      <c r="A2513" s="14"/>
      <c r="B2513"/>
      <c r="C2513" s="15"/>
      <c r="D2513"/>
      <c r="E2513"/>
      <c r="F2513" s="16"/>
      <c r="G2513"/>
      <c r="H2513"/>
      <c r="I2513" s="16"/>
      <c r="J2513"/>
      <c r="K2513"/>
      <c r="L2513"/>
      <c r="M2513" s="17"/>
      <c r="N2513"/>
      <c r="O2513"/>
      <c r="P2513" s="34"/>
    </row>
    <row r="2514" spans="1:16" x14ac:dyDescent="0.25">
      <c r="A2514" s="14"/>
      <c r="B2514"/>
      <c r="C2514" s="15"/>
      <c r="D2514"/>
      <c r="E2514"/>
      <c r="F2514" s="16"/>
      <c r="G2514"/>
      <c r="H2514"/>
      <c r="I2514" s="16"/>
      <c r="J2514"/>
      <c r="K2514"/>
      <c r="L2514"/>
      <c r="M2514" s="17"/>
      <c r="N2514"/>
      <c r="O2514"/>
      <c r="P2514" s="34"/>
    </row>
    <row r="2515" spans="1:16" x14ac:dyDescent="0.25">
      <c r="A2515" s="14"/>
      <c r="B2515"/>
      <c r="C2515" s="15"/>
      <c r="D2515"/>
      <c r="E2515"/>
      <c r="F2515" s="16"/>
      <c r="G2515"/>
      <c r="H2515"/>
      <c r="I2515" s="16"/>
      <c r="J2515"/>
      <c r="K2515"/>
      <c r="L2515"/>
      <c r="M2515" s="17"/>
      <c r="N2515"/>
      <c r="O2515"/>
      <c r="P2515" s="34"/>
    </row>
    <row r="2516" spans="1:16" x14ac:dyDescent="0.25">
      <c r="A2516" s="14"/>
      <c r="B2516"/>
      <c r="C2516" s="15"/>
      <c r="D2516"/>
      <c r="E2516"/>
      <c r="F2516" s="16"/>
      <c r="G2516"/>
      <c r="H2516"/>
      <c r="I2516" s="16"/>
      <c r="J2516"/>
      <c r="K2516"/>
      <c r="L2516"/>
      <c r="M2516" s="17"/>
      <c r="N2516"/>
      <c r="O2516"/>
      <c r="P2516" s="34"/>
    </row>
    <row r="2517" spans="1:16" x14ac:dyDescent="0.25">
      <c r="A2517" s="14"/>
      <c r="B2517"/>
      <c r="C2517" s="15"/>
      <c r="D2517"/>
      <c r="E2517"/>
      <c r="F2517" s="16"/>
      <c r="G2517"/>
      <c r="H2517"/>
      <c r="I2517" s="16"/>
      <c r="J2517"/>
      <c r="K2517"/>
      <c r="L2517"/>
      <c r="M2517" s="17"/>
      <c r="N2517"/>
      <c r="O2517"/>
      <c r="P2517" s="34"/>
    </row>
    <row r="2518" spans="1:16" x14ac:dyDescent="0.25">
      <c r="A2518" s="14"/>
      <c r="B2518"/>
      <c r="C2518" s="15"/>
      <c r="D2518"/>
      <c r="E2518"/>
      <c r="F2518" s="16"/>
      <c r="G2518"/>
      <c r="H2518"/>
      <c r="I2518" s="16"/>
      <c r="J2518"/>
      <c r="K2518"/>
      <c r="L2518"/>
      <c r="M2518" s="17"/>
      <c r="N2518"/>
      <c r="O2518"/>
      <c r="P2518" s="34"/>
    </row>
    <row r="2519" spans="1:16" x14ac:dyDescent="0.25">
      <c r="A2519" s="14"/>
      <c r="B2519"/>
      <c r="C2519" s="15"/>
      <c r="D2519"/>
      <c r="E2519"/>
      <c r="F2519" s="16"/>
      <c r="G2519"/>
      <c r="H2519"/>
      <c r="I2519" s="16"/>
      <c r="J2519"/>
      <c r="K2519"/>
      <c r="L2519"/>
      <c r="M2519" s="17"/>
      <c r="N2519"/>
      <c r="O2519"/>
      <c r="P2519" s="34"/>
    </row>
    <row r="2520" spans="1:16" x14ac:dyDescent="0.25">
      <c r="A2520" s="14"/>
      <c r="B2520"/>
      <c r="C2520" s="15"/>
      <c r="D2520"/>
      <c r="E2520"/>
      <c r="F2520" s="16"/>
      <c r="G2520"/>
      <c r="H2520"/>
      <c r="I2520" s="16"/>
      <c r="J2520"/>
      <c r="K2520"/>
      <c r="L2520"/>
      <c r="M2520" s="17"/>
      <c r="N2520"/>
      <c r="O2520"/>
      <c r="P2520" s="34"/>
    </row>
    <row r="2521" spans="1:16" x14ac:dyDescent="0.25">
      <c r="A2521" s="14"/>
      <c r="B2521"/>
      <c r="C2521" s="15"/>
      <c r="D2521"/>
      <c r="E2521"/>
      <c r="F2521" s="16"/>
      <c r="G2521"/>
      <c r="H2521"/>
      <c r="I2521" s="16"/>
      <c r="J2521"/>
      <c r="K2521"/>
      <c r="L2521"/>
      <c r="M2521" s="17"/>
      <c r="N2521"/>
      <c r="O2521"/>
      <c r="P2521" s="34"/>
    </row>
    <row r="2522" spans="1:16" x14ac:dyDescent="0.25">
      <c r="A2522" s="14"/>
      <c r="B2522"/>
      <c r="C2522" s="15"/>
      <c r="D2522"/>
      <c r="E2522"/>
      <c r="F2522" s="16"/>
      <c r="G2522"/>
      <c r="H2522"/>
      <c r="I2522" s="16"/>
      <c r="J2522"/>
      <c r="K2522"/>
      <c r="L2522"/>
      <c r="M2522" s="17"/>
      <c r="N2522"/>
      <c r="O2522"/>
      <c r="P2522" s="34"/>
    </row>
    <row r="2523" spans="1:16" x14ac:dyDescent="0.25">
      <c r="A2523" s="14"/>
      <c r="B2523"/>
      <c r="C2523" s="15"/>
      <c r="D2523"/>
      <c r="E2523"/>
      <c r="F2523" s="16"/>
      <c r="G2523"/>
      <c r="H2523"/>
      <c r="I2523" s="16"/>
      <c r="J2523"/>
      <c r="K2523"/>
      <c r="L2523"/>
      <c r="M2523" s="17"/>
      <c r="N2523"/>
      <c r="O2523"/>
      <c r="P2523" s="34"/>
    </row>
    <row r="2524" spans="1:16" x14ac:dyDescent="0.25">
      <c r="A2524" s="14"/>
      <c r="B2524"/>
      <c r="C2524" s="15"/>
      <c r="D2524"/>
      <c r="E2524"/>
      <c r="F2524" s="16"/>
      <c r="G2524"/>
      <c r="H2524"/>
      <c r="I2524" s="16"/>
      <c r="J2524"/>
      <c r="K2524"/>
      <c r="L2524"/>
      <c r="M2524" s="17"/>
      <c r="N2524"/>
      <c r="O2524"/>
      <c r="P2524" s="34"/>
    </row>
    <row r="2525" spans="1:16" x14ac:dyDescent="0.25">
      <c r="A2525" s="14"/>
      <c r="B2525"/>
      <c r="C2525" s="15"/>
      <c r="D2525"/>
      <c r="E2525"/>
      <c r="F2525" s="16"/>
      <c r="G2525"/>
      <c r="H2525"/>
      <c r="I2525" s="16"/>
      <c r="J2525"/>
      <c r="K2525"/>
      <c r="L2525"/>
      <c r="M2525" s="17"/>
      <c r="N2525"/>
      <c r="O2525"/>
      <c r="P2525" s="34"/>
    </row>
    <row r="2526" spans="1:16" x14ac:dyDescent="0.25">
      <c r="A2526" s="14"/>
      <c r="B2526"/>
      <c r="C2526" s="15"/>
      <c r="D2526"/>
      <c r="E2526"/>
      <c r="F2526" s="16"/>
      <c r="G2526"/>
      <c r="H2526"/>
      <c r="I2526" s="16"/>
      <c r="J2526"/>
      <c r="K2526"/>
      <c r="L2526"/>
      <c r="M2526" s="17"/>
      <c r="N2526"/>
      <c r="O2526"/>
      <c r="P2526" s="34"/>
    </row>
    <row r="2527" spans="1:16" x14ac:dyDescent="0.25">
      <c r="A2527" s="14"/>
      <c r="B2527"/>
      <c r="C2527" s="15"/>
      <c r="D2527"/>
      <c r="E2527"/>
      <c r="F2527" s="16"/>
      <c r="G2527"/>
      <c r="H2527"/>
      <c r="I2527" s="16"/>
      <c r="J2527"/>
      <c r="K2527"/>
      <c r="L2527"/>
      <c r="M2527" s="17"/>
      <c r="N2527"/>
      <c r="O2527"/>
      <c r="P2527" s="34"/>
    </row>
    <row r="2528" spans="1:16" x14ac:dyDescent="0.25">
      <c r="A2528" s="14"/>
      <c r="B2528"/>
      <c r="C2528" s="15"/>
      <c r="D2528"/>
      <c r="E2528"/>
      <c r="F2528" s="16"/>
      <c r="G2528"/>
      <c r="H2528"/>
      <c r="I2528" s="16"/>
      <c r="J2528"/>
      <c r="K2528"/>
      <c r="L2528"/>
      <c r="M2528" s="17"/>
      <c r="N2528"/>
      <c r="O2528"/>
      <c r="P2528" s="34"/>
    </row>
    <row r="2529" spans="1:16" x14ac:dyDescent="0.25">
      <c r="A2529" s="14"/>
      <c r="B2529"/>
      <c r="C2529" s="15"/>
      <c r="D2529"/>
      <c r="E2529"/>
      <c r="F2529" s="16"/>
      <c r="G2529"/>
      <c r="H2529"/>
      <c r="I2529" s="16"/>
      <c r="J2529"/>
      <c r="K2529"/>
      <c r="L2529"/>
      <c r="M2529" s="17"/>
      <c r="N2529"/>
      <c r="O2529"/>
      <c r="P2529" s="34"/>
    </row>
    <row r="2530" spans="1:16" x14ac:dyDescent="0.25">
      <c r="A2530" s="14"/>
      <c r="B2530"/>
      <c r="C2530" s="15"/>
      <c r="D2530"/>
      <c r="E2530"/>
      <c r="F2530" s="16"/>
      <c r="G2530"/>
      <c r="H2530"/>
      <c r="I2530" s="16"/>
      <c r="J2530"/>
      <c r="K2530"/>
      <c r="L2530"/>
      <c r="M2530" s="17"/>
      <c r="N2530"/>
      <c r="O2530"/>
      <c r="P2530" s="34"/>
    </row>
    <row r="2531" spans="1:16" x14ac:dyDescent="0.25">
      <c r="A2531" s="14"/>
      <c r="B2531"/>
      <c r="C2531" s="15"/>
      <c r="D2531"/>
      <c r="E2531"/>
      <c r="F2531" s="16"/>
      <c r="G2531"/>
      <c r="H2531"/>
      <c r="I2531" s="16"/>
      <c r="J2531"/>
      <c r="K2531"/>
      <c r="L2531"/>
      <c r="M2531" s="17"/>
      <c r="N2531"/>
      <c r="O2531"/>
      <c r="P2531" s="34"/>
    </row>
    <row r="2532" spans="1:16" x14ac:dyDescent="0.25">
      <c r="A2532" s="14"/>
      <c r="B2532"/>
      <c r="C2532" s="15"/>
      <c r="D2532"/>
      <c r="E2532"/>
      <c r="F2532" s="16"/>
      <c r="G2532"/>
      <c r="H2532"/>
      <c r="I2532" s="16"/>
      <c r="J2532"/>
      <c r="K2532"/>
      <c r="L2532"/>
      <c r="M2532" s="17"/>
      <c r="N2532"/>
      <c r="O2532"/>
      <c r="P2532" s="34"/>
    </row>
    <row r="2533" spans="1:16" x14ac:dyDescent="0.25">
      <c r="A2533" s="14"/>
      <c r="B2533"/>
      <c r="C2533" s="15"/>
      <c r="D2533"/>
      <c r="E2533"/>
      <c r="F2533" s="16"/>
      <c r="G2533"/>
      <c r="H2533"/>
      <c r="I2533" s="16"/>
      <c r="J2533"/>
      <c r="K2533"/>
      <c r="L2533"/>
      <c r="M2533" s="17"/>
      <c r="N2533"/>
      <c r="O2533"/>
      <c r="P2533" s="34"/>
    </row>
    <row r="2534" spans="1:16" x14ac:dyDescent="0.25">
      <c r="A2534" s="14"/>
      <c r="B2534"/>
      <c r="C2534" s="15"/>
      <c r="D2534"/>
      <c r="E2534"/>
      <c r="F2534" s="16"/>
      <c r="G2534"/>
      <c r="H2534"/>
      <c r="I2534" s="16"/>
      <c r="J2534"/>
      <c r="K2534"/>
      <c r="L2534"/>
      <c r="M2534" s="17"/>
      <c r="N2534"/>
      <c r="O2534"/>
      <c r="P2534" s="34"/>
    </row>
    <row r="2535" spans="1:16" x14ac:dyDescent="0.25">
      <c r="A2535" s="14"/>
      <c r="B2535"/>
      <c r="C2535" s="15"/>
      <c r="D2535"/>
      <c r="E2535"/>
      <c r="F2535" s="16"/>
      <c r="G2535"/>
      <c r="H2535"/>
      <c r="I2535" s="16"/>
      <c r="J2535"/>
      <c r="K2535"/>
      <c r="L2535"/>
      <c r="M2535" s="17"/>
      <c r="N2535"/>
      <c r="O2535"/>
      <c r="P2535" s="34"/>
    </row>
    <row r="2536" spans="1:16" x14ac:dyDescent="0.25">
      <c r="A2536" s="14"/>
      <c r="B2536"/>
      <c r="C2536" s="15"/>
      <c r="D2536"/>
      <c r="E2536"/>
      <c r="F2536" s="16"/>
      <c r="G2536"/>
      <c r="H2536"/>
      <c r="I2536" s="16"/>
      <c r="J2536"/>
      <c r="K2536"/>
      <c r="L2536"/>
      <c r="M2536" s="17"/>
      <c r="N2536"/>
      <c r="O2536"/>
      <c r="P2536" s="34"/>
    </row>
    <row r="2537" spans="1:16" x14ac:dyDescent="0.25">
      <c r="A2537" s="14"/>
      <c r="B2537"/>
      <c r="C2537" s="15"/>
      <c r="D2537"/>
      <c r="E2537"/>
      <c r="F2537" s="16"/>
      <c r="G2537"/>
      <c r="H2537"/>
      <c r="I2537" s="16"/>
      <c r="J2537"/>
      <c r="K2537"/>
      <c r="L2537"/>
      <c r="M2537" s="17"/>
      <c r="N2537"/>
      <c r="O2537"/>
      <c r="P2537" s="34"/>
    </row>
    <row r="2538" spans="1:16" x14ac:dyDescent="0.25">
      <c r="A2538" s="14"/>
      <c r="B2538"/>
      <c r="C2538" s="15"/>
      <c r="D2538"/>
      <c r="E2538"/>
      <c r="F2538" s="16"/>
      <c r="G2538"/>
      <c r="H2538"/>
      <c r="I2538" s="16"/>
      <c r="J2538"/>
      <c r="K2538"/>
      <c r="L2538"/>
      <c r="M2538" s="17"/>
      <c r="N2538"/>
      <c r="O2538"/>
      <c r="P2538" s="34"/>
    </row>
    <row r="2539" spans="1:16" x14ac:dyDescent="0.25">
      <c r="A2539" s="14"/>
      <c r="B2539"/>
      <c r="C2539" s="15"/>
      <c r="D2539"/>
      <c r="E2539"/>
      <c r="F2539" s="16"/>
      <c r="G2539"/>
      <c r="H2539"/>
      <c r="I2539" s="16"/>
      <c r="J2539"/>
      <c r="K2539"/>
      <c r="L2539"/>
      <c r="M2539" s="17"/>
      <c r="N2539"/>
      <c r="O2539"/>
      <c r="P2539" s="34"/>
    </row>
    <row r="2540" spans="1:16" x14ac:dyDescent="0.25">
      <c r="A2540" s="14"/>
      <c r="B2540"/>
      <c r="C2540" s="15"/>
      <c r="D2540"/>
      <c r="E2540"/>
      <c r="F2540" s="16"/>
      <c r="G2540"/>
      <c r="H2540"/>
      <c r="I2540" s="16"/>
      <c r="J2540"/>
      <c r="K2540"/>
      <c r="L2540"/>
      <c r="M2540" s="17"/>
      <c r="N2540"/>
      <c r="O2540"/>
      <c r="P2540" s="34"/>
    </row>
    <row r="2541" spans="1:16" x14ac:dyDescent="0.25">
      <c r="A2541" s="14"/>
      <c r="B2541"/>
      <c r="C2541" s="15"/>
      <c r="D2541"/>
      <c r="E2541"/>
      <c r="F2541" s="16"/>
      <c r="G2541"/>
      <c r="H2541"/>
      <c r="I2541" s="16"/>
      <c r="J2541"/>
      <c r="K2541"/>
      <c r="L2541"/>
      <c r="M2541" s="17"/>
      <c r="N2541"/>
      <c r="O2541"/>
      <c r="P2541" s="34"/>
    </row>
    <row r="2542" spans="1:16" x14ac:dyDescent="0.25">
      <c r="A2542" s="14"/>
      <c r="B2542"/>
      <c r="C2542" s="15"/>
      <c r="D2542"/>
      <c r="E2542"/>
      <c r="F2542" s="16"/>
      <c r="G2542"/>
      <c r="H2542"/>
      <c r="I2542" s="16"/>
      <c r="J2542"/>
      <c r="K2542"/>
      <c r="L2542"/>
      <c r="M2542" s="17"/>
      <c r="N2542"/>
      <c r="O2542"/>
      <c r="P2542" s="34"/>
    </row>
    <row r="2543" spans="1:16" x14ac:dyDescent="0.25">
      <c r="A2543" s="14"/>
      <c r="B2543"/>
      <c r="C2543" s="15"/>
      <c r="D2543"/>
      <c r="E2543"/>
      <c r="F2543" s="16"/>
      <c r="G2543"/>
      <c r="H2543"/>
      <c r="I2543" s="16"/>
      <c r="J2543"/>
      <c r="K2543"/>
      <c r="L2543"/>
      <c r="M2543" s="17"/>
      <c r="N2543"/>
      <c r="O2543"/>
      <c r="P2543" s="34"/>
    </row>
    <row r="2544" spans="1:16" x14ac:dyDescent="0.25">
      <c r="A2544" s="14"/>
      <c r="B2544"/>
      <c r="C2544" s="15"/>
      <c r="D2544"/>
      <c r="E2544"/>
      <c r="F2544" s="16"/>
      <c r="G2544"/>
      <c r="H2544"/>
      <c r="I2544" s="16"/>
      <c r="J2544"/>
      <c r="K2544"/>
      <c r="L2544"/>
      <c r="M2544" s="17"/>
      <c r="N2544"/>
      <c r="O2544"/>
      <c r="P2544" s="34"/>
    </row>
    <row r="2545" spans="1:16" x14ac:dyDescent="0.25">
      <c r="A2545" s="14"/>
      <c r="B2545"/>
      <c r="C2545" s="15"/>
      <c r="D2545"/>
      <c r="E2545"/>
      <c r="F2545" s="16"/>
      <c r="G2545"/>
      <c r="H2545"/>
      <c r="I2545" s="16"/>
      <c r="J2545"/>
      <c r="K2545"/>
      <c r="L2545"/>
      <c r="M2545" s="17"/>
      <c r="N2545"/>
      <c r="O2545"/>
      <c r="P2545" s="34"/>
    </row>
    <row r="2546" spans="1:16" x14ac:dyDescent="0.25">
      <c r="A2546" s="14"/>
      <c r="B2546"/>
      <c r="C2546" s="15"/>
      <c r="D2546"/>
      <c r="E2546"/>
      <c r="F2546" s="16"/>
      <c r="G2546"/>
      <c r="H2546"/>
      <c r="I2546" s="16"/>
      <c r="J2546"/>
      <c r="K2546"/>
      <c r="L2546"/>
      <c r="M2546" s="17"/>
      <c r="N2546"/>
      <c r="O2546"/>
      <c r="P2546" s="34"/>
    </row>
    <row r="2547" spans="1:16" x14ac:dyDescent="0.25">
      <c r="A2547" s="14"/>
      <c r="B2547"/>
      <c r="C2547" s="15"/>
      <c r="D2547"/>
      <c r="E2547"/>
      <c r="F2547" s="16"/>
      <c r="G2547"/>
      <c r="H2547"/>
      <c r="I2547" s="16"/>
      <c r="J2547"/>
      <c r="K2547"/>
      <c r="L2547"/>
      <c r="M2547" s="17"/>
      <c r="N2547"/>
      <c r="O2547"/>
      <c r="P2547" s="34"/>
    </row>
    <row r="2548" spans="1:16" x14ac:dyDescent="0.25">
      <c r="A2548" s="14"/>
      <c r="B2548"/>
      <c r="C2548" s="15"/>
      <c r="D2548"/>
      <c r="E2548"/>
      <c r="F2548" s="16"/>
      <c r="G2548"/>
      <c r="H2548"/>
      <c r="I2548" s="16"/>
      <c r="J2548"/>
      <c r="K2548"/>
      <c r="L2548"/>
      <c r="M2548" s="17"/>
      <c r="N2548"/>
      <c r="O2548"/>
      <c r="P2548" s="34"/>
    </row>
    <row r="2549" spans="1:16" x14ac:dyDescent="0.25">
      <c r="A2549" s="14"/>
      <c r="B2549"/>
      <c r="C2549" s="15"/>
      <c r="D2549"/>
      <c r="E2549"/>
      <c r="F2549" s="16"/>
      <c r="G2549"/>
      <c r="H2549"/>
      <c r="I2549" s="16"/>
      <c r="J2549"/>
      <c r="K2549"/>
      <c r="L2549"/>
      <c r="M2549" s="17"/>
      <c r="N2549"/>
      <c r="O2549"/>
      <c r="P2549" s="34"/>
    </row>
    <row r="2550" spans="1:16" x14ac:dyDescent="0.25">
      <c r="A2550" s="14"/>
      <c r="B2550"/>
      <c r="C2550" s="15"/>
      <c r="D2550"/>
      <c r="E2550"/>
      <c r="F2550" s="16"/>
      <c r="G2550"/>
      <c r="H2550"/>
      <c r="I2550" s="16"/>
      <c r="J2550"/>
      <c r="K2550"/>
      <c r="L2550"/>
      <c r="M2550" s="17"/>
      <c r="N2550"/>
      <c r="O2550"/>
      <c r="P2550" s="34"/>
    </row>
    <row r="2551" spans="1:16" x14ac:dyDescent="0.25">
      <c r="A2551" s="14"/>
      <c r="B2551"/>
      <c r="C2551" s="15"/>
      <c r="D2551"/>
      <c r="E2551"/>
      <c r="F2551" s="16"/>
      <c r="G2551"/>
      <c r="H2551"/>
      <c r="I2551" s="16"/>
      <c r="J2551"/>
      <c r="K2551"/>
      <c r="L2551"/>
      <c r="M2551" s="17"/>
      <c r="N2551"/>
      <c r="O2551"/>
      <c r="P2551" s="34"/>
    </row>
    <row r="2552" spans="1:16" x14ac:dyDescent="0.25">
      <c r="A2552" s="14"/>
      <c r="B2552"/>
      <c r="C2552" s="15"/>
      <c r="D2552"/>
      <c r="E2552"/>
      <c r="F2552" s="16"/>
      <c r="G2552"/>
      <c r="H2552"/>
      <c r="I2552" s="16"/>
      <c r="J2552"/>
      <c r="K2552"/>
      <c r="L2552"/>
      <c r="M2552" s="17"/>
      <c r="N2552"/>
      <c r="O2552"/>
      <c r="P2552" s="34"/>
    </row>
    <row r="2553" spans="1:16" x14ac:dyDescent="0.25">
      <c r="A2553" s="14"/>
      <c r="B2553"/>
      <c r="C2553" s="15"/>
      <c r="D2553"/>
      <c r="E2553"/>
      <c r="F2553" s="16"/>
      <c r="G2553"/>
      <c r="H2553"/>
      <c r="I2553" s="16"/>
      <c r="J2553"/>
      <c r="K2553"/>
      <c r="L2553"/>
      <c r="M2553" s="17"/>
      <c r="N2553"/>
      <c r="O2553"/>
      <c r="P2553" s="34"/>
    </row>
    <row r="2554" spans="1:16" x14ac:dyDescent="0.25">
      <c r="A2554" s="14"/>
      <c r="B2554"/>
      <c r="C2554" s="15"/>
      <c r="D2554"/>
      <c r="E2554"/>
      <c r="F2554" s="16"/>
      <c r="G2554"/>
      <c r="H2554"/>
      <c r="I2554" s="16"/>
      <c r="J2554"/>
      <c r="K2554"/>
      <c r="L2554"/>
      <c r="M2554" s="17"/>
      <c r="N2554"/>
      <c r="O2554"/>
      <c r="P2554" s="34"/>
    </row>
    <row r="2555" spans="1:16" x14ac:dyDescent="0.25">
      <c r="A2555" s="14"/>
      <c r="B2555"/>
      <c r="C2555" s="15"/>
      <c r="D2555"/>
      <c r="E2555"/>
      <c r="F2555" s="16"/>
      <c r="G2555"/>
      <c r="H2555"/>
      <c r="I2555" s="16"/>
      <c r="J2555"/>
      <c r="K2555"/>
      <c r="L2555"/>
      <c r="M2555" s="17"/>
      <c r="N2555"/>
      <c r="O2555"/>
      <c r="P2555" s="34"/>
    </row>
    <row r="2556" spans="1:16" x14ac:dyDescent="0.25">
      <c r="A2556" s="14"/>
      <c r="B2556"/>
      <c r="C2556" s="15"/>
      <c r="D2556"/>
      <c r="E2556"/>
      <c r="F2556" s="16"/>
      <c r="G2556"/>
      <c r="H2556"/>
      <c r="I2556" s="16"/>
      <c r="J2556"/>
      <c r="K2556"/>
      <c r="L2556"/>
      <c r="M2556" s="17"/>
      <c r="N2556"/>
      <c r="O2556"/>
      <c r="P2556" s="34"/>
    </row>
    <row r="2557" spans="1:16" x14ac:dyDescent="0.25">
      <c r="A2557" s="14"/>
      <c r="B2557"/>
      <c r="C2557" s="15"/>
      <c r="D2557"/>
      <c r="E2557"/>
      <c r="F2557" s="16"/>
      <c r="G2557"/>
      <c r="H2557"/>
      <c r="I2557" s="16"/>
      <c r="J2557"/>
      <c r="K2557"/>
      <c r="L2557"/>
      <c r="M2557" s="17"/>
      <c r="N2557"/>
      <c r="O2557"/>
      <c r="P2557" s="34"/>
    </row>
    <row r="2558" spans="1:16" x14ac:dyDescent="0.25">
      <c r="A2558" s="14"/>
      <c r="B2558"/>
      <c r="C2558" s="15"/>
      <c r="D2558"/>
      <c r="E2558"/>
      <c r="F2558" s="16"/>
      <c r="G2558"/>
      <c r="H2558"/>
      <c r="I2558" s="16"/>
      <c r="J2558"/>
      <c r="K2558"/>
      <c r="L2558"/>
      <c r="M2558" s="17"/>
      <c r="N2558"/>
      <c r="O2558"/>
      <c r="P2558" s="34"/>
    </row>
    <row r="2559" spans="1:16" x14ac:dyDescent="0.25">
      <c r="A2559" s="14"/>
      <c r="B2559"/>
      <c r="C2559" s="15"/>
      <c r="D2559"/>
      <c r="E2559"/>
      <c r="F2559" s="16"/>
      <c r="G2559"/>
      <c r="H2559"/>
      <c r="I2559" s="16"/>
      <c r="J2559"/>
      <c r="K2559"/>
      <c r="L2559"/>
      <c r="M2559" s="17"/>
      <c r="N2559"/>
      <c r="O2559"/>
      <c r="P2559" s="34"/>
    </row>
    <row r="2560" spans="1:16" x14ac:dyDescent="0.25">
      <c r="A2560" s="14"/>
      <c r="B2560"/>
      <c r="C2560" s="15"/>
      <c r="D2560"/>
      <c r="E2560"/>
      <c r="F2560" s="16"/>
      <c r="G2560"/>
      <c r="H2560"/>
      <c r="I2560" s="16"/>
      <c r="J2560"/>
      <c r="K2560"/>
      <c r="L2560"/>
      <c r="M2560" s="17"/>
      <c r="N2560"/>
      <c r="O2560"/>
      <c r="P2560" s="34"/>
    </row>
    <row r="2561" spans="1:16" x14ac:dyDescent="0.25">
      <c r="A2561" s="14"/>
      <c r="B2561"/>
      <c r="C2561" s="15"/>
      <c r="D2561"/>
      <c r="E2561"/>
      <c r="F2561" s="16"/>
      <c r="G2561"/>
      <c r="H2561"/>
      <c r="I2561" s="16"/>
      <c r="J2561"/>
      <c r="K2561"/>
      <c r="L2561"/>
      <c r="M2561" s="17"/>
      <c r="N2561"/>
      <c r="O2561"/>
      <c r="P2561" s="34"/>
    </row>
    <row r="2562" spans="1:16" x14ac:dyDescent="0.25">
      <c r="A2562" s="14"/>
      <c r="B2562"/>
      <c r="C2562" s="15"/>
      <c r="D2562"/>
      <c r="E2562"/>
      <c r="F2562" s="16"/>
      <c r="G2562"/>
      <c r="H2562"/>
      <c r="I2562" s="16"/>
      <c r="J2562"/>
      <c r="K2562"/>
      <c r="L2562"/>
      <c r="M2562" s="17"/>
      <c r="N2562"/>
      <c r="O2562"/>
      <c r="P2562" s="34"/>
    </row>
    <row r="2563" spans="1:16" x14ac:dyDescent="0.25">
      <c r="A2563" s="14"/>
      <c r="B2563"/>
      <c r="C2563" s="15"/>
      <c r="D2563"/>
      <c r="E2563"/>
      <c r="F2563" s="16"/>
      <c r="G2563"/>
      <c r="H2563"/>
      <c r="I2563" s="16"/>
      <c r="J2563"/>
      <c r="K2563"/>
      <c r="L2563"/>
      <c r="M2563" s="17"/>
      <c r="N2563"/>
      <c r="O2563"/>
      <c r="P2563" s="34"/>
    </row>
    <row r="2564" spans="1:16" x14ac:dyDescent="0.25">
      <c r="A2564" s="14"/>
      <c r="B2564"/>
      <c r="C2564" s="15"/>
      <c r="D2564"/>
      <c r="E2564"/>
      <c r="F2564" s="16"/>
      <c r="G2564"/>
      <c r="H2564"/>
      <c r="I2564" s="16"/>
      <c r="J2564"/>
      <c r="K2564"/>
      <c r="L2564"/>
      <c r="M2564" s="17"/>
      <c r="N2564"/>
      <c r="O2564"/>
      <c r="P2564" s="34"/>
    </row>
    <row r="2565" spans="1:16" x14ac:dyDescent="0.25">
      <c r="A2565" s="14"/>
      <c r="B2565"/>
      <c r="C2565" s="15"/>
      <c r="D2565"/>
      <c r="E2565"/>
      <c r="F2565" s="16"/>
      <c r="G2565"/>
      <c r="H2565"/>
      <c r="I2565" s="16"/>
      <c r="J2565"/>
      <c r="K2565"/>
      <c r="L2565"/>
      <c r="M2565" s="17"/>
      <c r="N2565"/>
      <c r="O2565"/>
      <c r="P2565" s="34"/>
    </row>
    <row r="2566" spans="1:16" x14ac:dyDescent="0.25">
      <c r="A2566" s="14"/>
      <c r="B2566"/>
      <c r="C2566" s="15"/>
      <c r="D2566"/>
      <c r="E2566"/>
      <c r="F2566" s="16"/>
      <c r="G2566"/>
      <c r="H2566"/>
      <c r="I2566" s="16"/>
      <c r="J2566"/>
      <c r="K2566"/>
      <c r="L2566"/>
      <c r="M2566" s="17"/>
      <c r="N2566"/>
      <c r="O2566"/>
      <c r="P2566" s="34"/>
    </row>
    <row r="2567" spans="1:16" x14ac:dyDescent="0.25">
      <c r="A2567" s="14"/>
      <c r="B2567"/>
      <c r="C2567" s="15"/>
      <c r="D2567"/>
      <c r="E2567"/>
      <c r="F2567" s="16"/>
      <c r="G2567"/>
      <c r="H2567"/>
      <c r="I2567" s="16"/>
      <c r="J2567"/>
      <c r="K2567"/>
      <c r="L2567"/>
      <c r="M2567" s="17"/>
      <c r="N2567"/>
      <c r="O2567"/>
      <c r="P2567" s="34"/>
    </row>
    <row r="2568" spans="1:16" x14ac:dyDescent="0.25">
      <c r="A2568" s="14"/>
      <c r="B2568"/>
      <c r="C2568" s="15"/>
      <c r="D2568"/>
      <c r="E2568"/>
      <c r="F2568" s="16"/>
      <c r="G2568"/>
      <c r="H2568"/>
      <c r="I2568" s="16"/>
      <c r="J2568"/>
      <c r="K2568"/>
      <c r="L2568"/>
      <c r="M2568" s="17"/>
      <c r="N2568"/>
      <c r="O2568"/>
      <c r="P2568" s="34"/>
    </row>
    <row r="2569" spans="1:16" x14ac:dyDescent="0.25">
      <c r="A2569" s="14"/>
      <c r="B2569"/>
      <c r="C2569" s="15"/>
      <c r="D2569"/>
      <c r="E2569"/>
      <c r="F2569" s="16"/>
      <c r="G2569"/>
      <c r="H2569"/>
      <c r="I2569" s="16"/>
      <c r="J2569"/>
      <c r="K2569"/>
      <c r="L2569"/>
      <c r="M2569" s="17"/>
      <c r="N2569"/>
      <c r="O2569"/>
      <c r="P2569" s="34"/>
    </row>
    <row r="2570" spans="1:16" x14ac:dyDescent="0.25">
      <c r="A2570" s="14"/>
      <c r="B2570"/>
      <c r="C2570" s="15"/>
      <c r="D2570"/>
      <c r="E2570"/>
      <c r="F2570" s="16"/>
      <c r="G2570"/>
      <c r="H2570"/>
      <c r="I2570" s="16"/>
      <c r="J2570"/>
      <c r="K2570"/>
      <c r="L2570"/>
      <c r="M2570" s="17"/>
      <c r="N2570"/>
      <c r="O2570"/>
      <c r="P2570" s="34"/>
    </row>
    <row r="2571" spans="1:16" x14ac:dyDescent="0.25">
      <c r="A2571" s="14"/>
      <c r="B2571"/>
      <c r="C2571" s="15"/>
      <c r="D2571"/>
      <c r="E2571"/>
      <c r="F2571" s="16"/>
      <c r="G2571"/>
      <c r="H2571"/>
      <c r="I2571" s="16"/>
      <c r="J2571"/>
      <c r="K2571"/>
      <c r="L2571"/>
      <c r="M2571" s="17"/>
      <c r="N2571"/>
      <c r="O2571"/>
      <c r="P2571" s="34"/>
    </row>
    <row r="2572" spans="1:16" x14ac:dyDescent="0.25">
      <c r="A2572" s="14"/>
      <c r="B2572"/>
      <c r="C2572" s="15"/>
      <c r="D2572"/>
      <c r="E2572"/>
      <c r="F2572" s="16"/>
      <c r="G2572"/>
      <c r="H2572"/>
      <c r="I2572" s="16"/>
      <c r="J2572"/>
      <c r="K2572"/>
      <c r="L2572"/>
      <c r="M2572" s="17"/>
      <c r="N2572"/>
      <c r="O2572"/>
      <c r="P2572" s="34"/>
    </row>
    <row r="2573" spans="1:16" x14ac:dyDescent="0.25">
      <c r="A2573" s="14"/>
      <c r="B2573"/>
      <c r="C2573" s="15"/>
      <c r="D2573"/>
      <c r="E2573"/>
      <c r="F2573" s="16"/>
      <c r="G2573"/>
      <c r="H2573"/>
      <c r="I2573" s="16"/>
      <c r="J2573"/>
      <c r="K2573"/>
      <c r="L2573"/>
      <c r="M2573" s="17"/>
      <c r="N2573"/>
      <c r="O2573"/>
      <c r="P2573" s="34"/>
    </row>
    <row r="2574" spans="1:16" x14ac:dyDescent="0.25">
      <c r="A2574" s="14"/>
      <c r="B2574"/>
      <c r="C2574" s="15"/>
      <c r="D2574"/>
      <c r="E2574"/>
      <c r="F2574" s="16"/>
      <c r="G2574"/>
      <c r="H2574"/>
      <c r="I2574" s="16"/>
      <c r="J2574"/>
      <c r="K2574"/>
      <c r="L2574"/>
      <c r="M2574" s="17"/>
      <c r="N2574"/>
      <c r="O2574"/>
      <c r="P2574" s="34"/>
    </row>
    <row r="2575" spans="1:16" x14ac:dyDescent="0.25">
      <c r="A2575" s="14"/>
      <c r="B2575"/>
      <c r="C2575" s="15"/>
      <c r="D2575"/>
      <c r="E2575"/>
      <c r="F2575" s="16"/>
      <c r="G2575"/>
      <c r="H2575"/>
      <c r="I2575" s="16"/>
      <c r="J2575"/>
      <c r="K2575"/>
      <c r="L2575"/>
      <c r="M2575" s="17"/>
      <c r="N2575"/>
      <c r="O2575"/>
      <c r="P2575" s="34"/>
    </row>
    <row r="2576" spans="1:16" x14ac:dyDescent="0.25">
      <c r="A2576" s="14"/>
      <c r="B2576"/>
      <c r="C2576" s="15"/>
      <c r="D2576"/>
      <c r="E2576"/>
      <c r="F2576" s="16"/>
      <c r="G2576"/>
      <c r="H2576"/>
      <c r="I2576" s="16"/>
      <c r="J2576"/>
      <c r="K2576"/>
      <c r="L2576"/>
      <c r="M2576" s="17"/>
      <c r="N2576"/>
      <c r="O2576"/>
      <c r="P2576" s="34"/>
    </row>
    <row r="2577" spans="1:16" x14ac:dyDescent="0.25">
      <c r="A2577" s="14"/>
      <c r="B2577"/>
      <c r="C2577" s="15"/>
      <c r="D2577"/>
      <c r="E2577"/>
      <c r="F2577" s="16"/>
      <c r="G2577"/>
      <c r="H2577"/>
      <c r="I2577" s="16"/>
      <c r="J2577"/>
      <c r="K2577"/>
      <c r="L2577"/>
      <c r="M2577" s="17"/>
      <c r="N2577"/>
      <c r="O2577"/>
      <c r="P2577" s="34"/>
    </row>
    <row r="2578" spans="1:16" x14ac:dyDescent="0.25">
      <c r="A2578" s="14"/>
      <c r="B2578"/>
      <c r="C2578" s="15"/>
      <c r="D2578"/>
      <c r="E2578"/>
      <c r="F2578" s="16"/>
      <c r="G2578"/>
      <c r="H2578"/>
      <c r="I2578" s="16"/>
      <c r="J2578"/>
      <c r="K2578"/>
      <c r="L2578"/>
      <c r="M2578" s="17"/>
      <c r="N2578"/>
      <c r="O2578"/>
      <c r="P2578" s="34"/>
    </row>
    <row r="2579" spans="1:16" x14ac:dyDescent="0.25">
      <c r="A2579" s="14"/>
      <c r="B2579"/>
      <c r="C2579" s="15"/>
      <c r="D2579"/>
      <c r="E2579"/>
      <c r="F2579" s="16"/>
      <c r="G2579"/>
      <c r="H2579"/>
      <c r="I2579" s="16"/>
      <c r="J2579"/>
      <c r="K2579"/>
      <c r="L2579"/>
      <c r="M2579" s="17"/>
      <c r="N2579"/>
      <c r="O2579"/>
      <c r="P2579" s="34"/>
    </row>
    <row r="2580" spans="1:16" x14ac:dyDescent="0.25">
      <c r="A2580" s="14"/>
      <c r="B2580"/>
      <c r="C2580" s="15"/>
      <c r="D2580"/>
      <c r="E2580"/>
      <c r="F2580" s="16"/>
      <c r="G2580"/>
      <c r="H2580"/>
      <c r="I2580" s="16"/>
      <c r="J2580"/>
      <c r="K2580"/>
      <c r="L2580"/>
      <c r="M2580" s="17"/>
      <c r="N2580"/>
      <c r="O2580"/>
      <c r="P2580" s="34"/>
    </row>
    <row r="2581" spans="1:16" x14ac:dyDescent="0.25">
      <c r="A2581" s="14"/>
      <c r="B2581"/>
      <c r="C2581" s="15"/>
      <c r="D2581"/>
      <c r="E2581"/>
      <c r="F2581" s="16"/>
      <c r="G2581"/>
      <c r="H2581"/>
      <c r="I2581" s="16"/>
      <c r="J2581"/>
      <c r="K2581"/>
      <c r="L2581"/>
      <c r="M2581" s="17"/>
      <c r="N2581"/>
      <c r="O2581"/>
      <c r="P2581" s="34"/>
    </row>
    <row r="2582" spans="1:16" x14ac:dyDescent="0.25">
      <c r="A2582" s="14"/>
      <c r="B2582"/>
      <c r="C2582" s="15"/>
      <c r="D2582"/>
      <c r="E2582"/>
      <c r="F2582" s="16"/>
      <c r="G2582"/>
      <c r="H2582"/>
      <c r="I2582" s="16"/>
      <c r="J2582"/>
      <c r="K2582"/>
      <c r="L2582"/>
      <c r="M2582" s="17"/>
      <c r="N2582"/>
      <c r="O2582"/>
      <c r="P2582" s="34"/>
    </row>
    <row r="2583" spans="1:16" x14ac:dyDescent="0.25">
      <c r="A2583" s="14"/>
      <c r="B2583"/>
      <c r="C2583" s="15"/>
      <c r="D2583"/>
      <c r="E2583"/>
      <c r="F2583" s="16"/>
      <c r="G2583"/>
      <c r="H2583"/>
      <c r="I2583" s="16"/>
      <c r="J2583"/>
      <c r="K2583"/>
      <c r="L2583"/>
      <c r="M2583" s="17"/>
      <c r="N2583"/>
      <c r="O2583"/>
      <c r="P2583" s="34"/>
    </row>
    <row r="2584" spans="1:16" x14ac:dyDescent="0.25">
      <c r="A2584" s="14"/>
      <c r="B2584"/>
      <c r="C2584" s="15"/>
      <c r="D2584"/>
      <c r="E2584"/>
      <c r="F2584" s="16"/>
      <c r="G2584"/>
      <c r="H2584"/>
      <c r="I2584" s="16"/>
      <c r="J2584"/>
      <c r="K2584"/>
      <c r="L2584"/>
      <c r="M2584" s="17"/>
      <c r="N2584"/>
      <c r="O2584"/>
      <c r="P2584" s="34"/>
    </row>
    <row r="2585" spans="1:16" x14ac:dyDescent="0.25">
      <c r="A2585" s="14"/>
      <c r="B2585"/>
      <c r="C2585" s="15"/>
      <c r="D2585"/>
      <c r="E2585"/>
      <c r="F2585" s="16"/>
      <c r="G2585"/>
      <c r="H2585"/>
      <c r="I2585" s="16"/>
      <c r="J2585"/>
      <c r="K2585"/>
      <c r="L2585"/>
      <c r="M2585" s="17"/>
      <c r="N2585"/>
      <c r="O2585"/>
      <c r="P2585" s="34"/>
    </row>
    <row r="2586" spans="1:16" x14ac:dyDescent="0.25">
      <c r="A2586" s="14"/>
      <c r="B2586"/>
      <c r="C2586" s="15"/>
      <c r="D2586"/>
      <c r="E2586"/>
      <c r="F2586" s="16"/>
      <c r="G2586"/>
      <c r="H2586"/>
      <c r="I2586" s="16"/>
      <c r="J2586"/>
      <c r="K2586"/>
      <c r="L2586"/>
      <c r="M2586" s="17"/>
      <c r="N2586"/>
      <c r="O2586"/>
      <c r="P2586" s="34"/>
    </row>
    <row r="2587" spans="1:16" x14ac:dyDescent="0.25">
      <c r="A2587" s="14"/>
      <c r="B2587"/>
      <c r="C2587" s="15"/>
      <c r="D2587"/>
      <c r="E2587"/>
      <c r="F2587" s="16"/>
      <c r="G2587"/>
      <c r="H2587"/>
      <c r="I2587" s="16"/>
      <c r="J2587"/>
      <c r="K2587"/>
      <c r="L2587"/>
      <c r="M2587" s="17"/>
      <c r="N2587"/>
      <c r="O2587"/>
      <c r="P2587" s="34"/>
    </row>
    <row r="2588" spans="1:16" x14ac:dyDescent="0.25">
      <c r="A2588" s="14"/>
      <c r="B2588"/>
      <c r="C2588" s="15"/>
      <c r="D2588"/>
      <c r="E2588"/>
      <c r="F2588" s="16"/>
      <c r="G2588"/>
      <c r="H2588"/>
      <c r="I2588" s="16"/>
      <c r="J2588"/>
      <c r="K2588"/>
      <c r="L2588"/>
      <c r="M2588" s="17"/>
      <c r="N2588"/>
      <c r="O2588"/>
      <c r="P2588" s="34"/>
    </row>
    <row r="2589" spans="1:16" x14ac:dyDescent="0.25">
      <c r="A2589" s="14"/>
      <c r="B2589"/>
      <c r="C2589" s="15"/>
      <c r="D2589"/>
      <c r="E2589"/>
      <c r="F2589" s="16"/>
      <c r="G2589"/>
      <c r="H2589"/>
      <c r="I2589" s="16"/>
      <c r="J2589"/>
      <c r="K2589"/>
      <c r="L2589"/>
      <c r="M2589" s="17"/>
      <c r="N2589"/>
      <c r="O2589"/>
      <c r="P2589" s="34"/>
    </row>
    <row r="2590" spans="1:16" x14ac:dyDescent="0.25">
      <c r="A2590" s="14"/>
      <c r="B2590"/>
      <c r="C2590" s="15"/>
      <c r="D2590"/>
      <c r="E2590"/>
      <c r="F2590" s="16"/>
      <c r="G2590"/>
      <c r="H2590"/>
      <c r="I2590" s="16"/>
      <c r="J2590"/>
      <c r="K2590"/>
      <c r="L2590"/>
      <c r="M2590" s="17"/>
      <c r="N2590"/>
      <c r="O2590"/>
      <c r="P2590" s="34"/>
    </row>
    <row r="2591" spans="1:16" x14ac:dyDescent="0.25">
      <c r="A2591" s="14"/>
      <c r="B2591"/>
      <c r="C2591" s="15"/>
      <c r="D2591"/>
      <c r="E2591"/>
      <c r="F2591" s="16"/>
      <c r="G2591"/>
      <c r="H2591"/>
      <c r="I2591" s="16"/>
      <c r="J2591"/>
      <c r="K2591"/>
      <c r="L2591"/>
      <c r="M2591" s="17"/>
      <c r="N2591"/>
      <c r="O2591"/>
      <c r="P2591" s="34"/>
    </row>
    <row r="2592" spans="1:16" x14ac:dyDescent="0.25">
      <c r="A2592" s="14"/>
      <c r="B2592"/>
      <c r="C2592" s="15"/>
      <c r="D2592"/>
      <c r="E2592"/>
      <c r="F2592" s="16"/>
      <c r="G2592"/>
      <c r="H2592"/>
      <c r="I2592" s="16"/>
      <c r="J2592"/>
      <c r="K2592"/>
      <c r="L2592"/>
      <c r="M2592" s="17"/>
      <c r="N2592"/>
      <c r="O2592"/>
      <c r="P2592" s="34"/>
    </row>
    <row r="2593" spans="1:16" x14ac:dyDescent="0.25">
      <c r="A2593" s="14"/>
      <c r="B2593"/>
      <c r="C2593" s="15"/>
      <c r="D2593"/>
      <c r="E2593"/>
      <c r="F2593" s="16"/>
      <c r="G2593"/>
      <c r="H2593"/>
      <c r="I2593" s="16"/>
      <c r="J2593"/>
      <c r="K2593"/>
      <c r="L2593"/>
      <c r="M2593" s="17"/>
      <c r="N2593"/>
      <c r="O2593"/>
      <c r="P2593" s="34"/>
    </row>
    <row r="2594" spans="1:16" x14ac:dyDescent="0.25">
      <c r="A2594" s="14"/>
      <c r="B2594"/>
      <c r="C2594" s="15"/>
      <c r="D2594"/>
      <c r="E2594"/>
      <c r="F2594" s="16"/>
      <c r="G2594"/>
      <c r="H2594"/>
      <c r="I2594" s="16"/>
      <c r="J2594"/>
      <c r="K2594"/>
      <c r="L2594"/>
      <c r="M2594" s="17"/>
      <c r="N2594"/>
      <c r="O2594"/>
      <c r="P2594" s="34"/>
    </row>
    <row r="2595" spans="1:16" x14ac:dyDescent="0.25">
      <c r="A2595" s="14"/>
      <c r="B2595"/>
      <c r="C2595" s="15"/>
      <c r="D2595"/>
      <c r="E2595"/>
      <c r="F2595" s="16"/>
      <c r="G2595"/>
      <c r="H2595"/>
      <c r="I2595" s="16"/>
      <c r="J2595"/>
      <c r="K2595"/>
      <c r="L2595"/>
      <c r="M2595" s="17"/>
      <c r="N2595"/>
      <c r="O2595"/>
      <c r="P2595" s="34"/>
    </row>
    <row r="2596" spans="1:16" x14ac:dyDescent="0.25">
      <c r="A2596" s="14"/>
      <c r="B2596"/>
      <c r="C2596" s="15"/>
      <c r="D2596"/>
      <c r="E2596"/>
      <c r="F2596" s="16"/>
      <c r="G2596"/>
      <c r="H2596"/>
      <c r="I2596" s="16"/>
      <c r="J2596"/>
      <c r="K2596"/>
      <c r="L2596"/>
      <c r="M2596" s="17"/>
      <c r="N2596"/>
      <c r="O2596"/>
      <c r="P2596" s="34"/>
    </row>
    <row r="2597" spans="1:16" x14ac:dyDescent="0.25">
      <c r="A2597" s="14"/>
      <c r="B2597"/>
      <c r="C2597" s="15"/>
      <c r="D2597"/>
      <c r="E2597"/>
      <c r="F2597" s="16"/>
      <c r="G2597"/>
      <c r="H2597"/>
      <c r="I2597" s="16"/>
      <c r="J2597"/>
      <c r="K2597"/>
      <c r="L2597"/>
      <c r="M2597" s="17"/>
      <c r="N2597"/>
      <c r="O2597"/>
      <c r="P2597" s="34"/>
    </row>
    <row r="2598" spans="1:16" x14ac:dyDescent="0.25">
      <c r="A2598" s="14"/>
      <c r="B2598"/>
      <c r="C2598" s="15"/>
      <c r="D2598"/>
      <c r="E2598"/>
      <c r="F2598" s="16"/>
      <c r="G2598"/>
      <c r="H2598"/>
      <c r="I2598" s="16"/>
      <c r="J2598"/>
      <c r="K2598"/>
      <c r="L2598"/>
      <c r="M2598" s="17"/>
      <c r="N2598"/>
      <c r="O2598"/>
      <c r="P2598" s="34"/>
    </row>
    <row r="2599" spans="1:16" x14ac:dyDescent="0.25">
      <c r="A2599" s="14"/>
      <c r="B2599"/>
      <c r="C2599" s="15"/>
      <c r="D2599"/>
      <c r="E2599"/>
      <c r="F2599" s="16"/>
      <c r="G2599"/>
      <c r="H2599"/>
      <c r="I2599" s="16"/>
      <c r="J2599"/>
      <c r="K2599"/>
      <c r="L2599"/>
      <c r="M2599" s="17"/>
      <c r="N2599"/>
      <c r="O2599"/>
      <c r="P2599" s="34"/>
    </row>
    <row r="2600" spans="1:16" x14ac:dyDescent="0.25">
      <c r="A2600" s="14"/>
      <c r="B2600"/>
      <c r="C2600" s="15"/>
      <c r="D2600"/>
      <c r="E2600"/>
      <c r="F2600" s="16"/>
      <c r="G2600"/>
      <c r="H2600"/>
      <c r="I2600" s="16"/>
      <c r="J2600"/>
      <c r="K2600"/>
      <c r="L2600"/>
      <c r="M2600" s="17"/>
      <c r="N2600"/>
      <c r="O2600"/>
      <c r="P2600" s="34"/>
    </row>
    <row r="2601" spans="1:16" x14ac:dyDescent="0.25">
      <c r="A2601" s="14"/>
      <c r="B2601"/>
      <c r="C2601" s="15"/>
      <c r="D2601"/>
      <c r="E2601"/>
      <c r="F2601" s="16"/>
      <c r="G2601"/>
      <c r="H2601"/>
      <c r="I2601" s="16"/>
      <c r="J2601"/>
      <c r="K2601"/>
      <c r="L2601"/>
      <c r="M2601" s="17"/>
      <c r="N2601"/>
      <c r="O2601"/>
      <c r="P2601" s="34"/>
    </row>
    <row r="2602" spans="1:16" x14ac:dyDescent="0.25">
      <c r="A2602" s="14"/>
      <c r="B2602"/>
      <c r="C2602" s="15"/>
      <c r="D2602"/>
      <c r="E2602"/>
      <c r="F2602" s="16"/>
      <c r="G2602"/>
      <c r="H2602"/>
      <c r="I2602" s="16"/>
      <c r="J2602"/>
      <c r="K2602"/>
      <c r="L2602"/>
      <c r="M2602" s="17"/>
      <c r="N2602"/>
      <c r="O2602"/>
      <c r="P2602" s="34"/>
    </row>
    <row r="2603" spans="1:16" x14ac:dyDescent="0.25">
      <c r="A2603" s="14"/>
      <c r="B2603"/>
      <c r="C2603" s="15"/>
      <c r="D2603"/>
      <c r="E2603"/>
      <c r="F2603" s="16"/>
      <c r="G2603"/>
      <c r="H2603"/>
      <c r="I2603" s="16"/>
      <c r="J2603"/>
      <c r="K2603"/>
      <c r="L2603"/>
      <c r="M2603" s="17"/>
      <c r="N2603"/>
      <c r="O2603"/>
      <c r="P2603" s="34"/>
    </row>
    <row r="2604" spans="1:16" x14ac:dyDescent="0.25">
      <c r="A2604" s="14"/>
      <c r="B2604"/>
      <c r="C2604" s="15"/>
      <c r="D2604"/>
      <c r="E2604"/>
      <c r="F2604" s="16"/>
      <c r="G2604"/>
      <c r="H2604"/>
      <c r="I2604" s="16"/>
      <c r="J2604"/>
      <c r="K2604"/>
      <c r="L2604"/>
      <c r="M2604" s="17"/>
      <c r="N2604"/>
      <c r="O2604"/>
      <c r="P2604" s="34"/>
    </row>
    <row r="2605" spans="1:16" x14ac:dyDescent="0.25">
      <c r="A2605" s="14"/>
      <c r="B2605"/>
      <c r="C2605" s="15"/>
      <c r="D2605"/>
      <c r="E2605"/>
      <c r="F2605" s="16"/>
      <c r="G2605"/>
      <c r="H2605"/>
      <c r="I2605" s="16"/>
      <c r="J2605"/>
      <c r="K2605"/>
      <c r="L2605"/>
      <c r="M2605" s="17"/>
      <c r="N2605"/>
      <c r="O2605"/>
      <c r="P2605" s="34"/>
    </row>
    <row r="2606" spans="1:16" x14ac:dyDescent="0.25">
      <c r="A2606" s="14"/>
      <c r="B2606"/>
      <c r="C2606" s="15"/>
      <c r="D2606"/>
      <c r="E2606"/>
      <c r="F2606" s="16"/>
      <c r="G2606"/>
      <c r="H2606"/>
      <c r="I2606" s="16"/>
      <c r="J2606"/>
      <c r="K2606"/>
      <c r="L2606"/>
      <c r="M2606" s="17"/>
      <c r="N2606"/>
      <c r="O2606"/>
      <c r="P2606" s="34"/>
    </row>
    <row r="2607" spans="1:16" x14ac:dyDescent="0.25">
      <c r="A2607" s="14"/>
      <c r="B2607"/>
      <c r="C2607" s="15"/>
      <c r="D2607"/>
      <c r="E2607"/>
      <c r="F2607" s="16"/>
      <c r="G2607"/>
      <c r="H2607"/>
      <c r="I2607" s="16"/>
      <c r="J2607"/>
      <c r="K2607"/>
      <c r="L2607"/>
      <c r="M2607" s="17"/>
      <c r="N2607"/>
      <c r="O2607"/>
      <c r="P2607" s="34"/>
    </row>
    <row r="2608" spans="1:16" x14ac:dyDescent="0.25">
      <c r="A2608" s="14"/>
      <c r="B2608"/>
      <c r="C2608" s="15"/>
      <c r="D2608"/>
      <c r="E2608"/>
      <c r="F2608" s="16"/>
      <c r="G2608"/>
      <c r="H2608"/>
      <c r="I2608" s="16"/>
      <c r="J2608"/>
      <c r="K2608"/>
      <c r="L2608"/>
      <c r="M2608" s="17"/>
      <c r="N2608"/>
      <c r="O2608"/>
      <c r="P2608" s="34"/>
    </row>
    <row r="2609" spans="1:16" x14ac:dyDescent="0.25">
      <c r="A2609" s="14"/>
      <c r="B2609"/>
      <c r="C2609" s="15"/>
      <c r="D2609"/>
      <c r="E2609"/>
      <c r="F2609" s="16"/>
      <c r="G2609"/>
      <c r="H2609"/>
      <c r="I2609" s="16"/>
      <c r="J2609"/>
      <c r="K2609"/>
      <c r="L2609"/>
      <c r="M2609" s="17"/>
      <c r="N2609"/>
      <c r="O2609"/>
      <c r="P2609" s="34"/>
    </row>
    <row r="2610" spans="1:16" x14ac:dyDescent="0.25">
      <c r="A2610" s="14"/>
      <c r="B2610"/>
      <c r="C2610" s="15"/>
      <c r="D2610"/>
      <c r="E2610"/>
      <c r="F2610" s="16"/>
      <c r="G2610"/>
      <c r="H2610"/>
      <c r="I2610" s="16"/>
      <c r="J2610"/>
      <c r="K2610"/>
      <c r="L2610"/>
      <c r="M2610" s="17"/>
      <c r="N2610"/>
      <c r="O2610"/>
      <c r="P2610" s="34"/>
    </row>
    <row r="2611" spans="1:16" x14ac:dyDescent="0.25">
      <c r="A2611" s="14"/>
      <c r="B2611"/>
      <c r="C2611" s="15"/>
      <c r="D2611"/>
      <c r="E2611"/>
      <c r="F2611" s="16"/>
      <c r="G2611"/>
      <c r="H2611"/>
      <c r="I2611" s="16"/>
      <c r="J2611"/>
      <c r="K2611"/>
      <c r="L2611"/>
      <c r="M2611" s="17"/>
      <c r="N2611"/>
      <c r="O2611"/>
      <c r="P2611" s="34"/>
    </row>
    <row r="2612" spans="1:16" x14ac:dyDescent="0.25">
      <c r="A2612" s="14"/>
      <c r="B2612"/>
      <c r="C2612" s="15"/>
      <c r="D2612"/>
      <c r="E2612"/>
      <c r="F2612" s="16"/>
      <c r="G2612"/>
      <c r="H2612"/>
      <c r="I2612" s="16"/>
      <c r="J2612"/>
      <c r="K2612"/>
      <c r="L2612"/>
      <c r="M2612" s="17"/>
      <c r="N2612"/>
      <c r="O2612"/>
      <c r="P2612" s="34"/>
    </row>
    <row r="2613" spans="1:16" x14ac:dyDescent="0.25">
      <c r="A2613" s="14"/>
      <c r="B2613"/>
      <c r="C2613" s="15"/>
      <c r="D2613"/>
      <c r="E2613"/>
      <c r="F2613" s="16"/>
      <c r="G2613"/>
      <c r="H2613"/>
      <c r="I2613" s="16"/>
      <c r="J2613"/>
      <c r="K2613"/>
      <c r="L2613"/>
      <c r="M2613" s="17"/>
      <c r="N2613"/>
      <c r="O2613"/>
      <c r="P2613" s="34"/>
    </row>
    <row r="2614" spans="1:16" x14ac:dyDescent="0.25">
      <c r="A2614" s="14"/>
      <c r="B2614"/>
      <c r="C2614" s="15"/>
      <c r="D2614"/>
      <c r="E2614"/>
      <c r="F2614" s="16"/>
      <c r="G2614"/>
      <c r="H2614"/>
      <c r="I2614" s="16"/>
      <c r="J2614"/>
      <c r="K2614"/>
      <c r="L2614"/>
      <c r="M2614" s="17"/>
      <c r="N2614"/>
      <c r="O2614"/>
      <c r="P2614" s="34"/>
    </row>
    <row r="2615" spans="1:16" x14ac:dyDescent="0.25">
      <c r="A2615" s="14"/>
      <c r="B2615"/>
      <c r="C2615" s="15"/>
      <c r="D2615"/>
      <c r="E2615"/>
      <c r="F2615" s="16"/>
      <c r="G2615"/>
      <c r="H2615"/>
      <c r="I2615" s="16"/>
      <c r="J2615"/>
      <c r="K2615"/>
      <c r="L2615"/>
      <c r="M2615" s="17"/>
      <c r="N2615"/>
      <c r="O2615"/>
      <c r="P2615" s="34"/>
    </row>
    <row r="2616" spans="1:16" x14ac:dyDescent="0.25">
      <c r="A2616" s="14"/>
      <c r="B2616"/>
      <c r="C2616" s="15"/>
      <c r="D2616"/>
      <c r="E2616"/>
      <c r="F2616" s="16"/>
      <c r="G2616"/>
      <c r="H2616"/>
      <c r="I2616" s="16"/>
      <c r="J2616"/>
      <c r="K2616"/>
      <c r="L2616"/>
      <c r="M2616" s="17"/>
      <c r="N2616"/>
      <c r="O2616"/>
      <c r="P2616" s="34"/>
    </row>
    <row r="2617" spans="1:16" x14ac:dyDescent="0.25">
      <c r="A2617" s="14"/>
      <c r="B2617"/>
      <c r="C2617" s="15"/>
      <c r="D2617"/>
      <c r="E2617"/>
      <c r="F2617" s="16"/>
      <c r="G2617"/>
      <c r="H2617"/>
      <c r="I2617" s="16"/>
      <c r="J2617"/>
      <c r="K2617"/>
      <c r="L2617"/>
      <c r="M2617" s="17"/>
      <c r="N2617"/>
      <c r="O2617"/>
      <c r="P2617" s="34"/>
    </row>
    <row r="2618" spans="1:16" x14ac:dyDescent="0.25">
      <c r="A2618" s="14"/>
      <c r="B2618"/>
      <c r="C2618" s="15"/>
      <c r="D2618"/>
      <c r="E2618"/>
      <c r="F2618" s="16"/>
      <c r="G2618"/>
      <c r="H2618"/>
      <c r="I2618" s="16"/>
      <c r="J2618"/>
      <c r="K2618"/>
      <c r="L2618"/>
      <c r="M2618" s="17"/>
      <c r="N2618"/>
      <c r="O2618"/>
      <c r="P2618" s="34"/>
    </row>
    <row r="2619" spans="1:16" x14ac:dyDescent="0.25">
      <c r="A2619" s="14"/>
      <c r="B2619"/>
      <c r="C2619" s="15"/>
      <c r="D2619"/>
      <c r="E2619"/>
      <c r="F2619" s="16"/>
      <c r="G2619"/>
      <c r="H2619"/>
      <c r="I2619" s="16"/>
      <c r="J2619"/>
      <c r="K2619"/>
      <c r="L2619"/>
      <c r="M2619" s="17"/>
      <c r="N2619"/>
      <c r="O2619"/>
      <c r="P2619" s="34"/>
    </row>
    <row r="2620" spans="1:16" x14ac:dyDescent="0.25">
      <c r="A2620" s="14"/>
      <c r="B2620"/>
      <c r="C2620" s="15"/>
      <c r="D2620"/>
      <c r="E2620"/>
      <c r="F2620" s="16"/>
      <c r="G2620"/>
      <c r="H2620"/>
      <c r="I2620" s="16"/>
      <c r="J2620"/>
      <c r="K2620"/>
      <c r="L2620"/>
      <c r="M2620" s="17"/>
      <c r="N2620"/>
      <c r="O2620"/>
      <c r="P2620" s="34"/>
    </row>
    <row r="2621" spans="1:16" x14ac:dyDescent="0.25">
      <c r="A2621" s="14"/>
      <c r="B2621"/>
      <c r="C2621" s="15"/>
      <c r="D2621"/>
      <c r="E2621"/>
      <c r="F2621" s="16"/>
      <c r="G2621"/>
      <c r="H2621"/>
      <c r="I2621" s="16"/>
      <c r="J2621"/>
      <c r="K2621"/>
      <c r="L2621"/>
      <c r="M2621" s="17"/>
      <c r="N2621"/>
      <c r="O2621"/>
      <c r="P2621" s="34"/>
    </row>
    <row r="2622" spans="1:16" x14ac:dyDescent="0.25">
      <c r="A2622" s="14"/>
      <c r="B2622"/>
      <c r="C2622" s="15"/>
      <c r="D2622"/>
      <c r="E2622"/>
      <c r="F2622" s="16"/>
      <c r="G2622"/>
      <c r="H2622"/>
      <c r="I2622" s="16"/>
      <c r="J2622"/>
      <c r="K2622"/>
      <c r="L2622"/>
      <c r="M2622" s="17"/>
      <c r="N2622"/>
      <c r="O2622"/>
      <c r="P2622" s="34"/>
    </row>
    <row r="2623" spans="1:16" x14ac:dyDescent="0.25">
      <c r="A2623" s="14"/>
      <c r="B2623"/>
      <c r="C2623" s="15"/>
      <c r="D2623"/>
      <c r="E2623"/>
      <c r="F2623" s="16"/>
      <c r="G2623"/>
      <c r="H2623"/>
      <c r="I2623" s="16"/>
      <c r="J2623"/>
      <c r="K2623"/>
      <c r="L2623"/>
      <c r="M2623" s="17"/>
      <c r="N2623"/>
      <c r="O2623"/>
      <c r="P2623" s="34"/>
    </row>
    <row r="2624" spans="1:16" x14ac:dyDescent="0.25">
      <c r="A2624" s="14"/>
      <c r="B2624"/>
      <c r="C2624" s="15"/>
      <c r="D2624"/>
      <c r="E2624"/>
      <c r="F2624" s="16"/>
      <c r="G2624"/>
      <c r="H2624"/>
      <c r="I2624" s="16"/>
      <c r="J2624"/>
      <c r="K2624"/>
      <c r="L2624"/>
      <c r="M2624" s="17"/>
      <c r="N2624"/>
      <c r="O2624"/>
      <c r="P2624" s="34"/>
    </row>
    <row r="2625" spans="1:16" x14ac:dyDescent="0.25">
      <c r="A2625" s="14"/>
      <c r="B2625"/>
      <c r="C2625" s="15"/>
      <c r="D2625"/>
      <c r="E2625"/>
      <c r="F2625" s="16"/>
      <c r="G2625"/>
      <c r="H2625"/>
      <c r="I2625" s="16"/>
      <c r="J2625"/>
      <c r="K2625"/>
      <c r="L2625"/>
      <c r="M2625" s="17"/>
      <c r="N2625"/>
      <c r="O2625"/>
      <c r="P2625" s="34"/>
    </row>
    <row r="2626" spans="1:16" x14ac:dyDescent="0.25">
      <c r="A2626" s="14"/>
      <c r="B2626"/>
      <c r="C2626" s="15"/>
      <c r="D2626"/>
      <c r="E2626"/>
      <c r="F2626" s="16"/>
      <c r="G2626"/>
      <c r="H2626"/>
      <c r="I2626" s="16"/>
      <c r="J2626"/>
      <c r="K2626"/>
      <c r="L2626"/>
      <c r="M2626" s="17"/>
      <c r="N2626"/>
      <c r="O2626"/>
      <c r="P2626" s="34"/>
    </row>
    <row r="2627" spans="1:16" x14ac:dyDescent="0.25">
      <c r="A2627" s="14"/>
      <c r="B2627"/>
      <c r="C2627" s="15"/>
      <c r="D2627"/>
      <c r="E2627"/>
      <c r="F2627" s="16"/>
      <c r="G2627"/>
      <c r="H2627"/>
      <c r="I2627" s="16"/>
      <c r="J2627"/>
      <c r="K2627"/>
      <c r="L2627"/>
      <c r="M2627" s="17"/>
      <c r="N2627"/>
      <c r="O2627"/>
      <c r="P2627" s="34"/>
    </row>
    <row r="2628" spans="1:16" x14ac:dyDescent="0.25">
      <c r="A2628" s="14"/>
      <c r="B2628"/>
      <c r="C2628" s="15"/>
      <c r="D2628"/>
      <c r="E2628"/>
      <c r="F2628" s="16"/>
      <c r="G2628"/>
      <c r="H2628"/>
      <c r="I2628" s="16"/>
      <c r="J2628"/>
      <c r="K2628"/>
      <c r="L2628"/>
      <c r="M2628" s="17"/>
      <c r="N2628"/>
      <c r="O2628"/>
      <c r="P2628" s="34"/>
    </row>
    <row r="2629" spans="1:16" x14ac:dyDescent="0.25">
      <c r="A2629" s="14"/>
      <c r="B2629"/>
      <c r="C2629" s="15"/>
      <c r="D2629"/>
      <c r="E2629"/>
      <c r="F2629" s="16"/>
      <c r="G2629"/>
      <c r="H2629"/>
      <c r="I2629" s="16"/>
      <c r="J2629"/>
      <c r="K2629"/>
      <c r="L2629"/>
      <c r="M2629" s="17"/>
      <c r="N2629"/>
      <c r="O2629"/>
      <c r="P2629" s="34"/>
    </row>
    <row r="2630" spans="1:16" x14ac:dyDescent="0.25">
      <c r="A2630" s="14"/>
      <c r="B2630"/>
      <c r="C2630" s="15"/>
      <c r="D2630"/>
      <c r="E2630"/>
      <c r="F2630" s="16"/>
      <c r="G2630"/>
      <c r="H2630"/>
      <c r="I2630" s="16"/>
      <c r="J2630"/>
      <c r="K2630"/>
      <c r="L2630"/>
      <c r="M2630" s="17"/>
      <c r="N2630"/>
      <c r="O2630"/>
      <c r="P2630" s="34"/>
    </row>
    <row r="2631" spans="1:16" x14ac:dyDescent="0.25">
      <c r="A2631" s="14"/>
      <c r="B2631"/>
      <c r="C2631" s="15"/>
      <c r="D2631"/>
      <c r="E2631"/>
      <c r="F2631" s="16"/>
      <c r="G2631"/>
      <c r="H2631"/>
      <c r="I2631" s="16"/>
      <c r="J2631"/>
      <c r="K2631"/>
      <c r="L2631"/>
      <c r="M2631" s="17"/>
      <c r="N2631"/>
      <c r="O2631"/>
      <c r="P2631" s="34"/>
    </row>
    <row r="2632" spans="1:16" x14ac:dyDescent="0.25">
      <c r="A2632" s="14"/>
      <c r="B2632"/>
      <c r="C2632" s="15"/>
      <c r="D2632"/>
      <c r="E2632"/>
      <c r="F2632" s="16"/>
      <c r="G2632"/>
      <c r="H2632"/>
      <c r="I2632" s="16"/>
      <c r="J2632"/>
      <c r="K2632"/>
      <c r="L2632"/>
      <c r="M2632" s="17"/>
      <c r="N2632"/>
      <c r="O2632"/>
      <c r="P2632" s="34"/>
    </row>
    <row r="2633" spans="1:16" x14ac:dyDescent="0.25">
      <c r="A2633" s="14"/>
      <c r="B2633"/>
      <c r="C2633" s="15"/>
      <c r="D2633"/>
      <c r="E2633"/>
      <c r="F2633" s="16"/>
      <c r="G2633"/>
      <c r="H2633"/>
      <c r="I2633" s="16"/>
      <c r="J2633"/>
      <c r="K2633"/>
      <c r="L2633"/>
      <c r="M2633" s="17"/>
      <c r="N2633"/>
      <c r="O2633"/>
      <c r="P2633" s="34"/>
    </row>
    <row r="2634" spans="1:16" x14ac:dyDescent="0.25">
      <c r="A2634" s="14"/>
      <c r="B2634"/>
      <c r="C2634" s="15"/>
      <c r="D2634"/>
      <c r="E2634"/>
      <c r="F2634" s="16"/>
      <c r="G2634"/>
      <c r="H2634"/>
      <c r="I2634" s="16"/>
      <c r="J2634"/>
      <c r="K2634"/>
      <c r="L2634"/>
      <c r="M2634" s="17"/>
      <c r="N2634"/>
      <c r="O2634"/>
      <c r="P2634" s="34"/>
    </row>
    <row r="2635" spans="1:16" x14ac:dyDescent="0.25">
      <c r="A2635" s="14"/>
      <c r="B2635"/>
      <c r="C2635" s="15"/>
      <c r="D2635"/>
      <c r="E2635"/>
      <c r="F2635" s="16"/>
      <c r="G2635"/>
      <c r="H2635"/>
      <c r="I2635" s="16"/>
      <c r="J2635"/>
      <c r="K2635"/>
      <c r="L2635"/>
      <c r="M2635" s="17"/>
      <c r="N2635"/>
      <c r="O2635"/>
      <c r="P2635" s="34"/>
    </row>
    <row r="2636" spans="1:16" x14ac:dyDescent="0.25">
      <c r="A2636" s="14"/>
      <c r="B2636"/>
      <c r="C2636" s="15"/>
      <c r="D2636"/>
      <c r="E2636"/>
      <c r="F2636" s="16"/>
      <c r="G2636"/>
      <c r="H2636"/>
      <c r="I2636" s="16"/>
      <c r="J2636"/>
      <c r="K2636"/>
      <c r="L2636"/>
      <c r="M2636" s="17"/>
      <c r="N2636"/>
      <c r="O2636"/>
      <c r="P2636" s="34"/>
    </row>
    <row r="2637" spans="1:16" x14ac:dyDescent="0.25">
      <c r="A2637" s="14"/>
      <c r="B2637"/>
      <c r="C2637" s="15"/>
      <c r="D2637"/>
      <c r="E2637"/>
      <c r="F2637" s="16"/>
      <c r="G2637"/>
      <c r="H2637"/>
      <c r="I2637" s="16"/>
      <c r="J2637"/>
      <c r="K2637"/>
      <c r="L2637"/>
      <c r="M2637" s="17"/>
      <c r="N2637"/>
      <c r="O2637"/>
      <c r="P2637" s="34"/>
    </row>
    <row r="2638" spans="1:16" x14ac:dyDescent="0.25">
      <c r="A2638" s="14"/>
      <c r="B2638"/>
      <c r="C2638" s="15"/>
      <c r="D2638"/>
      <c r="E2638"/>
      <c r="F2638" s="16"/>
      <c r="G2638"/>
      <c r="H2638"/>
      <c r="I2638" s="16"/>
      <c r="J2638"/>
      <c r="K2638"/>
      <c r="L2638"/>
      <c r="M2638" s="17"/>
      <c r="N2638"/>
      <c r="O2638"/>
      <c r="P2638" s="34"/>
    </row>
    <row r="2639" spans="1:16" x14ac:dyDescent="0.25">
      <c r="A2639" s="14"/>
      <c r="B2639"/>
      <c r="C2639" s="15"/>
      <c r="D2639"/>
      <c r="E2639"/>
      <c r="F2639" s="16"/>
      <c r="G2639"/>
      <c r="H2639"/>
      <c r="I2639" s="16"/>
      <c r="J2639"/>
      <c r="K2639"/>
      <c r="L2639"/>
      <c r="M2639" s="17"/>
      <c r="N2639"/>
      <c r="O2639"/>
      <c r="P2639" s="34"/>
    </row>
    <row r="2640" spans="1:16" x14ac:dyDescent="0.25">
      <c r="A2640" s="14"/>
      <c r="B2640"/>
      <c r="C2640" s="15"/>
      <c r="D2640"/>
      <c r="E2640"/>
      <c r="F2640" s="16"/>
      <c r="G2640"/>
      <c r="H2640"/>
      <c r="I2640" s="16"/>
      <c r="J2640"/>
      <c r="K2640"/>
      <c r="L2640"/>
      <c r="M2640" s="17"/>
      <c r="N2640"/>
      <c r="O2640"/>
      <c r="P2640" s="34"/>
    </row>
    <row r="2641" spans="1:16" x14ac:dyDescent="0.25">
      <c r="A2641" s="14"/>
      <c r="B2641"/>
      <c r="C2641" s="15"/>
      <c r="D2641"/>
      <c r="E2641"/>
      <c r="F2641" s="16"/>
      <c r="G2641"/>
      <c r="H2641"/>
      <c r="I2641" s="16"/>
      <c r="J2641"/>
      <c r="K2641"/>
      <c r="L2641"/>
      <c r="M2641" s="17"/>
      <c r="N2641"/>
      <c r="O2641"/>
      <c r="P2641" s="34"/>
    </row>
    <row r="2642" spans="1:16" x14ac:dyDescent="0.25">
      <c r="A2642" s="14"/>
      <c r="B2642"/>
      <c r="C2642" s="15"/>
      <c r="D2642"/>
      <c r="E2642"/>
      <c r="F2642" s="16"/>
      <c r="G2642"/>
      <c r="H2642"/>
      <c r="I2642" s="16"/>
      <c r="J2642"/>
      <c r="K2642"/>
      <c r="L2642"/>
      <c r="M2642" s="17"/>
      <c r="N2642"/>
      <c r="O2642"/>
      <c r="P2642" s="34"/>
    </row>
    <row r="2643" spans="1:16" x14ac:dyDescent="0.25">
      <c r="A2643" s="14"/>
      <c r="B2643"/>
      <c r="C2643" s="15"/>
      <c r="D2643"/>
      <c r="E2643"/>
      <c r="F2643" s="16"/>
      <c r="G2643"/>
      <c r="H2643"/>
      <c r="I2643" s="16"/>
      <c r="J2643"/>
      <c r="K2643"/>
      <c r="L2643"/>
      <c r="M2643" s="17"/>
      <c r="N2643"/>
      <c r="O2643"/>
      <c r="P2643" s="34"/>
    </row>
    <row r="2644" spans="1:16" x14ac:dyDescent="0.25">
      <c r="A2644" s="14"/>
      <c r="B2644"/>
      <c r="C2644" s="15"/>
      <c r="D2644"/>
      <c r="E2644"/>
      <c r="F2644" s="16"/>
      <c r="G2644"/>
      <c r="H2644"/>
      <c r="I2644" s="16"/>
      <c r="J2644"/>
      <c r="K2644"/>
      <c r="L2644"/>
      <c r="M2644" s="17"/>
      <c r="N2644"/>
      <c r="O2644"/>
      <c r="P2644" s="34"/>
    </row>
    <row r="2645" spans="1:16" x14ac:dyDescent="0.25">
      <c r="A2645" s="14"/>
      <c r="B2645"/>
      <c r="C2645" s="15"/>
      <c r="D2645"/>
      <c r="E2645"/>
      <c r="F2645" s="16"/>
      <c r="G2645"/>
      <c r="H2645"/>
      <c r="I2645" s="16"/>
      <c r="J2645"/>
      <c r="K2645"/>
      <c r="L2645"/>
      <c r="M2645" s="17"/>
      <c r="N2645"/>
      <c r="O2645"/>
      <c r="P2645" s="34"/>
    </row>
    <row r="2646" spans="1:16" x14ac:dyDescent="0.25">
      <c r="A2646" s="14"/>
      <c r="B2646"/>
      <c r="C2646" s="15"/>
      <c r="D2646"/>
      <c r="E2646"/>
      <c r="F2646" s="16"/>
      <c r="G2646"/>
      <c r="H2646"/>
      <c r="I2646" s="16"/>
      <c r="J2646"/>
      <c r="K2646"/>
      <c r="L2646"/>
      <c r="M2646" s="17"/>
      <c r="N2646"/>
      <c r="O2646"/>
      <c r="P2646" s="34"/>
    </row>
    <row r="2647" spans="1:16" x14ac:dyDescent="0.25">
      <c r="A2647" s="14"/>
      <c r="B2647"/>
      <c r="C2647" s="15"/>
      <c r="D2647"/>
      <c r="E2647"/>
      <c r="F2647" s="16"/>
      <c r="G2647"/>
      <c r="H2647"/>
      <c r="I2647" s="16"/>
      <c r="J2647"/>
      <c r="K2647"/>
      <c r="L2647"/>
      <c r="M2647" s="17"/>
      <c r="N2647"/>
      <c r="O2647"/>
      <c r="P2647" s="34"/>
    </row>
    <row r="2648" spans="1:16" x14ac:dyDescent="0.25">
      <c r="A2648" s="14"/>
      <c r="B2648"/>
      <c r="C2648" s="15"/>
      <c r="D2648"/>
      <c r="E2648"/>
      <c r="F2648" s="16"/>
      <c r="G2648"/>
      <c r="H2648"/>
      <c r="I2648" s="16"/>
      <c r="J2648"/>
      <c r="K2648"/>
      <c r="L2648"/>
      <c r="M2648" s="17"/>
      <c r="N2648"/>
      <c r="O2648"/>
      <c r="P2648" s="34"/>
    </row>
    <row r="2649" spans="1:16" x14ac:dyDescent="0.25">
      <c r="A2649" s="14"/>
      <c r="B2649"/>
      <c r="C2649" s="15"/>
      <c r="D2649"/>
      <c r="E2649"/>
      <c r="F2649" s="16"/>
      <c r="G2649"/>
      <c r="H2649"/>
      <c r="I2649" s="16"/>
      <c r="J2649"/>
      <c r="K2649"/>
      <c r="L2649"/>
      <c r="M2649" s="17"/>
      <c r="N2649"/>
      <c r="O2649"/>
      <c r="P2649" s="34"/>
    </row>
    <row r="2650" spans="1:16" x14ac:dyDescent="0.25">
      <c r="A2650" s="14"/>
      <c r="B2650"/>
      <c r="C2650" s="15"/>
      <c r="D2650"/>
      <c r="E2650"/>
      <c r="F2650" s="16"/>
      <c r="G2650"/>
      <c r="H2650"/>
      <c r="I2650" s="16"/>
      <c r="J2650"/>
      <c r="K2650"/>
      <c r="L2650"/>
      <c r="M2650" s="17"/>
      <c r="N2650"/>
      <c r="O2650"/>
      <c r="P2650" s="34"/>
    </row>
    <row r="2651" spans="1:16" x14ac:dyDescent="0.25">
      <c r="A2651" s="14"/>
      <c r="B2651"/>
      <c r="C2651" s="15"/>
      <c r="D2651"/>
      <c r="E2651"/>
      <c r="F2651" s="16"/>
      <c r="G2651"/>
      <c r="H2651"/>
      <c r="I2651" s="16"/>
      <c r="J2651"/>
      <c r="K2651"/>
      <c r="L2651"/>
      <c r="M2651" s="17"/>
      <c r="N2651"/>
      <c r="O2651"/>
      <c r="P2651" s="34"/>
    </row>
    <row r="2652" spans="1:16" x14ac:dyDescent="0.25">
      <c r="A2652" s="14"/>
      <c r="B2652"/>
      <c r="C2652" s="15"/>
      <c r="D2652"/>
      <c r="E2652"/>
      <c r="F2652" s="16"/>
      <c r="G2652"/>
      <c r="H2652"/>
      <c r="I2652" s="16"/>
      <c r="J2652"/>
      <c r="K2652"/>
      <c r="L2652"/>
      <c r="M2652" s="17"/>
      <c r="N2652"/>
      <c r="O2652"/>
      <c r="P2652" s="34"/>
    </row>
    <row r="2653" spans="1:16" x14ac:dyDescent="0.25">
      <c r="A2653" s="14"/>
      <c r="B2653"/>
      <c r="C2653" s="15"/>
      <c r="D2653"/>
      <c r="E2653"/>
      <c r="F2653" s="16"/>
      <c r="G2653"/>
      <c r="H2653"/>
      <c r="I2653" s="16"/>
      <c r="J2653"/>
      <c r="K2653"/>
      <c r="L2653"/>
      <c r="M2653" s="17"/>
      <c r="N2653"/>
      <c r="O2653"/>
      <c r="P2653" s="34"/>
    </row>
    <row r="2654" spans="1:16" x14ac:dyDescent="0.25">
      <c r="A2654" s="14"/>
      <c r="B2654"/>
      <c r="C2654" s="15"/>
      <c r="D2654"/>
      <c r="E2654"/>
      <c r="F2654" s="16"/>
      <c r="G2654"/>
      <c r="H2654"/>
      <c r="I2654" s="16"/>
      <c r="J2654"/>
      <c r="K2654"/>
      <c r="L2654"/>
      <c r="M2654" s="17"/>
      <c r="N2654"/>
      <c r="O2654"/>
      <c r="P2654" s="34"/>
    </row>
    <row r="2655" spans="1:16" x14ac:dyDescent="0.25">
      <c r="A2655" s="14"/>
      <c r="B2655"/>
      <c r="C2655" s="15"/>
      <c r="D2655"/>
      <c r="E2655"/>
      <c r="F2655" s="16"/>
      <c r="G2655"/>
      <c r="H2655"/>
      <c r="I2655" s="16"/>
      <c r="J2655"/>
      <c r="K2655"/>
      <c r="L2655"/>
      <c r="M2655" s="17"/>
      <c r="N2655"/>
      <c r="O2655"/>
      <c r="P2655" s="34"/>
    </row>
    <row r="2656" spans="1:16" x14ac:dyDescent="0.25">
      <c r="A2656" s="14"/>
      <c r="B2656"/>
      <c r="C2656" s="15"/>
      <c r="D2656"/>
      <c r="E2656"/>
      <c r="F2656" s="16"/>
      <c r="G2656"/>
      <c r="H2656"/>
      <c r="I2656" s="16"/>
      <c r="J2656"/>
      <c r="K2656"/>
      <c r="L2656"/>
      <c r="M2656" s="17"/>
      <c r="N2656"/>
      <c r="O2656"/>
      <c r="P2656" s="34"/>
    </row>
    <row r="2657" spans="1:16" x14ac:dyDescent="0.25">
      <c r="A2657" s="14"/>
      <c r="B2657"/>
      <c r="C2657" s="15"/>
      <c r="D2657"/>
      <c r="E2657"/>
      <c r="F2657" s="16"/>
      <c r="G2657"/>
      <c r="H2657"/>
      <c r="I2657" s="16"/>
      <c r="J2657"/>
      <c r="K2657"/>
      <c r="L2657"/>
      <c r="M2657" s="17"/>
      <c r="N2657"/>
      <c r="O2657"/>
      <c r="P2657" s="34"/>
    </row>
    <row r="2658" spans="1:16" x14ac:dyDescent="0.25">
      <c r="A2658" s="14"/>
      <c r="B2658"/>
      <c r="C2658" s="15"/>
      <c r="D2658"/>
      <c r="E2658"/>
      <c r="F2658" s="16"/>
      <c r="G2658"/>
      <c r="H2658"/>
      <c r="I2658" s="16"/>
      <c r="J2658"/>
      <c r="K2658"/>
      <c r="L2658"/>
      <c r="M2658" s="17"/>
      <c r="N2658"/>
      <c r="O2658"/>
      <c r="P2658" s="34"/>
    </row>
    <row r="2659" spans="1:16" x14ac:dyDescent="0.25">
      <c r="A2659" s="14"/>
      <c r="B2659"/>
      <c r="C2659" s="15"/>
      <c r="D2659"/>
      <c r="E2659"/>
      <c r="F2659" s="16"/>
      <c r="G2659"/>
      <c r="H2659"/>
      <c r="I2659" s="16"/>
      <c r="J2659"/>
      <c r="K2659"/>
      <c r="L2659"/>
      <c r="M2659" s="17"/>
      <c r="N2659"/>
      <c r="O2659"/>
      <c r="P2659" s="34"/>
    </row>
    <row r="2660" spans="1:16" x14ac:dyDescent="0.25">
      <c r="A2660" s="14"/>
      <c r="B2660"/>
      <c r="C2660" s="15"/>
      <c r="D2660"/>
      <c r="E2660"/>
      <c r="F2660" s="16"/>
      <c r="G2660"/>
      <c r="H2660"/>
      <c r="I2660" s="16"/>
      <c r="J2660"/>
      <c r="K2660"/>
      <c r="L2660"/>
      <c r="M2660" s="17"/>
      <c r="N2660"/>
      <c r="O2660"/>
      <c r="P2660" s="34"/>
    </row>
    <row r="2661" spans="1:16" x14ac:dyDescent="0.25">
      <c r="A2661" s="14"/>
      <c r="B2661"/>
      <c r="C2661" s="15"/>
      <c r="D2661"/>
      <c r="E2661"/>
      <c r="F2661" s="16"/>
      <c r="G2661"/>
      <c r="H2661"/>
      <c r="I2661" s="16"/>
      <c r="J2661"/>
      <c r="K2661"/>
      <c r="L2661"/>
      <c r="M2661" s="17"/>
      <c r="N2661"/>
      <c r="O2661"/>
      <c r="P2661" s="34"/>
    </row>
    <row r="2662" spans="1:16" x14ac:dyDescent="0.25">
      <c r="A2662" s="14"/>
      <c r="B2662"/>
      <c r="C2662" s="15"/>
      <c r="D2662"/>
      <c r="E2662"/>
      <c r="F2662" s="16"/>
      <c r="G2662"/>
      <c r="H2662"/>
      <c r="I2662" s="16"/>
      <c r="J2662"/>
      <c r="K2662"/>
      <c r="L2662"/>
      <c r="M2662" s="17"/>
      <c r="N2662"/>
      <c r="O2662"/>
      <c r="P2662" s="34"/>
    </row>
    <row r="2663" spans="1:16" x14ac:dyDescent="0.25">
      <c r="A2663" s="14"/>
      <c r="B2663"/>
      <c r="C2663" s="15"/>
      <c r="D2663"/>
      <c r="E2663"/>
      <c r="F2663" s="16"/>
      <c r="G2663"/>
      <c r="H2663"/>
      <c r="I2663" s="16"/>
      <c r="J2663"/>
      <c r="K2663"/>
      <c r="L2663"/>
      <c r="M2663" s="17"/>
      <c r="N2663"/>
      <c r="O2663"/>
      <c r="P2663" s="34"/>
    </row>
    <row r="2664" spans="1:16" x14ac:dyDescent="0.25">
      <c r="A2664" s="14"/>
      <c r="B2664"/>
      <c r="C2664" s="15"/>
      <c r="D2664"/>
      <c r="E2664"/>
      <c r="F2664" s="16"/>
      <c r="G2664"/>
      <c r="H2664"/>
      <c r="I2664" s="16"/>
      <c r="J2664"/>
      <c r="K2664"/>
      <c r="L2664"/>
      <c r="M2664" s="17"/>
      <c r="N2664"/>
      <c r="O2664"/>
      <c r="P2664" s="34"/>
    </row>
    <row r="2665" spans="1:16" x14ac:dyDescent="0.25">
      <c r="A2665" s="14"/>
      <c r="B2665"/>
      <c r="C2665" s="15"/>
      <c r="D2665"/>
      <c r="E2665"/>
      <c r="F2665" s="16"/>
      <c r="G2665"/>
      <c r="H2665"/>
      <c r="I2665" s="16"/>
      <c r="J2665"/>
      <c r="K2665"/>
      <c r="L2665"/>
      <c r="M2665" s="17"/>
      <c r="N2665"/>
      <c r="O2665"/>
      <c r="P2665" s="34"/>
    </row>
    <row r="2666" spans="1:16" x14ac:dyDescent="0.25">
      <c r="A2666" s="14"/>
      <c r="B2666"/>
      <c r="C2666" s="15"/>
      <c r="D2666"/>
      <c r="E2666"/>
      <c r="F2666" s="16"/>
      <c r="G2666"/>
      <c r="H2666"/>
      <c r="I2666" s="16"/>
      <c r="J2666"/>
      <c r="K2666"/>
      <c r="L2666"/>
      <c r="M2666" s="17"/>
      <c r="N2666"/>
      <c r="O2666"/>
      <c r="P2666" s="34"/>
    </row>
    <row r="2667" spans="1:16" x14ac:dyDescent="0.25">
      <c r="A2667" s="14"/>
      <c r="B2667"/>
      <c r="C2667" s="15"/>
      <c r="D2667"/>
      <c r="E2667"/>
      <c r="F2667" s="16"/>
      <c r="G2667"/>
      <c r="H2667"/>
      <c r="I2667" s="16"/>
      <c r="J2667"/>
      <c r="K2667"/>
      <c r="L2667"/>
      <c r="M2667" s="17"/>
      <c r="N2667"/>
      <c r="O2667"/>
      <c r="P2667" s="34"/>
    </row>
    <row r="2668" spans="1:16" x14ac:dyDescent="0.25">
      <c r="A2668" s="14"/>
      <c r="B2668"/>
      <c r="C2668" s="15"/>
      <c r="D2668"/>
      <c r="E2668"/>
      <c r="F2668" s="16"/>
      <c r="G2668"/>
      <c r="H2668"/>
      <c r="I2668" s="16"/>
      <c r="J2668"/>
      <c r="K2668"/>
      <c r="L2668"/>
      <c r="M2668" s="17"/>
      <c r="N2668"/>
      <c r="O2668"/>
      <c r="P2668" s="34"/>
    </row>
    <row r="2669" spans="1:16" x14ac:dyDescent="0.25">
      <c r="A2669" s="14"/>
      <c r="B2669"/>
      <c r="C2669" s="15"/>
      <c r="D2669"/>
      <c r="E2669"/>
      <c r="F2669" s="16"/>
      <c r="G2669"/>
      <c r="H2669"/>
      <c r="I2669" s="16"/>
      <c r="J2669"/>
      <c r="K2669"/>
      <c r="L2669"/>
      <c r="M2669" s="17"/>
      <c r="N2669"/>
      <c r="O2669"/>
      <c r="P2669" s="34"/>
    </row>
    <row r="2670" spans="1:16" x14ac:dyDescent="0.25">
      <c r="A2670" s="14"/>
      <c r="B2670"/>
      <c r="C2670" s="15"/>
      <c r="D2670"/>
      <c r="E2670"/>
      <c r="F2670" s="16"/>
      <c r="G2670"/>
      <c r="H2670"/>
      <c r="I2670" s="16"/>
      <c r="J2670"/>
      <c r="K2670"/>
      <c r="L2670"/>
      <c r="M2670" s="17"/>
      <c r="N2670"/>
      <c r="O2670"/>
      <c r="P2670" s="34"/>
    </row>
    <row r="2671" spans="1:16" x14ac:dyDescent="0.25">
      <c r="A2671" s="14"/>
      <c r="B2671"/>
      <c r="C2671" s="15"/>
      <c r="D2671"/>
      <c r="E2671"/>
      <c r="F2671" s="16"/>
      <c r="G2671"/>
      <c r="H2671"/>
      <c r="I2671" s="16"/>
      <c r="J2671"/>
      <c r="K2671"/>
      <c r="L2671"/>
      <c r="M2671" s="17"/>
      <c r="N2671"/>
      <c r="O2671"/>
      <c r="P2671" s="34"/>
    </row>
    <row r="2672" spans="1:16" x14ac:dyDescent="0.25">
      <c r="A2672" s="14"/>
      <c r="B2672"/>
      <c r="C2672" s="15"/>
      <c r="D2672"/>
      <c r="E2672"/>
      <c r="F2672" s="16"/>
      <c r="G2672"/>
      <c r="H2672"/>
      <c r="I2672" s="16"/>
      <c r="J2672"/>
      <c r="K2672"/>
      <c r="L2672"/>
      <c r="M2672" s="17"/>
      <c r="N2672"/>
      <c r="O2672"/>
      <c r="P2672" s="34"/>
    </row>
    <row r="2673" spans="1:16" x14ac:dyDescent="0.25">
      <c r="A2673" s="14"/>
      <c r="B2673"/>
      <c r="C2673" s="15"/>
      <c r="D2673"/>
      <c r="E2673"/>
      <c r="F2673" s="16"/>
      <c r="G2673"/>
      <c r="H2673"/>
      <c r="I2673" s="16"/>
      <c r="J2673"/>
      <c r="K2673"/>
      <c r="L2673"/>
      <c r="M2673" s="17"/>
      <c r="N2673"/>
      <c r="O2673"/>
      <c r="P2673" s="34"/>
    </row>
    <row r="2674" spans="1:16" x14ac:dyDescent="0.25">
      <c r="A2674" s="14"/>
      <c r="B2674"/>
      <c r="C2674" s="15"/>
      <c r="D2674"/>
      <c r="E2674"/>
      <c r="F2674" s="16"/>
      <c r="G2674"/>
      <c r="H2674"/>
      <c r="I2674" s="16"/>
      <c r="J2674"/>
      <c r="K2674"/>
      <c r="L2674"/>
      <c r="M2674" s="17"/>
      <c r="N2674"/>
      <c r="O2674"/>
      <c r="P2674" s="34"/>
    </row>
    <row r="2675" spans="1:16" x14ac:dyDescent="0.25">
      <c r="A2675" s="14"/>
      <c r="B2675"/>
      <c r="C2675" s="15"/>
      <c r="D2675"/>
      <c r="E2675"/>
      <c r="F2675" s="16"/>
      <c r="G2675"/>
      <c r="H2675"/>
      <c r="I2675" s="16"/>
      <c r="J2675"/>
      <c r="K2675"/>
      <c r="L2675"/>
      <c r="M2675" s="17"/>
      <c r="N2675"/>
      <c r="O2675"/>
      <c r="P2675" s="34"/>
    </row>
    <row r="2676" spans="1:16" x14ac:dyDescent="0.25">
      <c r="A2676" s="14"/>
      <c r="B2676"/>
      <c r="C2676" s="15"/>
      <c r="D2676"/>
      <c r="E2676"/>
      <c r="F2676" s="16"/>
      <c r="G2676"/>
      <c r="H2676"/>
      <c r="I2676" s="16"/>
      <c r="J2676"/>
      <c r="K2676"/>
      <c r="L2676"/>
      <c r="M2676" s="17"/>
      <c r="N2676"/>
      <c r="O2676"/>
      <c r="P2676" s="34"/>
    </row>
    <row r="2677" spans="1:16" x14ac:dyDescent="0.25">
      <c r="A2677" s="14"/>
      <c r="B2677"/>
      <c r="C2677" s="15"/>
      <c r="D2677"/>
      <c r="E2677"/>
      <c r="F2677" s="16"/>
      <c r="G2677"/>
      <c r="H2677"/>
      <c r="I2677" s="16"/>
      <c r="J2677"/>
      <c r="K2677"/>
      <c r="L2677"/>
      <c r="M2677" s="17"/>
      <c r="N2677"/>
      <c r="O2677"/>
      <c r="P2677" s="34"/>
    </row>
    <row r="2678" spans="1:16" x14ac:dyDescent="0.25">
      <c r="A2678" s="14"/>
      <c r="B2678"/>
      <c r="C2678" s="15"/>
      <c r="D2678"/>
      <c r="E2678"/>
      <c r="F2678" s="16"/>
      <c r="G2678"/>
      <c r="H2678"/>
      <c r="I2678" s="16"/>
      <c r="J2678"/>
      <c r="K2678"/>
      <c r="L2678"/>
      <c r="M2678" s="17"/>
      <c r="N2678"/>
      <c r="O2678"/>
      <c r="P2678" s="34"/>
    </row>
    <row r="2679" spans="1:16" x14ac:dyDescent="0.25">
      <c r="A2679" s="14"/>
      <c r="B2679"/>
      <c r="C2679" s="15"/>
      <c r="D2679"/>
      <c r="E2679"/>
      <c r="F2679" s="16"/>
      <c r="G2679"/>
      <c r="H2679"/>
      <c r="I2679" s="16"/>
      <c r="J2679"/>
      <c r="K2679"/>
      <c r="L2679"/>
      <c r="M2679" s="17"/>
      <c r="N2679"/>
      <c r="O2679"/>
      <c r="P2679" s="34"/>
    </row>
    <row r="2680" spans="1:16" x14ac:dyDescent="0.25">
      <c r="A2680" s="14"/>
      <c r="B2680"/>
      <c r="C2680" s="15"/>
      <c r="D2680"/>
      <c r="E2680"/>
      <c r="F2680" s="16"/>
      <c r="G2680"/>
      <c r="H2680"/>
      <c r="I2680" s="16"/>
      <c r="J2680"/>
      <c r="K2680"/>
      <c r="L2680"/>
      <c r="M2680" s="17"/>
      <c r="N2680"/>
      <c r="O2680"/>
      <c r="P2680" s="34"/>
    </row>
    <row r="2681" spans="1:16" x14ac:dyDescent="0.25">
      <c r="A2681" s="14"/>
      <c r="B2681"/>
      <c r="C2681" s="15"/>
      <c r="D2681"/>
      <c r="E2681"/>
      <c r="F2681" s="16"/>
      <c r="G2681"/>
      <c r="H2681"/>
      <c r="I2681" s="16"/>
      <c r="J2681"/>
      <c r="K2681"/>
      <c r="L2681"/>
      <c r="M2681" s="17"/>
      <c r="N2681"/>
      <c r="O2681"/>
      <c r="P2681" s="34"/>
    </row>
    <row r="2682" spans="1:16" x14ac:dyDescent="0.25">
      <c r="A2682" s="14"/>
      <c r="B2682"/>
      <c r="C2682" s="15"/>
      <c r="D2682"/>
      <c r="E2682"/>
      <c r="F2682" s="16"/>
      <c r="G2682"/>
      <c r="H2682"/>
      <c r="I2682" s="16"/>
      <c r="J2682"/>
      <c r="K2682"/>
      <c r="L2682"/>
      <c r="M2682" s="17"/>
      <c r="N2682"/>
      <c r="O2682"/>
      <c r="P2682" s="34"/>
    </row>
    <row r="2683" spans="1:16" x14ac:dyDescent="0.25">
      <c r="A2683" s="14"/>
      <c r="B2683"/>
      <c r="C2683" s="15"/>
      <c r="D2683"/>
      <c r="E2683"/>
      <c r="F2683" s="16"/>
      <c r="G2683"/>
      <c r="H2683"/>
      <c r="I2683" s="16"/>
      <c r="J2683"/>
      <c r="K2683"/>
      <c r="L2683"/>
      <c r="M2683" s="17"/>
      <c r="N2683"/>
      <c r="O2683"/>
      <c r="P2683" s="34"/>
    </row>
    <row r="2684" spans="1:16" x14ac:dyDescent="0.25">
      <c r="A2684" s="14"/>
      <c r="B2684"/>
      <c r="C2684" s="15"/>
      <c r="D2684"/>
      <c r="E2684"/>
      <c r="F2684" s="16"/>
      <c r="G2684"/>
      <c r="H2684"/>
      <c r="I2684" s="16"/>
      <c r="J2684"/>
      <c r="K2684"/>
      <c r="L2684"/>
      <c r="M2684" s="17"/>
      <c r="N2684"/>
      <c r="O2684"/>
      <c r="P2684" s="34"/>
    </row>
    <row r="2685" spans="1:16" x14ac:dyDescent="0.25">
      <c r="A2685" s="14"/>
      <c r="B2685"/>
      <c r="C2685" s="15"/>
      <c r="D2685"/>
      <c r="E2685"/>
      <c r="F2685" s="16"/>
      <c r="G2685"/>
      <c r="H2685"/>
      <c r="I2685" s="16"/>
      <c r="J2685"/>
      <c r="K2685"/>
      <c r="L2685"/>
      <c r="M2685" s="17"/>
      <c r="N2685"/>
      <c r="O2685"/>
      <c r="P2685" s="34"/>
    </row>
    <row r="2686" spans="1:16" x14ac:dyDescent="0.25">
      <c r="A2686" s="14"/>
      <c r="B2686"/>
      <c r="C2686" s="15"/>
      <c r="D2686"/>
      <c r="E2686"/>
      <c r="F2686" s="16"/>
      <c r="G2686"/>
      <c r="H2686"/>
      <c r="I2686" s="16"/>
      <c r="J2686"/>
      <c r="K2686"/>
      <c r="L2686"/>
      <c r="M2686" s="17"/>
      <c r="N2686"/>
      <c r="O2686"/>
      <c r="P2686" s="34"/>
    </row>
    <row r="2687" spans="1:16" x14ac:dyDescent="0.25">
      <c r="A2687" s="14"/>
      <c r="B2687"/>
      <c r="C2687" s="15"/>
      <c r="D2687"/>
      <c r="E2687"/>
      <c r="F2687" s="16"/>
      <c r="G2687"/>
      <c r="H2687"/>
      <c r="I2687" s="16"/>
      <c r="J2687"/>
      <c r="K2687"/>
      <c r="L2687"/>
      <c r="M2687" s="17"/>
      <c r="N2687"/>
      <c r="O2687"/>
      <c r="P2687" s="34"/>
    </row>
    <row r="2688" spans="1:16" x14ac:dyDescent="0.25">
      <c r="A2688" s="14"/>
      <c r="B2688"/>
      <c r="C2688" s="15"/>
      <c r="D2688"/>
      <c r="E2688"/>
      <c r="F2688" s="16"/>
      <c r="G2688"/>
      <c r="H2688"/>
      <c r="I2688" s="16"/>
      <c r="J2688"/>
      <c r="K2688"/>
      <c r="L2688"/>
      <c r="M2688" s="17"/>
      <c r="N2688"/>
      <c r="O2688"/>
      <c r="P2688" s="34"/>
    </row>
    <row r="2689" spans="1:16" x14ac:dyDescent="0.25">
      <c r="A2689" s="14"/>
      <c r="B2689"/>
      <c r="C2689" s="15"/>
      <c r="D2689"/>
      <c r="E2689"/>
      <c r="F2689" s="16"/>
      <c r="G2689"/>
      <c r="H2689"/>
      <c r="I2689" s="16"/>
      <c r="J2689"/>
      <c r="K2689"/>
      <c r="L2689"/>
      <c r="M2689" s="17"/>
      <c r="N2689"/>
      <c r="O2689"/>
      <c r="P2689" s="34"/>
    </row>
    <row r="2690" spans="1:16" x14ac:dyDescent="0.25">
      <c r="A2690" s="14"/>
      <c r="B2690"/>
      <c r="C2690" s="15"/>
      <c r="D2690"/>
      <c r="E2690"/>
      <c r="F2690" s="16"/>
      <c r="G2690"/>
      <c r="H2690"/>
      <c r="I2690" s="16"/>
      <c r="J2690"/>
      <c r="K2690"/>
      <c r="L2690"/>
      <c r="M2690" s="17"/>
      <c r="N2690"/>
      <c r="O2690"/>
      <c r="P2690" s="34"/>
    </row>
    <row r="2691" spans="1:16" x14ac:dyDescent="0.25">
      <c r="A2691" s="14"/>
      <c r="B2691"/>
      <c r="C2691" s="15"/>
      <c r="D2691"/>
      <c r="E2691"/>
      <c r="F2691" s="16"/>
      <c r="G2691"/>
      <c r="H2691"/>
      <c r="I2691" s="16"/>
      <c r="J2691"/>
      <c r="K2691"/>
      <c r="L2691"/>
      <c r="M2691" s="17"/>
      <c r="N2691"/>
      <c r="O2691"/>
      <c r="P2691" s="34"/>
    </row>
    <row r="2692" spans="1:16" x14ac:dyDescent="0.25">
      <c r="A2692" s="14"/>
      <c r="B2692"/>
      <c r="C2692" s="15"/>
      <c r="D2692"/>
      <c r="E2692"/>
      <c r="F2692" s="16"/>
      <c r="G2692"/>
      <c r="H2692"/>
      <c r="I2692" s="16"/>
      <c r="J2692"/>
      <c r="K2692"/>
      <c r="L2692"/>
      <c r="M2692" s="17"/>
      <c r="N2692"/>
      <c r="O2692"/>
      <c r="P2692" s="34"/>
    </row>
    <row r="2693" spans="1:16" x14ac:dyDescent="0.25">
      <c r="A2693" s="14"/>
      <c r="B2693"/>
      <c r="C2693" s="15"/>
      <c r="D2693"/>
      <c r="E2693"/>
      <c r="F2693" s="16"/>
      <c r="G2693"/>
      <c r="H2693"/>
      <c r="I2693" s="16"/>
      <c r="J2693"/>
      <c r="K2693"/>
      <c r="L2693"/>
      <c r="M2693" s="17"/>
      <c r="N2693"/>
      <c r="O2693"/>
      <c r="P2693" s="34"/>
    </row>
    <row r="2694" spans="1:16" x14ac:dyDescent="0.25">
      <c r="A2694" s="14"/>
      <c r="B2694"/>
      <c r="C2694" s="15"/>
      <c r="D2694"/>
      <c r="E2694"/>
      <c r="F2694" s="16"/>
      <c r="G2694"/>
      <c r="H2694"/>
      <c r="I2694" s="16"/>
      <c r="J2694"/>
      <c r="K2694"/>
      <c r="L2694"/>
      <c r="M2694" s="17"/>
      <c r="N2694"/>
      <c r="O2694"/>
      <c r="P2694" s="34"/>
    </row>
    <row r="2695" spans="1:16" x14ac:dyDescent="0.25">
      <c r="A2695" s="14"/>
      <c r="B2695"/>
      <c r="C2695" s="15"/>
      <c r="D2695"/>
      <c r="E2695"/>
      <c r="F2695" s="16"/>
      <c r="G2695"/>
      <c r="H2695"/>
      <c r="I2695" s="16"/>
      <c r="J2695"/>
      <c r="K2695"/>
      <c r="L2695"/>
      <c r="M2695" s="17"/>
      <c r="N2695"/>
      <c r="O2695"/>
      <c r="P2695" s="34"/>
    </row>
    <row r="2696" spans="1:16" x14ac:dyDescent="0.25">
      <c r="A2696" s="14"/>
      <c r="B2696"/>
      <c r="C2696" s="15"/>
      <c r="D2696"/>
      <c r="E2696"/>
      <c r="F2696" s="16"/>
      <c r="G2696"/>
      <c r="H2696"/>
      <c r="I2696" s="16"/>
      <c r="J2696"/>
      <c r="K2696"/>
      <c r="L2696"/>
      <c r="M2696" s="17"/>
      <c r="N2696"/>
      <c r="O2696"/>
      <c r="P2696" s="34"/>
    </row>
    <row r="2697" spans="1:16" x14ac:dyDescent="0.25">
      <c r="A2697" s="14"/>
      <c r="B2697"/>
      <c r="C2697" s="15"/>
      <c r="D2697"/>
      <c r="E2697"/>
      <c r="F2697" s="16"/>
      <c r="G2697"/>
      <c r="H2697"/>
      <c r="I2697" s="16"/>
      <c r="J2697"/>
      <c r="K2697"/>
      <c r="L2697"/>
      <c r="M2697" s="17"/>
      <c r="N2697"/>
      <c r="O2697"/>
      <c r="P2697" s="34"/>
    </row>
    <row r="2698" spans="1:16" x14ac:dyDescent="0.25">
      <c r="A2698" s="14"/>
      <c r="B2698"/>
      <c r="C2698" s="15"/>
      <c r="D2698"/>
      <c r="E2698"/>
      <c r="F2698" s="16"/>
      <c r="G2698"/>
      <c r="H2698"/>
      <c r="I2698" s="16"/>
      <c r="J2698"/>
      <c r="K2698"/>
      <c r="L2698"/>
      <c r="M2698" s="17"/>
      <c r="N2698"/>
      <c r="O2698"/>
      <c r="P2698" s="34"/>
    </row>
    <row r="2699" spans="1:16" x14ac:dyDescent="0.25">
      <c r="A2699" s="14"/>
      <c r="B2699"/>
      <c r="C2699" s="15"/>
      <c r="D2699"/>
      <c r="E2699"/>
      <c r="F2699" s="16"/>
      <c r="G2699"/>
      <c r="H2699"/>
      <c r="I2699" s="16"/>
      <c r="J2699"/>
      <c r="K2699"/>
      <c r="L2699"/>
      <c r="M2699" s="17"/>
      <c r="N2699"/>
      <c r="O2699"/>
      <c r="P2699" s="34"/>
    </row>
    <row r="2700" spans="1:16" x14ac:dyDescent="0.25">
      <c r="A2700" s="14"/>
      <c r="B2700"/>
      <c r="C2700" s="15"/>
      <c r="D2700"/>
      <c r="E2700"/>
      <c r="F2700" s="16"/>
      <c r="G2700"/>
      <c r="H2700"/>
      <c r="I2700" s="16"/>
      <c r="J2700"/>
      <c r="K2700"/>
      <c r="L2700"/>
      <c r="M2700" s="17"/>
      <c r="N2700"/>
      <c r="O2700"/>
      <c r="P2700" s="34"/>
    </row>
    <row r="2701" spans="1:16" x14ac:dyDescent="0.25">
      <c r="A2701" s="14"/>
      <c r="B2701"/>
      <c r="C2701" s="15"/>
      <c r="D2701"/>
      <c r="E2701"/>
      <c r="F2701" s="16"/>
      <c r="G2701"/>
      <c r="H2701"/>
      <c r="I2701" s="16"/>
      <c r="J2701"/>
      <c r="K2701"/>
      <c r="L2701"/>
      <c r="M2701" s="17"/>
      <c r="N2701"/>
      <c r="O2701"/>
      <c r="P2701" s="34"/>
    </row>
    <row r="2702" spans="1:16" x14ac:dyDescent="0.25">
      <c r="A2702" s="14"/>
      <c r="B2702"/>
      <c r="C2702" s="15"/>
      <c r="D2702"/>
      <c r="E2702"/>
      <c r="F2702" s="16"/>
      <c r="G2702"/>
      <c r="H2702"/>
      <c r="I2702" s="16"/>
      <c r="J2702"/>
      <c r="K2702"/>
      <c r="L2702"/>
      <c r="M2702" s="17"/>
      <c r="N2702"/>
      <c r="O2702"/>
      <c r="P2702" s="34"/>
    </row>
    <row r="2703" spans="1:16" x14ac:dyDescent="0.25">
      <c r="A2703" s="14"/>
      <c r="B2703"/>
      <c r="C2703" s="15"/>
      <c r="D2703"/>
      <c r="E2703"/>
      <c r="F2703" s="16"/>
      <c r="G2703"/>
      <c r="H2703"/>
      <c r="I2703" s="16"/>
      <c r="J2703"/>
      <c r="K2703"/>
      <c r="L2703"/>
      <c r="M2703" s="17"/>
      <c r="N2703"/>
      <c r="O2703"/>
      <c r="P2703" s="34"/>
    </row>
    <row r="2704" spans="1:16" x14ac:dyDescent="0.25">
      <c r="A2704" s="14"/>
      <c r="B2704"/>
      <c r="C2704" s="15"/>
      <c r="D2704"/>
      <c r="E2704"/>
      <c r="F2704" s="16"/>
      <c r="G2704"/>
      <c r="H2704"/>
      <c r="I2704" s="16"/>
      <c r="J2704"/>
      <c r="K2704"/>
      <c r="L2704"/>
      <c r="M2704" s="17"/>
      <c r="N2704"/>
      <c r="O2704"/>
      <c r="P2704" s="34"/>
    </row>
    <row r="2705" spans="1:16" x14ac:dyDescent="0.25">
      <c r="A2705" s="14"/>
      <c r="B2705"/>
      <c r="C2705" s="15"/>
      <c r="D2705"/>
      <c r="E2705"/>
      <c r="F2705" s="16"/>
      <c r="G2705"/>
      <c r="H2705"/>
      <c r="I2705" s="16"/>
      <c r="J2705"/>
      <c r="K2705"/>
      <c r="L2705"/>
      <c r="M2705" s="17"/>
      <c r="N2705"/>
      <c r="O2705"/>
      <c r="P2705" s="34"/>
    </row>
    <row r="2706" spans="1:16" x14ac:dyDescent="0.25">
      <c r="A2706" s="14"/>
      <c r="B2706"/>
      <c r="C2706" s="15"/>
      <c r="D2706"/>
      <c r="E2706"/>
      <c r="F2706" s="16"/>
      <c r="G2706"/>
      <c r="H2706"/>
      <c r="I2706" s="16"/>
      <c r="J2706"/>
      <c r="K2706"/>
      <c r="L2706"/>
      <c r="M2706" s="17"/>
      <c r="N2706"/>
      <c r="O2706"/>
      <c r="P2706" s="34"/>
    </row>
    <row r="2707" spans="1:16" x14ac:dyDescent="0.25">
      <c r="A2707" s="14"/>
      <c r="B2707"/>
      <c r="C2707" s="15"/>
      <c r="D2707"/>
      <c r="E2707"/>
      <c r="F2707" s="16"/>
      <c r="G2707"/>
      <c r="H2707"/>
      <c r="I2707" s="16"/>
      <c r="J2707"/>
      <c r="K2707"/>
      <c r="L2707"/>
      <c r="M2707" s="17"/>
      <c r="N2707"/>
      <c r="O2707"/>
      <c r="P2707" s="34"/>
    </row>
    <row r="2708" spans="1:16" x14ac:dyDescent="0.25">
      <c r="A2708" s="14"/>
      <c r="B2708"/>
      <c r="C2708" s="15"/>
      <c r="D2708"/>
      <c r="E2708"/>
      <c r="F2708" s="16"/>
      <c r="G2708"/>
      <c r="H2708"/>
      <c r="I2708" s="16"/>
      <c r="J2708"/>
      <c r="K2708"/>
      <c r="L2708"/>
      <c r="M2708" s="17"/>
      <c r="N2708"/>
      <c r="O2708"/>
      <c r="P2708" s="34"/>
    </row>
    <row r="2709" spans="1:16" x14ac:dyDescent="0.25">
      <c r="A2709" s="14"/>
      <c r="B2709"/>
      <c r="C2709" s="15"/>
      <c r="D2709"/>
      <c r="E2709"/>
      <c r="F2709" s="16"/>
      <c r="G2709"/>
      <c r="H2709"/>
      <c r="I2709" s="16"/>
      <c r="J2709"/>
      <c r="K2709"/>
      <c r="L2709"/>
      <c r="M2709" s="17"/>
      <c r="N2709"/>
      <c r="O2709"/>
      <c r="P2709" s="34"/>
    </row>
    <row r="2710" spans="1:16" x14ac:dyDescent="0.25">
      <c r="A2710" s="14"/>
      <c r="B2710"/>
      <c r="C2710" s="15"/>
      <c r="D2710"/>
      <c r="E2710"/>
      <c r="F2710" s="16"/>
      <c r="G2710"/>
      <c r="H2710"/>
      <c r="I2710" s="16"/>
      <c r="J2710"/>
      <c r="K2710"/>
      <c r="L2710"/>
      <c r="M2710" s="17"/>
      <c r="N2710"/>
      <c r="O2710"/>
      <c r="P2710" s="34"/>
    </row>
    <row r="2711" spans="1:16" x14ac:dyDescent="0.25">
      <c r="A2711" s="14"/>
      <c r="B2711"/>
      <c r="C2711" s="15"/>
      <c r="D2711"/>
      <c r="E2711"/>
      <c r="F2711" s="16"/>
      <c r="G2711"/>
      <c r="H2711"/>
      <c r="I2711" s="16"/>
      <c r="J2711"/>
      <c r="K2711"/>
      <c r="L2711"/>
      <c r="M2711" s="17"/>
      <c r="N2711"/>
      <c r="O2711"/>
      <c r="P2711" s="34"/>
    </row>
    <row r="2712" spans="1:16" x14ac:dyDescent="0.25">
      <c r="A2712" s="14"/>
      <c r="B2712"/>
      <c r="C2712" s="15"/>
      <c r="D2712"/>
      <c r="E2712"/>
      <c r="F2712" s="16"/>
      <c r="G2712"/>
      <c r="H2712"/>
      <c r="I2712" s="16"/>
      <c r="J2712"/>
      <c r="K2712"/>
      <c r="L2712"/>
      <c r="M2712" s="17"/>
      <c r="N2712"/>
      <c r="O2712"/>
      <c r="P2712" s="34"/>
    </row>
    <row r="2713" spans="1:16" x14ac:dyDescent="0.25">
      <c r="A2713" s="14"/>
      <c r="B2713"/>
      <c r="C2713" s="15"/>
      <c r="D2713"/>
      <c r="E2713"/>
      <c r="F2713" s="16"/>
      <c r="G2713"/>
      <c r="H2713"/>
      <c r="I2713" s="16"/>
      <c r="J2713"/>
      <c r="K2713"/>
      <c r="L2713"/>
      <c r="M2713" s="17"/>
      <c r="N2713"/>
      <c r="O2713"/>
      <c r="P2713" s="34"/>
    </row>
    <row r="2714" spans="1:16" x14ac:dyDescent="0.25">
      <c r="A2714" s="14"/>
      <c r="B2714"/>
      <c r="C2714" s="15"/>
      <c r="D2714"/>
      <c r="E2714"/>
      <c r="F2714" s="16"/>
      <c r="G2714"/>
      <c r="H2714"/>
      <c r="I2714" s="16"/>
      <c r="J2714"/>
      <c r="K2714"/>
      <c r="L2714"/>
      <c r="M2714" s="17"/>
      <c r="N2714"/>
      <c r="O2714"/>
      <c r="P2714" s="34"/>
    </row>
    <row r="2715" spans="1:16" x14ac:dyDescent="0.25">
      <c r="A2715" s="14"/>
      <c r="B2715"/>
      <c r="C2715" s="15"/>
      <c r="D2715"/>
      <c r="E2715"/>
      <c r="F2715" s="16"/>
      <c r="G2715"/>
      <c r="H2715"/>
      <c r="I2715" s="16"/>
      <c r="J2715"/>
      <c r="K2715"/>
      <c r="L2715"/>
      <c r="M2715" s="17"/>
      <c r="N2715"/>
      <c r="O2715"/>
      <c r="P2715" s="34"/>
    </row>
    <row r="2716" spans="1:16" x14ac:dyDescent="0.25">
      <c r="A2716" s="14"/>
      <c r="B2716"/>
      <c r="C2716" s="15"/>
      <c r="D2716"/>
      <c r="E2716"/>
      <c r="F2716" s="16"/>
      <c r="G2716"/>
      <c r="H2716"/>
      <c r="I2716" s="16"/>
      <c r="J2716"/>
      <c r="K2716"/>
      <c r="L2716"/>
      <c r="M2716" s="17"/>
      <c r="N2716"/>
      <c r="O2716"/>
      <c r="P2716" s="34"/>
    </row>
    <row r="2717" spans="1:16" x14ac:dyDescent="0.25">
      <c r="A2717" s="14"/>
      <c r="B2717"/>
      <c r="C2717" s="15"/>
      <c r="D2717"/>
      <c r="E2717"/>
      <c r="F2717" s="16"/>
      <c r="G2717"/>
      <c r="H2717"/>
      <c r="I2717" s="16"/>
      <c r="J2717"/>
      <c r="K2717"/>
      <c r="L2717"/>
      <c r="M2717" s="17"/>
      <c r="N2717"/>
      <c r="O2717"/>
      <c r="P2717" s="34"/>
    </row>
    <row r="2718" spans="1:16" x14ac:dyDescent="0.25">
      <c r="A2718" s="14"/>
      <c r="B2718"/>
      <c r="C2718" s="15"/>
      <c r="D2718"/>
      <c r="E2718"/>
      <c r="F2718" s="16"/>
      <c r="G2718"/>
      <c r="H2718"/>
      <c r="I2718" s="16"/>
      <c r="J2718"/>
      <c r="K2718"/>
      <c r="L2718"/>
      <c r="M2718" s="17"/>
      <c r="N2718"/>
      <c r="O2718"/>
      <c r="P2718" s="34"/>
    </row>
    <row r="2719" spans="1:16" x14ac:dyDescent="0.25">
      <c r="A2719" s="14"/>
      <c r="B2719"/>
      <c r="C2719" s="15"/>
      <c r="D2719"/>
      <c r="E2719"/>
      <c r="F2719" s="16"/>
      <c r="G2719"/>
      <c r="H2719"/>
      <c r="I2719" s="16"/>
      <c r="J2719"/>
      <c r="K2719"/>
      <c r="L2719"/>
      <c r="M2719" s="17"/>
      <c r="N2719"/>
      <c r="O2719"/>
      <c r="P2719" s="34"/>
    </row>
    <row r="2720" spans="1:16" x14ac:dyDescent="0.25">
      <c r="A2720" s="14"/>
      <c r="B2720"/>
      <c r="C2720" s="15"/>
      <c r="D2720"/>
      <c r="E2720"/>
      <c r="F2720" s="16"/>
      <c r="G2720"/>
      <c r="H2720"/>
      <c r="I2720" s="16"/>
      <c r="J2720"/>
      <c r="K2720"/>
      <c r="L2720"/>
      <c r="M2720" s="17"/>
      <c r="N2720"/>
      <c r="O2720"/>
      <c r="P2720" s="34"/>
    </row>
    <row r="2721" spans="1:16" x14ac:dyDescent="0.25">
      <c r="A2721" s="14"/>
      <c r="B2721"/>
      <c r="C2721" s="15"/>
      <c r="D2721"/>
      <c r="E2721"/>
      <c r="F2721" s="16"/>
      <c r="G2721"/>
      <c r="H2721"/>
      <c r="I2721" s="16"/>
      <c r="J2721"/>
      <c r="K2721"/>
      <c r="L2721"/>
      <c r="M2721" s="17"/>
      <c r="N2721"/>
      <c r="O2721"/>
      <c r="P2721" s="34"/>
    </row>
    <row r="2722" spans="1:16" x14ac:dyDescent="0.25">
      <c r="A2722" s="14"/>
      <c r="B2722"/>
      <c r="C2722" s="15"/>
      <c r="D2722"/>
      <c r="E2722"/>
      <c r="F2722" s="16"/>
      <c r="G2722"/>
      <c r="H2722"/>
      <c r="I2722" s="16"/>
      <c r="J2722"/>
      <c r="K2722"/>
      <c r="L2722"/>
      <c r="M2722" s="17"/>
      <c r="N2722"/>
      <c r="O2722"/>
      <c r="P2722" s="34"/>
    </row>
    <row r="2723" spans="1:16" x14ac:dyDescent="0.25">
      <c r="A2723" s="14"/>
      <c r="B2723"/>
      <c r="C2723" s="15"/>
      <c r="D2723"/>
      <c r="E2723"/>
      <c r="F2723" s="16"/>
      <c r="G2723"/>
      <c r="H2723"/>
      <c r="I2723" s="16"/>
      <c r="J2723"/>
      <c r="K2723"/>
      <c r="L2723"/>
      <c r="M2723" s="17"/>
      <c r="N2723"/>
      <c r="O2723"/>
      <c r="P2723" s="34"/>
    </row>
    <row r="2724" spans="1:16" x14ac:dyDescent="0.25">
      <c r="A2724" s="14"/>
      <c r="B2724"/>
      <c r="C2724" s="15"/>
      <c r="D2724"/>
      <c r="E2724"/>
      <c r="F2724" s="16"/>
      <c r="G2724"/>
      <c r="H2724"/>
      <c r="I2724" s="16"/>
      <c r="J2724"/>
      <c r="K2724"/>
      <c r="L2724"/>
      <c r="M2724" s="17"/>
      <c r="N2724"/>
      <c r="O2724"/>
      <c r="P2724" s="34"/>
    </row>
    <row r="2725" spans="1:16" x14ac:dyDescent="0.25">
      <c r="A2725" s="14"/>
      <c r="B2725"/>
      <c r="C2725" s="15"/>
      <c r="D2725"/>
      <c r="E2725"/>
      <c r="F2725" s="16"/>
      <c r="G2725"/>
      <c r="H2725"/>
      <c r="I2725" s="16"/>
      <c r="J2725"/>
      <c r="K2725"/>
      <c r="L2725"/>
      <c r="M2725" s="17"/>
      <c r="N2725"/>
      <c r="O2725"/>
      <c r="P2725" s="34"/>
    </row>
    <row r="2726" spans="1:16" x14ac:dyDescent="0.25">
      <c r="A2726" s="14"/>
      <c r="B2726"/>
      <c r="C2726" s="15"/>
      <c r="D2726"/>
      <c r="E2726"/>
      <c r="F2726" s="16"/>
      <c r="G2726"/>
      <c r="H2726"/>
      <c r="I2726" s="16"/>
      <c r="J2726"/>
      <c r="K2726"/>
      <c r="L2726"/>
      <c r="M2726" s="17"/>
      <c r="N2726"/>
      <c r="O2726"/>
      <c r="P2726" s="34"/>
    </row>
    <row r="2727" spans="1:16" x14ac:dyDescent="0.25">
      <c r="A2727" s="14"/>
      <c r="B2727"/>
      <c r="C2727" s="15"/>
      <c r="D2727"/>
      <c r="E2727"/>
      <c r="F2727" s="16"/>
      <c r="G2727"/>
      <c r="H2727"/>
      <c r="I2727" s="16"/>
      <c r="J2727"/>
      <c r="K2727"/>
      <c r="L2727"/>
      <c r="M2727" s="17"/>
      <c r="N2727"/>
      <c r="O2727"/>
      <c r="P2727" s="34"/>
    </row>
    <row r="2728" spans="1:16" x14ac:dyDescent="0.25">
      <c r="A2728" s="14"/>
      <c r="B2728"/>
      <c r="C2728" s="15"/>
      <c r="D2728"/>
      <c r="E2728"/>
      <c r="F2728" s="16"/>
      <c r="G2728"/>
      <c r="H2728"/>
      <c r="I2728" s="16"/>
      <c r="J2728"/>
      <c r="K2728"/>
      <c r="L2728"/>
      <c r="M2728" s="17"/>
      <c r="N2728"/>
      <c r="O2728"/>
      <c r="P2728" s="34"/>
    </row>
    <row r="2729" spans="1:16" x14ac:dyDescent="0.25">
      <c r="A2729" s="14"/>
      <c r="B2729"/>
      <c r="C2729" s="15"/>
      <c r="D2729"/>
      <c r="E2729"/>
      <c r="F2729" s="16"/>
      <c r="G2729"/>
      <c r="H2729"/>
      <c r="I2729" s="16"/>
      <c r="J2729"/>
      <c r="K2729"/>
      <c r="L2729"/>
      <c r="M2729" s="17"/>
      <c r="N2729"/>
      <c r="O2729"/>
      <c r="P2729" s="34"/>
    </row>
    <row r="2730" spans="1:16" x14ac:dyDescent="0.25">
      <c r="A2730" s="14"/>
      <c r="B2730"/>
      <c r="C2730" s="15"/>
      <c r="D2730"/>
      <c r="E2730"/>
      <c r="F2730" s="16"/>
      <c r="G2730"/>
      <c r="H2730"/>
      <c r="I2730" s="16"/>
      <c r="J2730"/>
      <c r="K2730"/>
      <c r="L2730"/>
      <c r="M2730" s="17"/>
      <c r="N2730"/>
      <c r="O2730"/>
      <c r="P2730" s="34"/>
    </row>
    <row r="2731" spans="1:16" x14ac:dyDescent="0.25">
      <c r="A2731" s="14"/>
      <c r="B2731"/>
      <c r="C2731" s="15"/>
      <c r="D2731"/>
      <c r="E2731"/>
      <c r="F2731" s="16"/>
      <c r="G2731"/>
      <c r="H2731"/>
      <c r="I2731" s="16"/>
      <c r="J2731"/>
      <c r="K2731"/>
      <c r="L2731"/>
      <c r="M2731" s="17"/>
      <c r="N2731"/>
      <c r="O2731"/>
      <c r="P2731" s="34"/>
    </row>
    <row r="2732" spans="1:16" x14ac:dyDescent="0.25">
      <c r="A2732" s="14"/>
      <c r="B2732"/>
      <c r="C2732" s="15"/>
      <c r="D2732"/>
      <c r="E2732"/>
      <c r="F2732" s="16"/>
      <c r="G2732"/>
      <c r="H2732"/>
      <c r="I2732" s="16"/>
      <c r="J2732"/>
      <c r="K2732"/>
      <c r="L2732"/>
      <c r="M2732" s="17"/>
      <c r="N2732"/>
      <c r="O2732"/>
      <c r="P2732" s="34"/>
    </row>
    <row r="2733" spans="1:16" x14ac:dyDescent="0.25">
      <c r="A2733" s="14"/>
      <c r="B2733"/>
      <c r="C2733" s="15"/>
      <c r="D2733"/>
      <c r="E2733"/>
      <c r="F2733" s="16"/>
      <c r="G2733"/>
      <c r="H2733"/>
      <c r="I2733" s="16"/>
      <c r="J2733"/>
      <c r="K2733"/>
      <c r="L2733"/>
      <c r="M2733" s="17"/>
      <c r="N2733"/>
      <c r="O2733"/>
      <c r="P2733" s="34"/>
    </row>
    <row r="2734" spans="1:16" x14ac:dyDescent="0.25">
      <c r="A2734" s="14"/>
      <c r="B2734"/>
      <c r="C2734" s="15"/>
      <c r="D2734"/>
      <c r="E2734"/>
      <c r="F2734" s="16"/>
      <c r="G2734"/>
      <c r="H2734"/>
      <c r="I2734" s="16"/>
      <c r="J2734"/>
      <c r="K2734"/>
      <c r="L2734"/>
      <c r="M2734" s="17"/>
      <c r="N2734"/>
      <c r="O2734"/>
      <c r="P2734" s="34"/>
    </row>
    <row r="2735" spans="1:16" x14ac:dyDescent="0.25">
      <c r="A2735" s="14"/>
      <c r="B2735"/>
      <c r="C2735" s="15"/>
      <c r="D2735"/>
      <c r="E2735"/>
      <c r="F2735" s="16"/>
      <c r="G2735"/>
      <c r="H2735"/>
      <c r="I2735" s="16"/>
      <c r="J2735"/>
      <c r="K2735"/>
      <c r="L2735"/>
      <c r="M2735" s="17"/>
      <c r="N2735"/>
      <c r="O2735"/>
      <c r="P2735" s="34"/>
    </row>
    <row r="2736" spans="1:16" x14ac:dyDescent="0.25">
      <c r="A2736" s="14"/>
      <c r="B2736"/>
      <c r="C2736" s="15"/>
      <c r="D2736"/>
      <c r="E2736"/>
      <c r="F2736" s="16"/>
      <c r="G2736"/>
      <c r="H2736"/>
      <c r="I2736" s="16"/>
      <c r="J2736"/>
      <c r="K2736"/>
      <c r="L2736"/>
      <c r="M2736" s="17"/>
      <c r="N2736"/>
      <c r="O2736"/>
      <c r="P2736" s="34"/>
    </row>
    <row r="2737" spans="1:16" x14ac:dyDescent="0.25">
      <c r="A2737" s="14"/>
      <c r="B2737"/>
      <c r="C2737" s="15"/>
      <c r="D2737"/>
      <c r="E2737"/>
      <c r="F2737" s="16"/>
      <c r="G2737"/>
      <c r="H2737"/>
      <c r="I2737" s="16"/>
      <c r="J2737"/>
      <c r="K2737"/>
      <c r="L2737"/>
      <c r="M2737" s="17"/>
      <c r="N2737"/>
      <c r="O2737"/>
      <c r="P2737" s="34"/>
    </row>
    <row r="2738" spans="1:16" x14ac:dyDescent="0.25">
      <c r="A2738" s="14"/>
      <c r="B2738"/>
      <c r="C2738" s="15"/>
      <c r="D2738"/>
      <c r="E2738"/>
      <c r="F2738" s="16"/>
      <c r="G2738"/>
      <c r="H2738"/>
      <c r="I2738" s="16"/>
      <c r="J2738"/>
      <c r="K2738"/>
      <c r="L2738"/>
      <c r="M2738" s="17"/>
      <c r="N2738"/>
      <c r="O2738"/>
      <c r="P2738" s="34"/>
    </row>
    <row r="2739" spans="1:16" x14ac:dyDescent="0.25">
      <c r="A2739" s="14"/>
      <c r="B2739"/>
      <c r="C2739" s="15"/>
      <c r="D2739"/>
      <c r="E2739"/>
      <c r="F2739" s="16"/>
      <c r="G2739"/>
      <c r="H2739"/>
      <c r="I2739" s="16"/>
      <c r="J2739"/>
      <c r="K2739"/>
      <c r="L2739"/>
      <c r="M2739" s="17"/>
      <c r="N2739"/>
      <c r="O2739"/>
      <c r="P2739" s="34"/>
    </row>
    <row r="2740" spans="1:16" x14ac:dyDescent="0.25">
      <c r="A2740" s="14"/>
      <c r="B2740"/>
      <c r="C2740" s="15"/>
      <c r="D2740"/>
      <c r="E2740"/>
      <c r="F2740" s="16"/>
      <c r="G2740"/>
      <c r="H2740"/>
      <c r="I2740" s="16"/>
      <c r="J2740"/>
      <c r="K2740"/>
      <c r="L2740"/>
      <c r="M2740" s="17"/>
      <c r="N2740"/>
      <c r="O2740"/>
      <c r="P2740" s="34"/>
    </row>
    <row r="2741" spans="1:16" x14ac:dyDescent="0.25">
      <c r="A2741" s="14"/>
      <c r="B2741"/>
      <c r="C2741" s="15"/>
      <c r="D2741"/>
      <c r="E2741"/>
      <c r="F2741" s="16"/>
      <c r="G2741"/>
      <c r="H2741"/>
      <c r="I2741" s="16"/>
      <c r="J2741"/>
      <c r="K2741"/>
      <c r="L2741"/>
      <c r="M2741" s="17"/>
      <c r="N2741"/>
      <c r="O2741"/>
      <c r="P2741" s="34"/>
    </row>
    <row r="2742" spans="1:16" x14ac:dyDescent="0.25">
      <c r="A2742" s="14"/>
      <c r="B2742"/>
      <c r="C2742" s="15"/>
      <c r="D2742"/>
      <c r="E2742"/>
      <c r="F2742" s="16"/>
      <c r="G2742"/>
      <c r="H2742"/>
      <c r="I2742" s="16"/>
      <c r="J2742"/>
      <c r="K2742"/>
      <c r="L2742"/>
      <c r="M2742" s="17"/>
      <c r="N2742"/>
      <c r="O2742"/>
      <c r="P2742" s="34"/>
    </row>
    <row r="2743" spans="1:16" x14ac:dyDescent="0.25">
      <c r="A2743" s="14"/>
      <c r="B2743"/>
      <c r="C2743" s="15"/>
      <c r="D2743"/>
      <c r="E2743"/>
      <c r="F2743" s="16"/>
      <c r="G2743"/>
      <c r="H2743"/>
      <c r="I2743" s="16"/>
      <c r="J2743"/>
      <c r="K2743"/>
      <c r="L2743"/>
      <c r="M2743" s="17"/>
      <c r="N2743"/>
      <c r="O2743"/>
      <c r="P2743" s="34"/>
    </row>
    <row r="2744" spans="1:16" x14ac:dyDescent="0.25">
      <c r="A2744" s="14"/>
      <c r="B2744"/>
      <c r="C2744" s="15"/>
      <c r="D2744"/>
      <c r="E2744"/>
      <c r="F2744" s="16"/>
      <c r="G2744"/>
      <c r="H2744"/>
      <c r="I2744" s="16"/>
      <c r="J2744"/>
      <c r="K2744"/>
      <c r="L2744"/>
      <c r="M2744" s="17"/>
      <c r="N2744"/>
      <c r="O2744"/>
      <c r="P2744" s="34"/>
    </row>
    <row r="2745" spans="1:16" x14ac:dyDescent="0.25">
      <c r="A2745" s="14"/>
      <c r="B2745"/>
      <c r="C2745" s="15"/>
      <c r="D2745"/>
      <c r="E2745"/>
      <c r="F2745" s="16"/>
      <c r="G2745"/>
      <c r="H2745"/>
      <c r="I2745" s="16"/>
      <c r="J2745"/>
      <c r="K2745"/>
      <c r="L2745"/>
      <c r="M2745" s="17"/>
      <c r="N2745"/>
      <c r="O2745"/>
      <c r="P2745" s="34"/>
    </row>
    <row r="2746" spans="1:16" x14ac:dyDescent="0.25">
      <c r="A2746" s="14"/>
      <c r="B2746"/>
      <c r="C2746" s="15"/>
      <c r="D2746"/>
      <c r="E2746"/>
      <c r="F2746" s="16"/>
      <c r="G2746"/>
      <c r="H2746"/>
      <c r="I2746" s="16"/>
      <c r="J2746"/>
      <c r="K2746"/>
      <c r="L2746"/>
      <c r="M2746" s="17"/>
      <c r="N2746"/>
      <c r="O2746"/>
      <c r="P2746" s="34"/>
    </row>
    <row r="2747" spans="1:16" x14ac:dyDescent="0.25">
      <c r="A2747" s="14"/>
      <c r="B2747"/>
      <c r="C2747" s="15"/>
      <c r="D2747"/>
      <c r="E2747"/>
      <c r="F2747" s="16"/>
      <c r="G2747"/>
      <c r="H2747"/>
      <c r="I2747" s="16"/>
      <c r="J2747"/>
      <c r="K2747"/>
      <c r="L2747"/>
      <c r="M2747" s="17"/>
      <c r="N2747"/>
      <c r="O2747"/>
      <c r="P2747" s="34"/>
    </row>
    <row r="2748" spans="1:16" x14ac:dyDescent="0.25">
      <c r="A2748" s="14"/>
      <c r="B2748"/>
      <c r="C2748" s="15"/>
      <c r="D2748"/>
      <c r="E2748"/>
      <c r="F2748" s="16"/>
      <c r="G2748"/>
      <c r="H2748"/>
      <c r="I2748" s="16"/>
      <c r="J2748"/>
      <c r="K2748"/>
      <c r="L2748"/>
      <c r="M2748" s="17"/>
      <c r="N2748"/>
      <c r="O2748"/>
      <c r="P2748" s="34"/>
    </row>
    <row r="2749" spans="1:16" x14ac:dyDescent="0.25">
      <c r="A2749" s="14"/>
      <c r="B2749"/>
      <c r="C2749" s="15"/>
      <c r="D2749"/>
      <c r="E2749"/>
      <c r="F2749" s="16"/>
      <c r="G2749"/>
      <c r="H2749"/>
      <c r="I2749" s="16"/>
      <c r="J2749"/>
      <c r="K2749"/>
      <c r="L2749"/>
      <c r="M2749" s="17"/>
      <c r="N2749"/>
      <c r="O2749"/>
      <c r="P2749" s="34"/>
    </row>
    <row r="2750" spans="1:16" x14ac:dyDescent="0.25">
      <c r="A2750" s="14"/>
      <c r="B2750"/>
      <c r="C2750" s="15"/>
      <c r="D2750"/>
      <c r="E2750"/>
      <c r="F2750" s="16"/>
      <c r="G2750"/>
      <c r="H2750"/>
      <c r="I2750" s="16"/>
      <c r="J2750"/>
      <c r="K2750"/>
      <c r="L2750"/>
      <c r="M2750" s="17"/>
      <c r="N2750"/>
      <c r="O2750"/>
      <c r="P2750" s="34"/>
    </row>
    <row r="2751" spans="1:16" x14ac:dyDescent="0.25">
      <c r="A2751" s="14"/>
      <c r="B2751"/>
      <c r="C2751" s="15"/>
      <c r="D2751"/>
      <c r="E2751"/>
      <c r="F2751" s="16"/>
      <c r="G2751"/>
      <c r="H2751"/>
      <c r="I2751" s="16"/>
      <c r="J2751"/>
      <c r="K2751"/>
      <c r="L2751"/>
      <c r="M2751" s="17"/>
      <c r="N2751"/>
      <c r="O2751"/>
      <c r="P2751" s="34"/>
    </row>
    <row r="2752" spans="1:16" x14ac:dyDescent="0.25">
      <c r="A2752" s="14"/>
      <c r="B2752"/>
      <c r="C2752" s="15"/>
      <c r="D2752"/>
      <c r="E2752"/>
      <c r="F2752" s="16"/>
      <c r="G2752"/>
      <c r="H2752"/>
      <c r="I2752" s="16"/>
      <c r="J2752"/>
      <c r="K2752"/>
      <c r="L2752"/>
      <c r="M2752" s="17"/>
      <c r="N2752"/>
      <c r="O2752"/>
      <c r="P2752" s="34"/>
    </row>
    <row r="2753" spans="1:16" x14ac:dyDescent="0.25">
      <c r="A2753" s="14"/>
      <c r="B2753"/>
      <c r="C2753" s="15"/>
      <c r="D2753"/>
      <c r="E2753"/>
      <c r="F2753" s="16"/>
      <c r="G2753"/>
      <c r="H2753"/>
      <c r="I2753" s="16"/>
      <c r="J2753"/>
      <c r="K2753"/>
      <c r="L2753"/>
      <c r="M2753" s="17"/>
      <c r="N2753"/>
      <c r="O2753"/>
      <c r="P2753" s="34"/>
    </row>
    <row r="2754" spans="1:16" x14ac:dyDescent="0.25">
      <c r="A2754" s="14"/>
      <c r="B2754"/>
      <c r="C2754" s="15"/>
      <c r="D2754"/>
      <c r="E2754"/>
      <c r="F2754" s="16"/>
      <c r="G2754"/>
      <c r="H2754"/>
      <c r="I2754" s="16"/>
      <c r="J2754"/>
      <c r="K2754"/>
      <c r="L2754"/>
      <c r="M2754" s="17"/>
      <c r="N2754"/>
      <c r="O2754"/>
      <c r="P2754" s="34"/>
    </row>
    <row r="2755" spans="1:16" x14ac:dyDescent="0.25">
      <c r="A2755" s="14"/>
      <c r="B2755"/>
      <c r="C2755" s="15"/>
      <c r="D2755"/>
      <c r="E2755"/>
      <c r="F2755" s="16"/>
      <c r="G2755"/>
      <c r="H2755"/>
      <c r="I2755" s="16"/>
      <c r="J2755"/>
      <c r="K2755"/>
      <c r="L2755"/>
      <c r="M2755" s="17"/>
      <c r="N2755"/>
      <c r="O2755"/>
      <c r="P2755" s="34"/>
    </row>
    <row r="2756" spans="1:16" x14ac:dyDescent="0.25">
      <c r="A2756" s="14"/>
      <c r="B2756"/>
      <c r="C2756" s="15"/>
      <c r="D2756"/>
      <c r="E2756"/>
      <c r="F2756" s="16"/>
      <c r="G2756"/>
      <c r="H2756"/>
      <c r="I2756" s="16"/>
      <c r="J2756"/>
      <c r="K2756"/>
      <c r="L2756"/>
      <c r="M2756" s="17"/>
      <c r="N2756"/>
      <c r="O2756"/>
      <c r="P2756" s="34"/>
    </row>
    <row r="2757" spans="1:16" x14ac:dyDescent="0.25">
      <c r="A2757" s="14"/>
      <c r="B2757"/>
      <c r="C2757" s="15"/>
      <c r="D2757"/>
      <c r="E2757"/>
      <c r="F2757" s="16"/>
      <c r="G2757"/>
      <c r="H2757"/>
      <c r="I2757" s="16"/>
      <c r="J2757"/>
      <c r="K2757"/>
      <c r="L2757"/>
      <c r="M2757" s="17"/>
      <c r="N2757"/>
      <c r="O2757"/>
      <c r="P2757" s="34"/>
    </row>
    <row r="2758" spans="1:16" x14ac:dyDescent="0.25">
      <c r="A2758" s="14"/>
      <c r="B2758"/>
      <c r="C2758" s="15"/>
      <c r="D2758"/>
      <c r="E2758"/>
      <c r="F2758" s="16"/>
      <c r="G2758"/>
      <c r="H2758"/>
      <c r="I2758" s="16"/>
      <c r="J2758"/>
      <c r="K2758"/>
      <c r="L2758"/>
      <c r="M2758" s="17"/>
      <c r="N2758"/>
      <c r="O2758"/>
      <c r="P2758" s="34"/>
    </row>
    <row r="2759" spans="1:16" x14ac:dyDescent="0.25">
      <c r="A2759" s="14"/>
      <c r="B2759"/>
      <c r="C2759" s="15"/>
      <c r="D2759"/>
      <c r="E2759"/>
      <c r="F2759" s="16"/>
      <c r="G2759"/>
      <c r="H2759"/>
      <c r="I2759" s="16"/>
      <c r="J2759"/>
      <c r="K2759"/>
      <c r="L2759"/>
      <c r="M2759" s="17"/>
      <c r="N2759"/>
      <c r="O2759"/>
      <c r="P2759" s="34"/>
    </row>
    <row r="2760" spans="1:16" x14ac:dyDescent="0.25">
      <c r="A2760" s="14"/>
      <c r="B2760"/>
      <c r="C2760" s="15"/>
      <c r="D2760"/>
      <c r="E2760"/>
      <c r="F2760" s="16"/>
      <c r="G2760"/>
      <c r="H2760"/>
      <c r="I2760" s="16"/>
      <c r="J2760"/>
      <c r="K2760"/>
      <c r="L2760"/>
      <c r="M2760" s="17"/>
      <c r="N2760"/>
      <c r="O2760"/>
      <c r="P2760" s="34"/>
    </row>
    <row r="2761" spans="1:16" x14ac:dyDescent="0.25">
      <c r="A2761" s="14"/>
      <c r="B2761"/>
      <c r="C2761" s="15"/>
      <c r="D2761"/>
      <c r="E2761"/>
      <c r="F2761" s="16"/>
      <c r="G2761"/>
      <c r="H2761"/>
      <c r="I2761" s="16"/>
      <c r="J2761"/>
      <c r="K2761"/>
      <c r="L2761"/>
      <c r="M2761" s="17"/>
      <c r="N2761"/>
      <c r="O2761"/>
      <c r="P2761" s="34"/>
    </row>
    <row r="2762" spans="1:16" x14ac:dyDescent="0.25">
      <c r="A2762" s="14"/>
      <c r="B2762"/>
      <c r="C2762" s="15"/>
      <c r="D2762"/>
      <c r="E2762"/>
      <c r="F2762" s="16"/>
      <c r="G2762"/>
      <c r="H2762"/>
      <c r="I2762" s="16"/>
      <c r="J2762"/>
      <c r="K2762"/>
      <c r="L2762"/>
      <c r="M2762" s="17"/>
      <c r="N2762"/>
      <c r="O2762"/>
      <c r="P2762" s="34"/>
    </row>
    <row r="2763" spans="1:16" x14ac:dyDescent="0.25">
      <c r="A2763" s="14"/>
      <c r="B2763"/>
      <c r="C2763" s="15"/>
      <c r="D2763"/>
      <c r="E2763"/>
      <c r="F2763" s="16"/>
      <c r="G2763"/>
      <c r="H2763"/>
      <c r="I2763" s="16"/>
      <c r="J2763"/>
      <c r="K2763"/>
      <c r="L2763"/>
      <c r="M2763" s="17"/>
      <c r="N2763"/>
      <c r="O2763"/>
      <c r="P2763" s="34"/>
    </row>
    <row r="2764" spans="1:16" x14ac:dyDescent="0.25">
      <c r="A2764" s="14"/>
      <c r="B2764"/>
      <c r="C2764" s="15"/>
      <c r="D2764"/>
      <c r="E2764"/>
      <c r="F2764" s="16"/>
      <c r="G2764"/>
      <c r="H2764"/>
      <c r="I2764" s="16"/>
      <c r="J2764"/>
      <c r="K2764"/>
      <c r="L2764"/>
      <c r="M2764" s="17"/>
      <c r="N2764"/>
      <c r="O2764"/>
      <c r="P2764" s="34"/>
    </row>
    <row r="2765" spans="1:16" x14ac:dyDescent="0.25">
      <c r="A2765" s="14"/>
      <c r="B2765"/>
      <c r="C2765" s="15"/>
      <c r="D2765"/>
      <c r="E2765"/>
      <c r="F2765" s="16"/>
      <c r="G2765"/>
      <c r="H2765"/>
      <c r="I2765" s="16"/>
      <c r="J2765"/>
      <c r="K2765"/>
      <c r="L2765"/>
      <c r="M2765" s="17"/>
      <c r="N2765"/>
      <c r="O2765"/>
      <c r="P2765" s="34"/>
    </row>
    <row r="2766" spans="1:16" x14ac:dyDescent="0.25">
      <c r="A2766" s="14"/>
      <c r="B2766"/>
      <c r="C2766" s="15"/>
      <c r="D2766"/>
      <c r="E2766"/>
      <c r="F2766" s="16"/>
      <c r="G2766"/>
      <c r="H2766"/>
      <c r="I2766" s="16"/>
      <c r="J2766"/>
      <c r="K2766"/>
      <c r="L2766"/>
      <c r="M2766" s="17"/>
      <c r="N2766"/>
      <c r="O2766"/>
      <c r="P2766" s="34"/>
    </row>
    <row r="2767" spans="1:16" x14ac:dyDescent="0.25">
      <c r="A2767" s="14"/>
      <c r="B2767"/>
      <c r="C2767" s="15"/>
      <c r="D2767"/>
      <c r="E2767"/>
      <c r="F2767" s="16"/>
      <c r="G2767"/>
      <c r="H2767"/>
      <c r="I2767" s="16"/>
      <c r="J2767"/>
      <c r="K2767"/>
      <c r="L2767"/>
      <c r="M2767" s="17"/>
      <c r="N2767"/>
      <c r="O2767"/>
      <c r="P2767" s="34"/>
    </row>
    <row r="2768" spans="1:16" x14ac:dyDescent="0.25">
      <c r="A2768" s="14"/>
      <c r="B2768"/>
      <c r="C2768" s="15"/>
      <c r="D2768"/>
      <c r="E2768"/>
      <c r="F2768" s="16"/>
      <c r="G2768"/>
      <c r="H2768"/>
      <c r="I2768" s="16"/>
      <c r="J2768"/>
      <c r="K2768"/>
      <c r="L2768"/>
      <c r="M2768" s="17"/>
      <c r="N2768"/>
      <c r="O2768"/>
      <c r="P2768" s="34"/>
    </row>
    <row r="2769" spans="1:16" x14ac:dyDescent="0.25">
      <c r="A2769" s="14"/>
      <c r="B2769"/>
      <c r="C2769" s="15"/>
      <c r="D2769"/>
      <c r="E2769"/>
      <c r="F2769" s="16"/>
      <c r="G2769"/>
      <c r="H2769"/>
      <c r="I2769" s="16"/>
      <c r="J2769"/>
      <c r="K2769"/>
      <c r="L2769"/>
      <c r="M2769" s="17"/>
      <c r="N2769"/>
      <c r="O2769"/>
      <c r="P2769" s="34"/>
    </row>
    <row r="2770" spans="1:16" x14ac:dyDescent="0.25">
      <c r="A2770" s="14"/>
      <c r="B2770"/>
      <c r="C2770" s="15"/>
      <c r="D2770"/>
      <c r="E2770"/>
      <c r="F2770" s="16"/>
      <c r="G2770"/>
      <c r="H2770"/>
      <c r="I2770" s="16"/>
      <c r="J2770"/>
      <c r="K2770"/>
      <c r="L2770"/>
      <c r="M2770" s="17"/>
      <c r="N2770"/>
      <c r="O2770"/>
      <c r="P2770" s="34"/>
    </row>
    <row r="2771" spans="1:16" x14ac:dyDescent="0.25">
      <c r="A2771" s="14"/>
      <c r="B2771"/>
      <c r="C2771" s="15"/>
      <c r="D2771"/>
      <c r="E2771"/>
      <c r="F2771" s="16"/>
      <c r="G2771"/>
      <c r="H2771"/>
      <c r="I2771" s="16"/>
      <c r="J2771"/>
      <c r="K2771"/>
      <c r="L2771"/>
      <c r="M2771" s="17"/>
      <c r="N2771"/>
      <c r="O2771"/>
      <c r="P2771" s="34"/>
    </row>
    <row r="2772" spans="1:16" x14ac:dyDescent="0.25">
      <c r="A2772" s="14"/>
      <c r="B2772"/>
      <c r="C2772" s="15"/>
      <c r="D2772"/>
      <c r="E2772"/>
      <c r="F2772" s="16"/>
      <c r="G2772"/>
      <c r="H2772"/>
      <c r="I2772" s="16"/>
      <c r="J2772"/>
      <c r="K2772"/>
      <c r="L2772"/>
      <c r="M2772" s="17"/>
      <c r="N2772"/>
      <c r="O2772"/>
      <c r="P2772" s="34"/>
    </row>
    <row r="2773" spans="1:16" x14ac:dyDescent="0.25">
      <c r="A2773" s="14"/>
      <c r="B2773"/>
      <c r="C2773" s="15"/>
      <c r="D2773"/>
      <c r="E2773"/>
      <c r="F2773" s="16"/>
      <c r="G2773"/>
      <c r="H2773"/>
      <c r="I2773" s="16"/>
      <c r="J2773"/>
      <c r="K2773"/>
      <c r="L2773"/>
      <c r="M2773" s="17"/>
      <c r="N2773"/>
      <c r="O2773"/>
      <c r="P2773" s="34"/>
    </row>
    <row r="2774" spans="1:16" x14ac:dyDescent="0.25">
      <c r="A2774" s="14"/>
      <c r="B2774"/>
      <c r="C2774" s="15"/>
      <c r="D2774"/>
      <c r="E2774"/>
      <c r="F2774" s="16"/>
      <c r="G2774"/>
      <c r="H2774"/>
      <c r="I2774" s="16"/>
      <c r="J2774"/>
      <c r="K2774"/>
      <c r="L2774"/>
      <c r="M2774" s="17"/>
      <c r="N2774"/>
      <c r="O2774"/>
      <c r="P2774" s="34"/>
    </row>
    <row r="2775" spans="1:16" x14ac:dyDescent="0.25">
      <c r="A2775" s="14"/>
      <c r="B2775"/>
      <c r="C2775" s="15"/>
      <c r="D2775"/>
      <c r="E2775"/>
      <c r="F2775" s="16"/>
      <c r="G2775"/>
      <c r="H2775"/>
      <c r="I2775" s="16"/>
      <c r="J2775"/>
      <c r="K2775"/>
      <c r="L2775"/>
      <c r="M2775" s="17"/>
      <c r="N2775"/>
      <c r="O2775"/>
      <c r="P2775" s="34"/>
    </row>
    <row r="2776" spans="1:16" x14ac:dyDescent="0.25">
      <c r="A2776" s="14"/>
      <c r="B2776"/>
      <c r="C2776" s="15"/>
      <c r="D2776"/>
      <c r="E2776"/>
      <c r="F2776" s="16"/>
      <c r="G2776"/>
      <c r="H2776"/>
      <c r="I2776" s="16"/>
      <c r="J2776"/>
      <c r="K2776"/>
      <c r="L2776"/>
      <c r="M2776" s="17"/>
      <c r="N2776"/>
      <c r="O2776"/>
      <c r="P2776" s="34"/>
    </row>
    <row r="2777" spans="1:16" x14ac:dyDescent="0.25">
      <c r="A2777" s="14"/>
      <c r="B2777"/>
      <c r="C2777" s="15"/>
      <c r="D2777"/>
      <c r="E2777"/>
      <c r="F2777" s="16"/>
      <c r="G2777"/>
      <c r="H2777"/>
      <c r="I2777" s="16"/>
      <c r="J2777"/>
      <c r="K2777"/>
      <c r="L2777"/>
      <c r="M2777" s="17"/>
      <c r="N2777"/>
      <c r="O2777"/>
      <c r="P2777" s="34"/>
    </row>
    <row r="2778" spans="1:16" x14ac:dyDescent="0.25">
      <c r="A2778" s="14"/>
      <c r="B2778"/>
      <c r="C2778" s="15"/>
      <c r="D2778"/>
      <c r="E2778"/>
      <c r="F2778" s="16"/>
      <c r="G2778"/>
      <c r="H2778"/>
      <c r="I2778" s="16"/>
      <c r="J2778"/>
      <c r="K2778"/>
      <c r="L2778"/>
      <c r="M2778" s="17"/>
      <c r="N2778"/>
      <c r="O2778"/>
      <c r="P2778" s="34"/>
    </row>
    <row r="2779" spans="1:16" x14ac:dyDescent="0.25">
      <c r="A2779" s="14"/>
      <c r="B2779"/>
      <c r="C2779" s="15"/>
      <c r="D2779"/>
      <c r="E2779"/>
      <c r="F2779" s="16"/>
      <c r="G2779"/>
      <c r="H2779"/>
      <c r="I2779" s="16"/>
      <c r="J2779"/>
      <c r="K2779"/>
      <c r="L2779"/>
      <c r="M2779" s="17"/>
      <c r="N2779"/>
      <c r="O2779"/>
      <c r="P2779" s="34"/>
    </row>
    <row r="2780" spans="1:16" x14ac:dyDescent="0.25">
      <c r="A2780" s="14"/>
      <c r="B2780"/>
      <c r="C2780" s="15"/>
      <c r="D2780"/>
      <c r="E2780"/>
      <c r="F2780" s="16"/>
      <c r="G2780"/>
      <c r="H2780"/>
      <c r="I2780" s="16"/>
      <c r="J2780"/>
      <c r="K2780"/>
      <c r="L2780"/>
      <c r="M2780" s="17"/>
      <c r="N2780"/>
      <c r="O2780"/>
      <c r="P2780" s="34"/>
    </row>
    <row r="2781" spans="1:16" x14ac:dyDescent="0.25">
      <c r="A2781" s="14"/>
      <c r="B2781"/>
      <c r="C2781" s="15"/>
      <c r="D2781"/>
      <c r="E2781"/>
      <c r="F2781" s="16"/>
      <c r="G2781"/>
      <c r="H2781"/>
      <c r="I2781" s="16"/>
      <c r="J2781"/>
      <c r="K2781"/>
      <c r="L2781"/>
      <c r="M2781" s="17"/>
      <c r="N2781"/>
      <c r="O2781"/>
      <c r="P2781" s="34"/>
    </row>
    <row r="2782" spans="1:16" x14ac:dyDescent="0.25">
      <c r="A2782" s="14"/>
      <c r="B2782"/>
      <c r="C2782" s="15"/>
      <c r="D2782"/>
      <c r="E2782"/>
      <c r="F2782" s="16"/>
      <c r="G2782"/>
      <c r="H2782"/>
      <c r="I2782" s="16"/>
      <c r="J2782"/>
      <c r="K2782"/>
      <c r="L2782"/>
      <c r="M2782" s="17"/>
      <c r="N2782"/>
      <c r="O2782"/>
      <c r="P2782" s="34"/>
    </row>
    <row r="2783" spans="1:16" x14ac:dyDescent="0.25">
      <c r="A2783" s="14"/>
      <c r="B2783"/>
      <c r="C2783" s="15"/>
      <c r="D2783"/>
      <c r="E2783"/>
      <c r="F2783" s="16"/>
      <c r="G2783"/>
      <c r="H2783"/>
      <c r="I2783" s="16"/>
      <c r="J2783"/>
      <c r="K2783"/>
      <c r="L2783"/>
      <c r="M2783" s="17"/>
      <c r="N2783"/>
      <c r="O2783"/>
      <c r="P2783" s="34"/>
    </row>
    <row r="2784" spans="1:16" x14ac:dyDescent="0.25">
      <c r="A2784" s="14"/>
      <c r="B2784"/>
      <c r="C2784" s="15"/>
      <c r="D2784"/>
      <c r="E2784"/>
      <c r="F2784" s="16"/>
      <c r="G2784"/>
      <c r="H2784"/>
      <c r="I2784" s="16"/>
      <c r="J2784"/>
      <c r="K2784"/>
      <c r="L2784"/>
      <c r="M2784" s="17"/>
      <c r="N2784"/>
      <c r="O2784"/>
      <c r="P2784" s="34"/>
    </row>
    <row r="2785" spans="1:16" x14ac:dyDescent="0.25">
      <c r="A2785" s="14"/>
      <c r="B2785"/>
      <c r="C2785" s="15"/>
      <c r="D2785"/>
      <c r="E2785"/>
      <c r="F2785" s="16"/>
      <c r="G2785"/>
      <c r="H2785"/>
      <c r="I2785" s="16"/>
      <c r="J2785"/>
      <c r="K2785"/>
      <c r="L2785"/>
      <c r="M2785" s="17"/>
      <c r="N2785"/>
      <c r="O2785"/>
      <c r="P2785" s="34"/>
    </row>
    <row r="2786" spans="1:16" x14ac:dyDescent="0.25">
      <c r="A2786" s="14"/>
      <c r="B2786"/>
      <c r="C2786" s="15"/>
      <c r="D2786"/>
      <c r="E2786"/>
      <c r="F2786" s="16"/>
      <c r="G2786"/>
      <c r="H2786"/>
      <c r="I2786" s="16"/>
      <c r="J2786"/>
      <c r="K2786"/>
      <c r="L2786"/>
      <c r="M2786" s="17"/>
      <c r="N2786"/>
      <c r="O2786"/>
      <c r="P2786" s="34"/>
    </row>
    <row r="2787" spans="1:16" x14ac:dyDescent="0.25">
      <c r="A2787" s="14"/>
      <c r="B2787"/>
      <c r="C2787" s="15"/>
      <c r="D2787"/>
      <c r="E2787"/>
      <c r="F2787" s="16"/>
      <c r="G2787"/>
      <c r="H2787"/>
      <c r="I2787" s="16"/>
      <c r="J2787"/>
      <c r="K2787"/>
      <c r="L2787"/>
      <c r="M2787" s="17"/>
      <c r="N2787"/>
      <c r="O2787"/>
      <c r="P2787" s="34"/>
    </row>
    <row r="2788" spans="1:16" x14ac:dyDescent="0.25">
      <c r="A2788" s="14"/>
      <c r="B2788"/>
      <c r="C2788" s="15"/>
      <c r="D2788"/>
      <c r="E2788"/>
      <c r="F2788" s="16"/>
      <c r="G2788"/>
      <c r="H2788"/>
      <c r="I2788" s="16"/>
      <c r="J2788"/>
      <c r="K2788"/>
      <c r="L2788"/>
      <c r="M2788" s="17"/>
      <c r="N2788"/>
      <c r="O2788"/>
      <c r="P2788" s="34"/>
    </row>
    <row r="2789" spans="1:16" x14ac:dyDescent="0.25">
      <c r="A2789" s="14"/>
      <c r="B2789"/>
      <c r="C2789" s="15"/>
      <c r="D2789"/>
      <c r="E2789"/>
      <c r="F2789" s="16"/>
      <c r="G2789"/>
      <c r="H2789"/>
      <c r="I2789" s="16"/>
      <c r="J2789"/>
      <c r="K2789"/>
      <c r="L2789"/>
      <c r="M2789" s="17"/>
      <c r="N2789"/>
      <c r="O2789"/>
      <c r="P2789" s="34"/>
    </row>
    <row r="2790" spans="1:16" x14ac:dyDescent="0.25">
      <c r="A2790" s="14"/>
      <c r="B2790"/>
      <c r="C2790" s="15"/>
      <c r="D2790"/>
      <c r="E2790"/>
      <c r="F2790" s="16"/>
      <c r="G2790"/>
      <c r="H2790"/>
      <c r="I2790" s="16"/>
      <c r="J2790"/>
      <c r="K2790"/>
      <c r="L2790"/>
      <c r="M2790" s="17"/>
      <c r="N2790"/>
      <c r="O2790"/>
      <c r="P2790" s="34"/>
    </row>
    <row r="2791" spans="1:16" x14ac:dyDescent="0.25">
      <c r="A2791" s="14"/>
      <c r="B2791"/>
      <c r="C2791" s="15"/>
      <c r="D2791"/>
      <c r="E2791"/>
      <c r="F2791" s="16"/>
      <c r="G2791"/>
      <c r="H2791"/>
      <c r="I2791" s="16"/>
      <c r="J2791"/>
      <c r="K2791"/>
      <c r="L2791"/>
      <c r="M2791" s="17"/>
      <c r="N2791"/>
      <c r="O2791"/>
      <c r="P2791" s="34"/>
    </row>
    <row r="2792" spans="1:16" x14ac:dyDescent="0.25">
      <c r="A2792" s="14"/>
      <c r="B2792"/>
      <c r="C2792" s="15"/>
      <c r="D2792"/>
      <c r="E2792"/>
      <c r="F2792" s="16"/>
      <c r="G2792"/>
      <c r="H2792"/>
      <c r="I2792" s="16"/>
      <c r="J2792"/>
      <c r="K2792"/>
      <c r="L2792"/>
      <c r="M2792" s="17"/>
      <c r="N2792"/>
      <c r="O2792"/>
      <c r="P2792" s="34"/>
    </row>
    <row r="2793" spans="1:16" x14ac:dyDescent="0.25">
      <c r="A2793" s="14"/>
      <c r="B2793"/>
      <c r="C2793" s="15"/>
      <c r="D2793"/>
      <c r="E2793"/>
      <c r="F2793" s="16"/>
      <c r="G2793"/>
      <c r="H2793"/>
      <c r="I2793" s="16"/>
      <c r="J2793"/>
      <c r="K2793"/>
      <c r="L2793"/>
      <c r="M2793" s="17"/>
      <c r="N2793"/>
      <c r="O2793"/>
      <c r="P2793" s="34"/>
    </row>
    <row r="2794" spans="1:16" x14ac:dyDescent="0.25">
      <c r="A2794" s="14"/>
      <c r="B2794"/>
      <c r="C2794" s="15"/>
      <c r="D2794"/>
      <c r="E2794"/>
      <c r="F2794" s="16"/>
      <c r="G2794"/>
      <c r="H2794"/>
      <c r="I2794" s="16"/>
      <c r="J2794"/>
      <c r="K2794"/>
      <c r="L2794"/>
      <c r="M2794" s="17"/>
      <c r="N2794"/>
      <c r="O2794"/>
      <c r="P2794" s="34"/>
    </row>
    <row r="2795" spans="1:16" x14ac:dyDescent="0.25">
      <c r="A2795" s="14"/>
      <c r="B2795"/>
      <c r="C2795" s="15"/>
      <c r="D2795"/>
      <c r="E2795"/>
      <c r="F2795" s="16"/>
      <c r="G2795"/>
      <c r="H2795"/>
      <c r="I2795" s="16"/>
      <c r="J2795"/>
      <c r="K2795"/>
      <c r="L2795"/>
      <c r="M2795" s="17"/>
      <c r="N2795"/>
      <c r="O2795"/>
      <c r="P2795" s="34"/>
    </row>
    <row r="2796" spans="1:16" x14ac:dyDescent="0.25">
      <c r="A2796" s="14"/>
      <c r="B2796"/>
      <c r="C2796" s="15"/>
      <c r="D2796"/>
      <c r="E2796"/>
      <c r="F2796" s="16"/>
      <c r="G2796"/>
      <c r="H2796"/>
      <c r="I2796" s="16"/>
      <c r="J2796"/>
      <c r="K2796"/>
      <c r="L2796"/>
      <c r="M2796" s="17"/>
      <c r="N2796"/>
      <c r="O2796"/>
      <c r="P2796" s="34"/>
    </row>
    <row r="2797" spans="1:16" x14ac:dyDescent="0.25">
      <c r="A2797" s="14"/>
      <c r="B2797"/>
      <c r="C2797" s="15"/>
      <c r="D2797"/>
      <c r="E2797"/>
      <c r="F2797" s="16"/>
      <c r="G2797"/>
      <c r="H2797"/>
      <c r="I2797" s="16"/>
      <c r="J2797"/>
      <c r="K2797"/>
      <c r="L2797"/>
      <c r="M2797" s="17"/>
      <c r="N2797"/>
      <c r="O2797"/>
      <c r="P2797" s="34"/>
    </row>
    <row r="2798" spans="1:16" x14ac:dyDescent="0.25">
      <c r="A2798" s="14"/>
      <c r="B2798"/>
      <c r="C2798" s="15"/>
      <c r="D2798"/>
      <c r="E2798"/>
      <c r="F2798" s="16"/>
      <c r="G2798"/>
      <c r="H2798"/>
      <c r="I2798" s="16"/>
      <c r="J2798"/>
      <c r="K2798"/>
      <c r="L2798"/>
      <c r="M2798" s="17"/>
      <c r="N2798"/>
      <c r="O2798"/>
      <c r="P2798" s="34"/>
    </row>
    <row r="2799" spans="1:16" x14ac:dyDescent="0.25">
      <c r="A2799" s="14"/>
      <c r="B2799"/>
      <c r="C2799" s="15"/>
      <c r="D2799"/>
      <c r="E2799"/>
      <c r="F2799" s="16"/>
      <c r="G2799"/>
      <c r="H2799"/>
      <c r="I2799" s="16"/>
      <c r="J2799"/>
      <c r="K2799"/>
      <c r="L2799"/>
      <c r="M2799" s="17"/>
      <c r="N2799"/>
      <c r="O2799"/>
      <c r="P2799" s="34"/>
    </row>
    <row r="2800" spans="1:16" x14ac:dyDescent="0.25">
      <c r="A2800" s="14"/>
      <c r="B2800"/>
      <c r="C2800" s="15"/>
      <c r="D2800"/>
      <c r="E2800"/>
      <c r="F2800" s="16"/>
      <c r="G2800"/>
      <c r="H2800"/>
      <c r="I2800" s="16"/>
      <c r="J2800"/>
      <c r="K2800"/>
      <c r="L2800"/>
      <c r="M2800" s="17"/>
      <c r="N2800"/>
      <c r="O2800"/>
      <c r="P2800" s="34"/>
    </row>
    <row r="2801" spans="1:16" x14ac:dyDescent="0.25">
      <c r="A2801" s="14"/>
      <c r="B2801"/>
      <c r="C2801" s="15"/>
      <c r="D2801"/>
      <c r="E2801"/>
      <c r="F2801" s="16"/>
      <c r="G2801"/>
      <c r="H2801"/>
      <c r="I2801" s="16"/>
      <c r="J2801"/>
      <c r="K2801"/>
      <c r="L2801"/>
      <c r="M2801" s="17"/>
      <c r="N2801"/>
      <c r="O2801"/>
      <c r="P2801" s="34"/>
    </row>
    <row r="2802" spans="1:16" x14ac:dyDescent="0.25">
      <c r="A2802" s="14"/>
      <c r="B2802"/>
      <c r="C2802" s="15"/>
      <c r="D2802"/>
      <c r="E2802"/>
      <c r="F2802" s="16"/>
      <c r="G2802"/>
      <c r="H2802"/>
      <c r="I2802" s="16"/>
      <c r="J2802"/>
      <c r="K2802"/>
      <c r="L2802"/>
      <c r="M2802" s="17"/>
      <c r="N2802"/>
      <c r="O2802"/>
      <c r="P2802" s="34"/>
    </row>
    <row r="2803" spans="1:16" x14ac:dyDescent="0.25">
      <c r="A2803" s="14"/>
      <c r="B2803"/>
      <c r="C2803" s="15"/>
      <c r="D2803"/>
      <c r="E2803"/>
      <c r="F2803" s="16"/>
      <c r="G2803"/>
      <c r="H2803"/>
      <c r="I2803" s="16"/>
      <c r="J2803"/>
      <c r="K2803"/>
      <c r="L2803"/>
      <c r="M2803" s="17"/>
      <c r="N2803"/>
      <c r="O2803"/>
      <c r="P2803" s="34"/>
    </row>
    <row r="2804" spans="1:16" x14ac:dyDescent="0.25">
      <c r="A2804" s="14"/>
      <c r="B2804"/>
      <c r="C2804" s="15"/>
      <c r="D2804"/>
      <c r="E2804"/>
      <c r="F2804" s="16"/>
      <c r="G2804"/>
      <c r="H2804"/>
      <c r="I2804" s="16"/>
      <c r="J2804"/>
      <c r="K2804"/>
      <c r="L2804"/>
      <c r="M2804" s="17"/>
      <c r="N2804"/>
      <c r="O2804"/>
      <c r="P2804" s="34"/>
    </row>
    <row r="2805" spans="1:16" x14ac:dyDescent="0.25">
      <c r="A2805" s="14"/>
      <c r="B2805"/>
      <c r="C2805" s="15"/>
      <c r="D2805"/>
      <c r="E2805"/>
      <c r="F2805" s="16"/>
      <c r="G2805"/>
      <c r="H2805"/>
      <c r="I2805" s="16"/>
      <c r="J2805"/>
      <c r="K2805"/>
      <c r="L2805"/>
      <c r="M2805" s="17"/>
      <c r="N2805"/>
      <c r="O2805"/>
      <c r="P2805" s="34"/>
    </row>
    <row r="2806" spans="1:16" x14ac:dyDescent="0.25">
      <c r="A2806" s="14"/>
      <c r="B2806"/>
      <c r="C2806" s="15"/>
      <c r="D2806"/>
      <c r="E2806"/>
      <c r="F2806" s="16"/>
      <c r="G2806"/>
      <c r="H2806"/>
      <c r="I2806" s="16"/>
      <c r="J2806"/>
      <c r="K2806"/>
      <c r="L2806"/>
      <c r="M2806" s="17"/>
      <c r="N2806"/>
      <c r="O2806"/>
      <c r="P2806" s="34"/>
    </row>
    <row r="2807" spans="1:16" x14ac:dyDescent="0.25">
      <c r="A2807" s="14"/>
      <c r="B2807"/>
      <c r="C2807" s="15"/>
      <c r="D2807"/>
      <c r="E2807"/>
      <c r="F2807" s="16"/>
      <c r="G2807"/>
      <c r="H2807"/>
      <c r="I2807" s="16"/>
      <c r="J2807"/>
      <c r="K2807"/>
      <c r="L2807"/>
      <c r="M2807" s="17"/>
      <c r="N2807"/>
      <c r="O2807"/>
      <c r="P2807" s="34"/>
    </row>
    <row r="2808" spans="1:16" x14ac:dyDescent="0.25">
      <c r="A2808" s="14"/>
      <c r="B2808"/>
      <c r="C2808" s="15"/>
      <c r="D2808"/>
      <c r="E2808"/>
      <c r="F2808" s="16"/>
      <c r="G2808"/>
      <c r="H2808"/>
      <c r="I2808" s="16"/>
      <c r="J2808"/>
      <c r="K2808"/>
      <c r="L2808"/>
      <c r="M2808" s="17"/>
      <c r="N2808"/>
      <c r="O2808"/>
      <c r="P2808" s="34"/>
    </row>
    <row r="2809" spans="1:16" x14ac:dyDescent="0.25">
      <c r="A2809" s="14"/>
      <c r="B2809"/>
      <c r="C2809" s="15"/>
      <c r="D2809"/>
      <c r="E2809"/>
      <c r="F2809" s="16"/>
      <c r="G2809"/>
      <c r="H2809"/>
      <c r="I2809" s="16"/>
      <c r="J2809"/>
      <c r="K2809"/>
      <c r="L2809"/>
      <c r="M2809" s="17"/>
      <c r="N2809"/>
      <c r="O2809"/>
      <c r="P2809" s="34"/>
    </row>
    <row r="2810" spans="1:16" x14ac:dyDescent="0.25">
      <c r="A2810" s="14"/>
      <c r="B2810"/>
      <c r="C2810" s="15"/>
      <c r="D2810"/>
      <c r="E2810"/>
      <c r="F2810" s="16"/>
      <c r="G2810"/>
      <c r="H2810"/>
      <c r="I2810" s="16"/>
      <c r="J2810"/>
      <c r="K2810"/>
      <c r="L2810"/>
      <c r="M2810" s="17"/>
      <c r="N2810"/>
      <c r="O2810"/>
      <c r="P2810" s="34"/>
    </row>
    <row r="2811" spans="1:16" x14ac:dyDescent="0.25">
      <c r="A2811" s="14"/>
      <c r="B2811"/>
      <c r="C2811" s="15"/>
      <c r="D2811"/>
      <c r="E2811"/>
      <c r="F2811" s="16"/>
      <c r="G2811"/>
      <c r="H2811"/>
      <c r="I2811" s="16"/>
      <c r="J2811"/>
      <c r="K2811"/>
      <c r="L2811"/>
      <c r="M2811" s="17"/>
      <c r="N2811"/>
      <c r="O2811"/>
      <c r="P2811" s="34"/>
    </row>
    <row r="2812" spans="1:16" x14ac:dyDescent="0.25">
      <c r="A2812" s="14"/>
      <c r="B2812"/>
      <c r="C2812" s="15"/>
      <c r="D2812"/>
      <c r="E2812"/>
      <c r="F2812" s="16"/>
      <c r="G2812"/>
      <c r="H2812"/>
      <c r="I2812" s="16"/>
      <c r="J2812"/>
      <c r="K2812"/>
      <c r="L2812"/>
      <c r="M2812" s="17"/>
      <c r="N2812"/>
      <c r="O2812"/>
      <c r="P2812" s="34"/>
    </row>
    <row r="2813" spans="1:16" x14ac:dyDescent="0.25">
      <c r="A2813" s="14"/>
      <c r="B2813"/>
      <c r="C2813" s="15"/>
      <c r="D2813"/>
      <c r="E2813"/>
      <c r="F2813" s="16"/>
      <c r="G2813"/>
      <c r="H2813"/>
      <c r="I2813" s="16"/>
      <c r="J2813"/>
      <c r="K2813"/>
      <c r="L2813"/>
      <c r="M2813" s="17"/>
      <c r="N2813"/>
      <c r="O2813"/>
      <c r="P2813" s="34"/>
    </row>
    <row r="2814" spans="1:16" x14ac:dyDescent="0.25">
      <c r="A2814" s="14"/>
      <c r="B2814"/>
      <c r="C2814" s="15"/>
      <c r="D2814"/>
      <c r="E2814"/>
      <c r="F2814" s="16"/>
      <c r="G2814"/>
      <c r="H2814"/>
      <c r="I2814" s="16"/>
      <c r="J2814"/>
      <c r="K2814"/>
      <c r="L2814"/>
      <c r="M2814" s="17"/>
      <c r="N2814"/>
      <c r="O2814"/>
      <c r="P2814" s="34"/>
    </row>
    <row r="2815" spans="1:16" x14ac:dyDescent="0.25">
      <c r="A2815" s="14"/>
      <c r="B2815"/>
      <c r="C2815" s="15"/>
      <c r="D2815"/>
      <c r="E2815"/>
      <c r="F2815" s="16"/>
      <c r="G2815"/>
      <c r="H2815"/>
      <c r="I2815" s="16"/>
      <c r="J2815"/>
      <c r="K2815"/>
      <c r="L2815"/>
      <c r="M2815" s="17"/>
      <c r="N2815"/>
      <c r="O2815"/>
      <c r="P2815" s="34"/>
    </row>
    <row r="2816" spans="1:16" x14ac:dyDescent="0.25">
      <c r="A2816" s="14"/>
      <c r="B2816"/>
      <c r="C2816" s="15"/>
      <c r="D2816"/>
      <c r="E2816"/>
      <c r="F2816" s="16"/>
      <c r="G2816"/>
      <c r="H2816"/>
      <c r="I2816" s="16"/>
      <c r="J2816"/>
      <c r="K2816"/>
      <c r="L2816"/>
      <c r="M2816" s="17"/>
      <c r="N2816"/>
      <c r="O2816"/>
      <c r="P2816" s="34"/>
    </row>
    <row r="2817" spans="1:16" x14ac:dyDescent="0.25">
      <c r="A2817" s="14"/>
      <c r="B2817"/>
      <c r="C2817" s="15"/>
      <c r="D2817"/>
      <c r="E2817"/>
      <c r="F2817" s="16"/>
      <c r="G2817"/>
      <c r="H2817"/>
      <c r="I2817" s="16"/>
      <c r="J2817"/>
      <c r="K2817"/>
      <c r="L2817"/>
      <c r="M2817" s="17"/>
      <c r="N2817"/>
      <c r="O2817"/>
      <c r="P2817" s="34"/>
    </row>
    <row r="2818" spans="1:16" x14ac:dyDescent="0.25">
      <c r="A2818" s="14"/>
      <c r="B2818"/>
      <c r="C2818" s="15"/>
      <c r="D2818"/>
      <c r="E2818"/>
      <c r="F2818" s="16"/>
      <c r="G2818"/>
      <c r="H2818"/>
      <c r="I2818" s="16"/>
      <c r="J2818"/>
      <c r="K2818"/>
      <c r="L2818"/>
      <c r="M2818" s="17"/>
      <c r="N2818"/>
      <c r="O2818"/>
      <c r="P2818" s="34"/>
    </row>
    <row r="2819" spans="1:16" x14ac:dyDescent="0.25">
      <c r="A2819" s="14"/>
      <c r="B2819"/>
      <c r="C2819" s="15"/>
      <c r="D2819"/>
      <c r="E2819"/>
      <c r="F2819" s="16"/>
      <c r="G2819"/>
      <c r="H2819"/>
      <c r="I2819" s="16"/>
      <c r="J2819"/>
      <c r="K2819"/>
      <c r="L2819"/>
      <c r="M2819" s="17"/>
      <c r="N2819"/>
      <c r="O2819"/>
      <c r="P2819" s="34"/>
    </row>
    <row r="2820" spans="1:16" x14ac:dyDescent="0.25">
      <c r="A2820" s="14"/>
      <c r="B2820"/>
      <c r="C2820" s="15"/>
      <c r="D2820"/>
      <c r="E2820"/>
      <c r="F2820" s="16"/>
      <c r="G2820"/>
      <c r="H2820"/>
      <c r="I2820" s="16"/>
      <c r="J2820"/>
      <c r="K2820"/>
      <c r="L2820"/>
      <c r="M2820" s="17"/>
      <c r="N2820"/>
      <c r="O2820"/>
      <c r="P2820" s="34"/>
    </row>
    <row r="2821" spans="1:16" x14ac:dyDescent="0.25">
      <c r="A2821" s="14"/>
      <c r="B2821"/>
      <c r="C2821" s="15"/>
      <c r="D2821"/>
      <c r="E2821"/>
      <c r="F2821" s="16"/>
      <c r="G2821"/>
      <c r="H2821"/>
      <c r="I2821" s="16"/>
      <c r="J2821"/>
      <c r="K2821"/>
      <c r="L2821"/>
      <c r="M2821" s="17"/>
      <c r="N2821"/>
      <c r="O2821"/>
      <c r="P2821" s="34"/>
    </row>
    <row r="2822" spans="1:16" x14ac:dyDescent="0.25">
      <c r="A2822" s="14"/>
      <c r="B2822"/>
      <c r="C2822" s="15"/>
      <c r="D2822"/>
      <c r="E2822"/>
      <c r="F2822" s="16"/>
      <c r="G2822"/>
      <c r="H2822"/>
      <c r="I2822" s="16"/>
      <c r="J2822"/>
      <c r="K2822"/>
      <c r="L2822"/>
      <c r="M2822" s="17"/>
      <c r="N2822"/>
      <c r="O2822"/>
      <c r="P2822" s="34"/>
    </row>
    <row r="2823" spans="1:16" x14ac:dyDescent="0.25">
      <c r="A2823" s="14"/>
      <c r="B2823"/>
      <c r="C2823" s="15"/>
      <c r="D2823"/>
      <c r="E2823"/>
      <c r="F2823" s="16"/>
      <c r="G2823"/>
      <c r="H2823"/>
      <c r="I2823" s="16"/>
      <c r="J2823"/>
      <c r="K2823"/>
      <c r="L2823"/>
      <c r="M2823" s="17"/>
      <c r="N2823"/>
      <c r="O2823"/>
      <c r="P2823" s="34"/>
    </row>
    <row r="2824" spans="1:16" x14ac:dyDescent="0.25">
      <c r="A2824" s="14"/>
      <c r="B2824"/>
      <c r="C2824" s="15"/>
      <c r="D2824"/>
      <c r="E2824"/>
      <c r="F2824" s="16"/>
      <c r="G2824"/>
      <c r="H2824"/>
      <c r="I2824" s="16"/>
      <c r="J2824"/>
      <c r="K2824"/>
      <c r="L2824"/>
      <c r="M2824" s="17"/>
      <c r="N2824"/>
      <c r="O2824"/>
      <c r="P2824" s="34"/>
    </row>
    <row r="2825" spans="1:16" x14ac:dyDescent="0.25">
      <c r="A2825" s="14"/>
      <c r="B2825"/>
      <c r="C2825" s="15"/>
      <c r="D2825"/>
      <c r="E2825"/>
      <c r="F2825" s="16"/>
      <c r="G2825"/>
      <c r="H2825"/>
      <c r="I2825" s="16"/>
      <c r="J2825"/>
      <c r="K2825"/>
      <c r="L2825"/>
      <c r="M2825" s="17"/>
      <c r="N2825"/>
      <c r="O2825"/>
      <c r="P2825" s="34"/>
    </row>
    <row r="2826" spans="1:16" x14ac:dyDescent="0.25">
      <c r="A2826" s="14"/>
      <c r="B2826"/>
      <c r="C2826" s="15"/>
      <c r="D2826"/>
      <c r="E2826"/>
      <c r="F2826" s="16"/>
      <c r="G2826"/>
      <c r="H2826"/>
      <c r="I2826" s="16"/>
      <c r="J2826"/>
      <c r="K2826"/>
      <c r="L2826"/>
      <c r="M2826" s="17"/>
      <c r="N2826"/>
      <c r="O2826"/>
      <c r="P2826" s="34"/>
    </row>
    <row r="2827" spans="1:16" x14ac:dyDescent="0.25">
      <c r="A2827" s="14"/>
      <c r="B2827"/>
      <c r="C2827" s="15"/>
      <c r="D2827"/>
      <c r="E2827"/>
      <c r="F2827" s="16"/>
      <c r="G2827"/>
      <c r="H2827"/>
      <c r="I2827" s="16"/>
      <c r="J2827"/>
      <c r="K2827"/>
      <c r="L2827"/>
      <c r="M2827" s="17"/>
      <c r="N2827"/>
      <c r="O2827"/>
      <c r="P2827" s="34"/>
    </row>
    <row r="2828" spans="1:16" x14ac:dyDescent="0.25">
      <c r="A2828" s="14"/>
      <c r="B2828"/>
      <c r="C2828" s="15"/>
      <c r="D2828"/>
      <c r="E2828"/>
      <c r="F2828" s="16"/>
      <c r="G2828"/>
      <c r="H2828"/>
      <c r="I2828" s="16"/>
      <c r="J2828"/>
      <c r="K2828"/>
      <c r="L2828"/>
      <c r="M2828" s="17"/>
      <c r="N2828"/>
      <c r="O2828"/>
      <c r="P2828" s="34"/>
    </row>
    <row r="2829" spans="1:16" x14ac:dyDescent="0.25">
      <c r="A2829" s="14"/>
      <c r="B2829"/>
      <c r="C2829" s="15"/>
      <c r="D2829"/>
      <c r="E2829"/>
      <c r="F2829" s="16"/>
      <c r="G2829"/>
      <c r="H2829"/>
      <c r="I2829" s="16"/>
      <c r="J2829"/>
      <c r="K2829"/>
      <c r="L2829"/>
      <c r="M2829" s="17"/>
      <c r="N2829"/>
      <c r="O2829"/>
      <c r="P2829" s="34"/>
    </row>
    <row r="2830" spans="1:16" x14ac:dyDescent="0.25">
      <c r="A2830" s="14"/>
      <c r="B2830"/>
      <c r="C2830" s="15"/>
      <c r="D2830"/>
      <c r="E2830"/>
      <c r="F2830" s="16"/>
      <c r="G2830"/>
      <c r="H2830"/>
      <c r="I2830" s="16"/>
      <c r="J2830"/>
      <c r="K2830"/>
      <c r="L2830"/>
      <c r="M2830" s="17"/>
      <c r="N2830"/>
      <c r="O2830"/>
      <c r="P2830" s="34"/>
    </row>
    <row r="2831" spans="1:16" x14ac:dyDescent="0.25">
      <c r="A2831" s="14"/>
      <c r="B2831"/>
      <c r="C2831" s="15"/>
      <c r="D2831"/>
      <c r="E2831"/>
      <c r="F2831" s="16"/>
      <c r="G2831"/>
      <c r="H2831"/>
      <c r="I2831" s="16"/>
      <c r="J2831"/>
      <c r="K2831"/>
      <c r="L2831"/>
      <c r="M2831" s="17"/>
      <c r="N2831"/>
      <c r="O2831"/>
      <c r="P2831" s="34"/>
    </row>
    <row r="2832" spans="1:16" x14ac:dyDescent="0.25">
      <c r="A2832" s="14"/>
      <c r="B2832"/>
      <c r="C2832" s="15"/>
      <c r="D2832"/>
      <c r="E2832"/>
      <c r="F2832" s="16"/>
      <c r="G2832"/>
      <c r="H2832"/>
      <c r="I2832" s="16"/>
      <c r="J2832"/>
      <c r="K2832"/>
      <c r="L2832"/>
      <c r="M2832" s="17"/>
      <c r="N2832"/>
      <c r="O2832"/>
      <c r="P2832" s="34"/>
    </row>
    <row r="2833" spans="1:16" x14ac:dyDescent="0.25">
      <c r="A2833" s="14"/>
      <c r="B2833"/>
      <c r="C2833" s="15"/>
      <c r="D2833"/>
      <c r="E2833"/>
      <c r="F2833" s="16"/>
      <c r="G2833"/>
      <c r="H2833"/>
      <c r="I2833" s="16"/>
      <c r="J2833"/>
      <c r="K2833"/>
      <c r="L2833"/>
      <c r="M2833" s="17"/>
      <c r="N2833"/>
      <c r="O2833"/>
      <c r="P2833" s="34"/>
    </row>
    <row r="2834" spans="1:16" x14ac:dyDescent="0.25">
      <c r="A2834" s="14"/>
      <c r="B2834"/>
      <c r="C2834" s="15"/>
      <c r="D2834"/>
      <c r="E2834"/>
      <c r="F2834" s="16"/>
      <c r="G2834"/>
      <c r="H2834"/>
      <c r="I2834" s="16"/>
      <c r="J2834"/>
      <c r="K2834"/>
      <c r="L2834"/>
      <c r="M2834" s="17"/>
      <c r="N2834"/>
      <c r="O2834"/>
      <c r="P2834" s="34"/>
    </row>
    <row r="2835" spans="1:16" x14ac:dyDescent="0.25">
      <c r="A2835" s="14"/>
      <c r="B2835"/>
      <c r="C2835" s="15"/>
      <c r="D2835"/>
      <c r="E2835"/>
      <c r="F2835" s="16"/>
      <c r="G2835"/>
      <c r="H2835"/>
      <c r="I2835" s="16"/>
      <c r="J2835"/>
      <c r="K2835"/>
      <c r="L2835"/>
      <c r="M2835" s="17"/>
      <c r="N2835"/>
      <c r="O2835"/>
      <c r="P2835" s="34"/>
    </row>
    <row r="2836" spans="1:16" x14ac:dyDescent="0.25">
      <c r="A2836" s="14"/>
      <c r="B2836"/>
      <c r="C2836" s="15"/>
      <c r="D2836"/>
      <c r="E2836"/>
      <c r="F2836" s="16"/>
      <c r="G2836"/>
      <c r="H2836"/>
      <c r="I2836" s="16"/>
      <c r="J2836"/>
      <c r="K2836"/>
      <c r="L2836"/>
      <c r="M2836" s="17"/>
      <c r="N2836"/>
      <c r="O2836"/>
      <c r="P2836" s="34"/>
    </row>
    <row r="2837" spans="1:16" x14ac:dyDescent="0.25">
      <c r="A2837" s="14"/>
      <c r="B2837"/>
      <c r="C2837" s="15"/>
      <c r="D2837"/>
      <c r="E2837"/>
      <c r="F2837" s="16"/>
      <c r="G2837"/>
      <c r="H2837"/>
      <c r="I2837" s="16"/>
      <c r="J2837"/>
      <c r="K2837"/>
      <c r="L2837"/>
      <c r="M2837" s="17"/>
      <c r="N2837"/>
      <c r="O2837"/>
      <c r="P2837" s="34"/>
    </row>
    <row r="2838" spans="1:16" x14ac:dyDescent="0.25">
      <c r="A2838" s="14"/>
      <c r="B2838"/>
      <c r="C2838" s="15"/>
      <c r="D2838"/>
      <c r="E2838"/>
      <c r="F2838" s="16"/>
      <c r="G2838"/>
      <c r="H2838"/>
      <c r="I2838" s="16"/>
      <c r="J2838"/>
      <c r="K2838"/>
      <c r="L2838"/>
      <c r="M2838" s="17"/>
      <c r="N2838"/>
      <c r="O2838"/>
      <c r="P2838" s="34"/>
    </row>
    <row r="2839" spans="1:16" x14ac:dyDescent="0.25">
      <c r="A2839" s="14"/>
      <c r="B2839"/>
      <c r="C2839" s="15"/>
      <c r="D2839"/>
      <c r="E2839"/>
      <c r="F2839" s="16"/>
      <c r="G2839"/>
      <c r="H2839"/>
      <c r="I2839" s="16"/>
      <c r="J2839"/>
      <c r="K2839"/>
      <c r="L2839"/>
      <c r="M2839" s="17"/>
      <c r="N2839"/>
      <c r="O2839"/>
      <c r="P2839" s="34"/>
    </row>
    <row r="2840" spans="1:16" x14ac:dyDescent="0.25">
      <c r="A2840" s="14"/>
      <c r="B2840"/>
      <c r="C2840" s="15"/>
      <c r="D2840"/>
      <c r="E2840"/>
      <c r="F2840" s="16"/>
      <c r="G2840"/>
      <c r="H2840"/>
      <c r="I2840" s="16"/>
      <c r="J2840"/>
      <c r="K2840"/>
      <c r="L2840"/>
      <c r="M2840" s="17"/>
      <c r="N2840"/>
      <c r="O2840"/>
      <c r="P2840" s="34"/>
    </row>
    <row r="2841" spans="1:16" x14ac:dyDescent="0.25">
      <c r="A2841" s="14"/>
      <c r="B2841"/>
      <c r="C2841" s="15"/>
      <c r="D2841"/>
      <c r="E2841"/>
      <c r="F2841" s="16"/>
      <c r="G2841"/>
      <c r="H2841"/>
      <c r="I2841" s="16"/>
      <c r="J2841"/>
      <c r="K2841"/>
      <c r="L2841"/>
      <c r="M2841" s="17"/>
      <c r="N2841"/>
      <c r="O2841"/>
      <c r="P2841" s="34"/>
    </row>
    <row r="2842" spans="1:16" x14ac:dyDescent="0.25">
      <c r="A2842" s="14"/>
      <c r="B2842"/>
      <c r="C2842" s="15"/>
      <c r="D2842"/>
      <c r="E2842"/>
      <c r="F2842" s="16"/>
      <c r="G2842"/>
      <c r="H2842"/>
      <c r="I2842" s="16"/>
      <c r="J2842"/>
      <c r="K2842"/>
      <c r="L2842"/>
      <c r="M2842" s="17"/>
      <c r="N2842"/>
      <c r="O2842"/>
      <c r="P2842" s="34"/>
    </row>
    <row r="2843" spans="1:16" x14ac:dyDescent="0.25">
      <c r="A2843" s="14"/>
      <c r="B2843"/>
      <c r="C2843" s="15"/>
      <c r="D2843"/>
      <c r="E2843"/>
      <c r="F2843" s="16"/>
      <c r="G2843"/>
      <c r="H2843"/>
      <c r="I2843" s="16"/>
      <c r="J2843"/>
      <c r="K2843"/>
      <c r="L2843"/>
      <c r="M2843" s="17"/>
      <c r="N2843"/>
      <c r="O2843"/>
      <c r="P2843" s="34"/>
    </row>
    <row r="2844" spans="1:16" x14ac:dyDescent="0.25">
      <c r="A2844" s="14"/>
      <c r="B2844"/>
      <c r="C2844" s="15"/>
      <c r="D2844"/>
      <c r="E2844"/>
      <c r="F2844" s="16"/>
      <c r="G2844"/>
      <c r="H2844"/>
      <c r="I2844" s="16"/>
      <c r="J2844"/>
      <c r="K2844"/>
      <c r="L2844"/>
      <c r="M2844" s="17"/>
      <c r="N2844"/>
      <c r="O2844"/>
      <c r="P2844" s="34"/>
    </row>
    <row r="2845" spans="1:16" x14ac:dyDescent="0.25">
      <c r="A2845" s="14"/>
      <c r="B2845"/>
      <c r="C2845" s="15"/>
      <c r="D2845"/>
      <c r="E2845"/>
      <c r="F2845" s="16"/>
      <c r="G2845"/>
      <c r="H2845"/>
      <c r="I2845" s="16"/>
      <c r="J2845"/>
      <c r="K2845"/>
      <c r="L2845"/>
      <c r="M2845" s="17"/>
      <c r="N2845"/>
      <c r="O2845"/>
      <c r="P2845" s="34"/>
    </row>
    <row r="2846" spans="1:16" x14ac:dyDescent="0.25">
      <c r="A2846" s="14"/>
      <c r="B2846"/>
      <c r="C2846" s="15"/>
      <c r="D2846"/>
      <c r="E2846"/>
      <c r="F2846" s="16"/>
      <c r="G2846"/>
      <c r="H2846"/>
      <c r="I2846" s="16"/>
      <c r="J2846"/>
      <c r="K2846"/>
      <c r="L2846"/>
      <c r="M2846" s="17"/>
      <c r="N2846"/>
      <c r="O2846"/>
      <c r="P2846" s="34"/>
    </row>
    <row r="2847" spans="1:16" x14ac:dyDescent="0.25">
      <c r="A2847" s="14"/>
      <c r="B2847"/>
      <c r="C2847" s="15"/>
      <c r="D2847"/>
      <c r="E2847"/>
      <c r="F2847" s="16"/>
      <c r="G2847"/>
      <c r="H2847"/>
      <c r="I2847" s="16"/>
      <c r="J2847"/>
      <c r="K2847"/>
      <c r="L2847"/>
      <c r="M2847" s="17"/>
      <c r="N2847"/>
      <c r="O2847"/>
      <c r="P2847" s="34"/>
    </row>
    <row r="2848" spans="1:16" x14ac:dyDescent="0.25">
      <c r="A2848" s="14"/>
      <c r="B2848"/>
      <c r="C2848" s="15"/>
      <c r="D2848"/>
      <c r="E2848"/>
      <c r="F2848" s="16"/>
      <c r="G2848"/>
      <c r="H2848"/>
      <c r="I2848" s="16"/>
      <c r="J2848"/>
      <c r="K2848"/>
      <c r="L2848"/>
      <c r="M2848" s="17"/>
      <c r="N2848"/>
      <c r="O2848"/>
      <c r="P2848" s="34"/>
    </row>
    <row r="2849" spans="1:16" x14ac:dyDescent="0.25">
      <c r="A2849" s="14"/>
      <c r="B2849"/>
      <c r="C2849" s="15"/>
      <c r="D2849"/>
      <c r="E2849"/>
      <c r="F2849" s="16"/>
      <c r="G2849"/>
      <c r="H2849"/>
      <c r="I2849" s="16"/>
      <c r="J2849"/>
      <c r="K2849"/>
      <c r="L2849"/>
      <c r="M2849" s="17"/>
      <c r="N2849"/>
      <c r="O2849"/>
      <c r="P2849" s="34"/>
    </row>
    <row r="2850" spans="1:16" x14ac:dyDescent="0.25">
      <c r="A2850" s="14"/>
      <c r="B2850"/>
      <c r="C2850" s="15"/>
      <c r="D2850"/>
      <c r="E2850"/>
      <c r="F2850" s="16"/>
      <c r="G2850"/>
      <c r="H2850"/>
      <c r="I2850" s="16"/>
      <c r="J2850"/>
      <c r="K2850"/>
      <c r="L2850"/>
      <c r="M2850" s="17"/>
      <c r="N2850"/>
      <c r="O2850"/>
      <c r="P2850" s="34"/>
    </row>
    <row r="2851" spans="1:16" x14ac:dyDescent="0.25">
      <c r="A2851" s="14"/>
      <c r="B2851"/>
      <c r="C2851" s="15"/>
      <c r="D2851"/>
      <c r="E2851"/>
      <c r="F2851" s="16"/>
      <c r="G2851"/>
      <c r="H2851"/>
      <c r="I2851" s="16"/>
      <c r="J2851"/>
      <c r="K2851"/>
      <c r="L2851"/>
      <c r="M2851" s="17"/>
      <c r="N2851"/>
      <c r="O2851"/>
      <c r="P2851" s="34"/>
    </row>
    <row r="2852" spans="1:16" x14ac:dyDescent="0.25">
      <c r="A2852" s="14"/>
      <c r="B2852"/>
      <c r="C2852" s="15"/>
      <c r="D2852"/>
      <c r="E2852"/>
      <c r="F2852" s="16"/>
      <c r="G2852"/>
      <c r="H2852"/>
      <c r="I2852" s="16"/>
      <c r="J2852"/>
      <c r="K2852"/>
      <c r="L2852"/>
      <c r="M2852" s="17"/>
      <c r="N2852"/>
      <c r="O2852"/>
      <c r="P2852" s="34"/>
    </row>
    <row r="2853" spans="1:16" x14ac:dyDescent="0.25">
      <c r="A2853" s="14"/>
      <c r="B2853"/>
      <c r="C2853" s="15"/>
      <c r="D2853"/>
      <c r="E2853"/>
      <c r="F2853" s="16"/>
      <c r="G2853"/>
      <c r="H2853"/>
      <c r="I2853" s="16"/>
      <c r="J2853"/>
      <c r="K2853"/>
      <c r="L2853"/>
      <c r="M2853" s="17"/>
      <c r="N2853"/>
      <c r="O2853"/>
      <c r="P2853" s="34"/>
    </row>
    <row r="2854" spans="1:16" x14ac:dyDescent="0.25">
      <c r="A2854" s="14"/>
      <c r="B2854"/>
      <c r="C2854" s="15"/>
      <c r="D2854"/>
      <c r="E2854"/>
      <c r="F2854" s="16"/>
      <c r="G2854"/>
      <c r="H2854"/>
      <c r="I2854" s="16"/>
      <c r="J2854"/>
      <c r="K2854"/>
      <c r="L2854"/>
      <c r="M2854" s="17"/>
      <c r="N2854"/>
      <c r="O2854"/>
      <c r="P2854" s="34"/>
    </row>
    <row r="2855" spans="1:16" x14ac:dyDescent="0.25">
      <c r="A2855" s="14"/>
      <c r="B2855"/>
      <c r="C2855" s="15"/>
      <c r="D2855"/>
      <c r="E2855"/>
      <c r="F2855" s="16"/>
      <c r="G2855"/>
      <c r="H2855"/>
      <c r="I2855" s="16"/>
      <c r="J2855"/>
      <c r="K2855"/>
      <c r="L2855"/>
      <c r="M2855" s="17"/>
      <c r="N2855"/>
      <c r="O2855"/>
      <c r="P2855" s="34"/>
    </row>
    <row r="2856" spans="1:16" x14ac:dyDescent="0.25">
      <c r="A2856" s="14"/>
      <c r="B2856"/>
      <c r="C2856" s="15"/>
      <c r="D2856"/>
      <c r="E2856"/>
      <c r="F2856" s="16"/>
      <c r="G2856"/>
      <c r="H2856"/>
      <c r="I2856" s="16"/>
      <c r="J2856"/>
      <c r="K2856"/>
      <c r="L2856"/>
      <c r="M2856" s="17"/>
      <c r="N2856"/>
      <c r="O2856"/>
      <c r="P2856" s="34"/>
    </row>
    <row r="2857" spans="1:16" x14ac:dyDescent="0.25">
      <c r="A2857" s="14"/>
      <c r="B2857"/>
      <c r="C2857" s="15"/>
      <c r="D2857"/>
      <c r="E2857"/>
      <c r="F2857" s="16"/>
      <c r="G2857"/>
      <c r="H2857"/>
      <c r="I2857" s="16"/>
      <c r="J2857"/>
      <c r="K2857"/>
      <c r="L2857"/>
      <c r="M2857" s="17"/>
      <c r="N2857"/>
      <c r="O2857"/>
      <c r="P2857" s="34"/>
    </row>
    <row r="2858" spans="1:16" x14ac:dyDescent="0.25">
      <c r="A2858" s="14"/>
      <c r="B2858"/>
      <c r="C2858" s="15"/>
      <c r="D2858"/>
      <c r="E2858"/>
      <c r="F2858" s="16"/>
      <c r="G2858"/>
      <c r="H2858"/>
      <c r="I2858" s="16"/>
      <c r="J2858"/>
      <c r="K2858"/>
      <c r="L2858"/>
      <c r="M2858" s="17"/>
      <c r="N2858"/>
      <c r="O2858"/>
      <c r="P2858" s="34"/>
    </row>
    <row r="2859" spans="1:16" x14ac:dyDescent="0.25">
      <c r="A2859" s="14"/>
      <c r="B2859"/>
      <c r="C2859" s="15"/>
      <c r="D2859"/>
      <c r="E2859"/>
      <c r="F2859" s="16"/>
      <c r="G2859"/>
      <c r="H2859"/>
      <c r="I2859" s="16"/>
      <c r="J2859"/>
      <c r="K2859"/>
      <c r="L2859"/>
      <c r="M2859" s="17"/>
      <c r="N2859"/>
      <c r="O2859"/>
      <c r="P2859" s="34"/>
    </row>
    <row r="2860" spans="1:16" x14ac:dyDescent="0.25">
      <c r="A2860" s="14"/>
      <c r="B2860"/>
      <c r="C2860" s="15"/>
      <c r="D2860"/>
      <c r="E2860"/>
      <c r="F2860" s="16"/>
      <c r="G2860"/>
      <c r="H2860"/>
      <c r="I2860" s="16"/>
      <c r="J2860"/>
      <c r="K2860"/>
      <c r="L2860"/>
      <c r="M2860" s="17"/>
      <c r="N2860"/>
      <c r="O2860"/>
      <c r="P2860" s="34"/>
    </row>
    <row r="2861" spans="1:16" x14ac:dyDescent="0.25">
      <c r="A2861" s="14"/>
      <c r="B2861"/>
      <c r="C2861" s="15"/>
      <c r="D2861"/>
      <c r="E2861"/>
      <c r="F2861" s="16"/>
      <c r="G2861"/>
      <c r="H2861"/>
      <c r="I2861" s="16"/>
      <c r="J2861"/>
      <c r="K2861"/>
      <c r="L2861"/>
      <c r="M2861" s="17"/>
      <c r="N2861"/>
      <c r="O2861"/>
      <c r="P2861" s="34"/>
    </row>
    <row r="2862" spans="1:16" x14ac:dyDescent="0.25">
      <c r="A2862" s="14"/>
      <c r="B2862"/>
      <c r="C2862" s="15"/>
      <c r="D2862"/>
      <c r="E2862"/>
      <c r="F2862" s="16"/>
      <c r="G2862"/>
      <c r="H2862"/>
      <c r="I2862" s="16"/>
      <c r="J2862"/>
      <c r="K2862"/>
      <c r="L2862"/>
      <c r="M2862" s="17"/>
      <c r="N2862"/>
      <c r="O2862"/>
      <c r="P2862" s="34"/>
    </row>
    <row r="2863" spans="1:16" x14ac:dyDescent="0.25">
      <c r="A2863" s="14"/>
      <c r="B2863"/>
      <c r="C2863" s="15"/>
      <c r="D2863"/>
      <c r="E2863"/>
      <c r="F2863" s="16"/>
      <c r="G2863"/>
      <c r="H2863"/>
      <c r="I2863" s="16"/>
      <c r="J2863"/>
      <c r="K2863"/>
      <c r="L2863"/>
      <c r="M2863" s="17"/>
      <c r="N2863"/>
      <c r="O2863"/>
      <c r="P2863" s="34"/>
    </row>
    <row r="2864" spans="1:16" x14ac:dyDescent="0.25">
      <c r="A2864" s="14"/>
      <c r="B2864"/>
      <c r="C2864" s="15"/>
      <c r="D2864"/>
      <c r="E2864"/>
      <c r="F2864" s="16"/>
      <c r="G2864"/>
      <c r="H2864"/>
      <c r="I2864" s="16"/>
      <c r="J2864"/>
      <c r="K2864"/>
      <c r="L2864"/>
      <c r="M2864" s="17"/>
      <c r="N2864"/>
      <c r="O2864"/>
      <c r="P2864" s="34"/>
    </row>
    <row r="2865" spans="1:16" x14ac:dyDescent="0.25">
      <c r="A2865" s="14"/>
      <c r="B2865"/>
      <c r="C2865" s="15"/>
      <c r="D2865"/>
      <c r="E2865"/>
      <c r="F2865" s="16"/>
      <c r="G2865"/>
      <c r="H2865"/>
      <c r="I2865" s="16"/>
      <c r="J2865"/>
      <c r="K2865"/>
      <c r="L2865"/>
      <c r="M2865" s="17"/>
      <c r="N2865"/>
      <c r="O2865"/>
      <c r="P2865" s="34"/>
    </row>
    <row r="2866" spans="1:16" x14ac:dyDescent="0.25">
      <c r="A2866" s="14"/>
      <c r="B2866"/>
      <c r="C2866" s="15"/>
      <c r="D2866"/>
      <c r="E2866"/>
      <c r="F2866" s="16"/>
      <c r="G2866"/>
      <c r="H2866"/>
      <c r="I2866" s="16"/>
      <c r="J2866"/>
      <c r="K2866"/>
      <c r="L2866"/>
      <c r="M2866" s="17"/>
      <c r="N2866"/>
      <c r="O2866"/>
      <c r="P2866" s="34"/>
    </row>
    <row r="2867" spans="1:16" x14ac:dyDescent="0.25">
      <c r="A2867" s="14"/>
      <c r="B2867"/>
      <c r="C2867" s="15"/>
      <c r="D2867"/>
      <c r="E2867"/>
      <c r="F2867" s="16"/>
      <c r="G2867"/>
      <c r="H2867"/>
      <c r="I2867" s="16"/>
      <c r="J2867"/>
      <c r="K2867"/>
      <c r="L2867"/>
      <c r="M2867" s="17"/>
      <c r="N2867"/>
      <c r="O2867"/>
      <c r="P2867" s="34"/>
    </row>
    <row r="2868" spans="1:16" x14ac:dyDescent="0.25">
      <c r="A2868" s="14"/>
      <c r="B2868"/>
      <c r="C2868" s="15"/>
      <c r="D2868"/>
      <c r="E2868"/>
      <c r="F2868" s="16"/>
      <c r="G2868"/>
      <c r="H2868"/>
      <c r="I2868" s="16"/>
      <c r="J2868"/>
      <c r="K2868"/>
      <c r="L2868"/>
      <c r="M2868" s="17"/>
      <c r="N2868"/>
      <c r="O2868"/>
      <c r="P2868" s="34"/>
    </row>
    <row r="2869" spans="1:16" x14ac:dyDescent="0.25">
      <c r="A2869" s="14"/>
      <c r="B2869"/>
      <c r="C2869" s="15"/>
      <c r="D2869"/>
      <c r="E2869"/>
      <c r="F2869" s="16"/>
      <c r="G2869"/>
      <c r="H2869"/>
      <c r="I2869" s="16"/>
      <c r="J2869"/>
      <c r="K2869"/>
      <c r="L2869"/>
      <c r="M2869" s="17"/>
      <c r="N2869"/>
      <c r="O2869"/>
      <c r="P2869" s="34"/>
    </row>
    <row r="2870" spans="1:16" x14ac:dyDescent="0.25">
      <c r="A2870" s="14"/>
      <c r="B2870"/>
      <c r="C2870" s="15"/>
      <c r="D2870"/>
      <c r="E2870"/>
      <c r="F2870" s="16"/>
      <c r="G2870"/>
      <c r="H2870"/>
      <c r="I2870" s="16"/>
      <c r="J2870"/>
      <c r="K2870"/>
      <c r="L2870"/>
      <c r="M2870" s="17"/>
      <c r="N2870"/>
      <c r="O2870"/>
      <c r="P2870" s="34"/>
    </row>
    <row r="2871" spans="1:16" x14ac:dyDescent="0.25">
      <c r="A2871" s="14"/>
      <c r="B2871"/>
      <c r="C2871" s="15"/>
      <c r="D2871"/>
      <c r="E2871"/>
      <c r="F2871" s="16"/>
      <c r="G2871"/>
      <c r="H2871"/>
      <c r="I2871" s="16"/>
      <c r="J2871"/>
      <c r="K2871"/>
      <c r="L2871"/>
      <c r="M2871" s="17"/>
      <c r="N2871"/>
      <c r="O2871"/>
      <c r="P2871" s="34"/>
    </row>
    <row r="2872" spans="1:16" x14ac:dyDescent="0.25">
      <c r="A2872" s="14"/>
      <c r="B2872"/>
      <c r="C2872" s="15"/>
      <c r="D2872"/>
      <c r="E2872"/>
      <c r="F2872" s="16"/>
      <c r="G2872"/>
      <c r="H2872"/>
      <c r="I2872" s="16"/>
      <c r="J2872"/>
      <c r="K2872"/>
      <c r="L2872"/>
      <c r="M2872" s="17"/>
      <c r="N2872"/>
      <c r="O2872"/>
      <c r="P2872" s="34"/>
    </row>
    <row r="2873" spans="1:16" x14ac:dyDescent="0.25">
      <c r="A2873" s="14"/>
      <c r="B2873"/>
      <c r="C2873" s="15"/>
      <c r="D2873"/>
      <c r="E2873"/>
      <c r="F2873" s="16"/>
      <c r="G2873"/>
      <c r="H2873"/>
      <c r="I2873" s="16"/>
      <c r="J2873"/>
      <c r="K2873"/>
      <c r="L2873"/>
      <c r="M2873" s="17"/>
      <c r="N2873"/>
      <c r="O2873"/>
      <c r="P2873" s="34"/>
    </row>
    <row r="2874" spans="1:16" x14ac:dyDescent="0.25">
      <c r="A2874" s="14"/>
      <c r="B2874"/>
      <c r="C2874" s="15"/>
      <c r="D2874"/>
      <c r="E2874"/>
      <c r="F2874" s="16"/>
      <c r="G2874"/>
      <c r="H2874"/>
      <c r="I2874" s="16"/>
      <c r="J2874"/>
      <c r="K2874"/>
      <c r="L2874"/>
      <c r="M2874" s="17"/>
      <c r="N2874"/>
      <c r="O2874"/>
      <c r="P2874" s="34"/>
    </row>
    <row r="2875" spans="1:16" x14ac:dyDescent="0.25">
      <c r="A2875" s="14"/>
      <c r="B2875"/>
      <c r="C2875" s="15"/>
      <c r="D2875"/>
      <c r="E2875"/>
      <c r="F2875" s="16"/>
      <c r="G2875"/>
      <c r="H2875"/>
      <c r="I2875" s="16"/>
      <c r="J2875"/>
      <c r="K2875"/>
      <c r="L2875"/>
      <c r="M2875" s="17"/>
      <c r="N2875"/>
      <c r="O2875"/>
      <c r="P2875" s="34"/>
    </row>
    <row r="2876" spans="1:16" x14ac:dyDescent="0.25">
      <c r="A2876" s="14"/>
      <c r="B2876"/>
      <c r="C2876" s="15"/>
      <c r="D2876"/>
      <c r="E2876"/>
      <c r="F2876" s="16"/>
      <c r="G2876"/>
      <c r="H2876"/>
      <c r="I2876" s="16"/>
      <c r="J2876"/>
      <c r="K2876"/>
      <c r="L2876"/>
      <c r="M2876" s="17"/>
      <c r="N2876"/>
      <c r="O2876"/>
      <c r="P2876" s="34"/>
    </row>
    <row r="2877" spans="1:16" x14ac:dyDescent="0.25">
      <c r="A2877" s="14"/>
      <c r="B2877"/>
      <c r="C2877" s="15"/>
      <c r="D2877"/>
      <c r="E2877"/>
      <c r="F2877" s="16"/>
      <c r="G2877"/>
      <c r="H2877"/>
      <c r="I2877" s="16"/>
      <c r="J2877"/>
      <c r="K2877"/>
      <c r="L2877"/>
      <c r="M2877" s="17"/>
      <c r="N2877"/>
      <c r="O2877"/>
      <c r="P2877" s="34"/>
    </row>
    <row r="2878" spans="1:16" x14ac:dyDescent="0.25">
      <c r="A2878" s="14"/>
      <c r="B2878"/>
      <c r="C2878" s="15"/>
      <c r="D2878"/>
      <c r="E2878"/>
      <c r="F2878" s="16"/>
      <c r="G2878"/>
      <c r="H2878"/>
      <c r="I2878" s="16"/>
      <c r="J2878"/>
      <c r="K2878"/>
      <c r="L2878"/>
      <c r="M2878" s="17"/>
      <c r="N2878"/>
      <c r="O2878"/>
      <c r="P2878" s="34"/>
    </row>
    <row r="2879" spans="1:16" x14ac:dyDescent="0.25">
      <c r="A2879" s="14"/>
      <c r="B2879"/>
      <c r="C2879" s="15"/>
      <c r="D2879"/>
      <c r="E2879"/>
      <c r="F2879" s="16"/>
      <c r="G2879"/>
      <c r="H2879"/>
      <c r="I2879" s="16"/>
      <c r="J2879"/>
      <c r="K2879"/>
      <c r="L2879"/>
      <c r="M2879" s="17"/>
      <c r="N2879"/>
      <c r="O2879"/>
      <c r="P2879" s="34"/>
    </row>
    <row r="2880" spans="1:16" x14ac:dyDescent="0.25">
      <c r="A2880" s="14"/>
      <c r="B2880"/>
      <c r="C2880" s="15"/>
      <c r="D2880"/>
      <c r="E2880"/>
      <c r="F2880" s="16"/>
      <c r="G2880"/>
      <c r="H2880"/>
      <c r="I2880" s="16"/>
      <c r="J2880"/>
      <c r="K2880"/>
      <c r="L2880"/>
      <c r="M2880" s="17"/>
      <c r="N2880"/>
      <c r="O2880"/>
      <c r="P2880" s="34"/>
    </row>
    <row r="2881" spans="1:16" x14ac:dyDescent="0.25">
      <c r="A2881" s="14"/>
      <c r="B2881"/>
      <c r="C2881" s="15"/>
      <c r="D2881"/>
      <c r="E2881"/>
      <c r="F2881" s="16"/>
      <c r="G2881"/>
      <c r="H2881"/>
      <c r="I2881" s="16"/>
      <c r="J2881"/>
      <c r="K2881"/>
      <c r="L2881"/>
      <c r="M2881" s="17"/>
      <c r="N2881"/>
      <c r="O2881"/>
      <c r="P2881" s="34"/>
    </row>
    <row r="2882" spans="1:16" x14ac:dyDescent="0.25">
      <c r="A2882" s="14"/>
      <c r="B2882"/>
      <c r="C2882" s="15"/>
      <c r="D2882"/>
      <c r="E2882"/>
      <c r="F2882" s="16"/>
      <c r="G2882"/>
      <c r="H2882"/>
      <c r="I2882" s="16"/>
      <c r="J2882"/>
      <c r="K2882"/>
      <c r="L2882"/>
      <c r="M2882" s="17"/>
      <c r="N2882"/>
      <c r="O2882"/>
      <c r="P2882" s="34"/>
    </row>
    <row r="2883" spans="1:16" x14ac:dyDescent="0.25">
      <c r="A2883" s="14"/>
      <c r="B2883"/>
      <c r="C2883" s="15"/>
      <c r="D2883"/>
      <c r="E2883"/>
      <c r="F2883" s="16"/>
      <c r="G2883"/>
      <c r="H2883"/>
      <c r="I2883" s="16"/>
      <c r="J2883"/>
      <c r="K2883"/>
      <c r="L2883"/>
      <c r="M2883" s="17"/>
      <c r="N2883"/>
      <c r="O2883"/>
      <c r="P2883" s="34"/>
    </row>
    <row r="2884" spans="1:16" x14ac:dyDescent="0.25">
      <c r="A2884" s="14"/>
      <c r="B2884"/>
      <c r="C2884" s="15"/>
      <c r="D2884"/>
      <c r="E2884"/>
      <c r="F2884" s="16"/>
      <c r="G2884"/>
      <c r="H2884"/>
      <c r="I2884" s="16"/>
      <c r="J2884"/>
      <c r="K2884"/>
      <c r="L2884"/>
      <c r="M2884" s="17"/>
      <c r="N2884"/>
      <c r="O2884"/>
      <c r="P2884" s="34"/>
    </row>
    <row r="2885" spans="1:16" x14ac:dyDescent="0.25">
      <c r="A2885" s="14"/>
      <c r="B2885"/>
      <c r="C2885" s="15"/>
      <c r="D2885"/>
      <c r="E2885"/>
      <c r="F2885" s="16"/>
      <c r="G2885"/>
      <c r="H2885"/>
      <c r="I2885" s="16"/>
      <c r="J2885"/>
      <c r="K2885"/>
      <c r="L2885"/>
      <c r="M2885" s="17"/>
      <c r="N2885"/>
      <c r="O2885"/>
      <c r="P2885" s="34"/>
    </row>
    <row r="2886" spans="1:16" x14ac:dyDescent="0.25">
      <c r="A2886" s="14"/>
      <c r="B2886"/>
      <c r="C2886" s="15"/>
      <c r="D2886"/>
      <c r="E2886"/>
      <c r="F2886" s="16"/>
      <c r="G2886"/>
      <c r="H2886"/>
      <c r="I2886" s="16"/>
      <c r="J2886"/>
      <c r="K2886"/>
      <c r="L2886"/>
      <c r="M2886" s="17"/>
      <c r="N2886"/>
      <c r="O2886"/>
      <c r="P2886" s="34"/>
    </row>
    <row r="2887" spans="1:16" x14ac:dyDescent="0.25">
      <c r="A2887" s="14"/>
      <c r="B2887"/>
      <c r="C2887" s="15"/>
      <c r="D2887"/>
      <c r="E2887"/>
      <c r="F2887" s="16"/>
      <c r="G2887"/>
      <c r="H2887"/>
      <c r="I2887" s="16"/>
      <c r="J2887"/>
      <c r="K2887"/>
      <c r="L2887"/>
      <c r="M2887" s="17"/>
      <c r="N2887"/>
      <c r="O2887"/>
      <c r="P2887" s="34"/>
    </row>
    <row r="2888" spans="1:16" x14ac:dyDescent="0.25">
      <c r="A2888" s="14"/>
      <c r="B2888"/>
      <c r="C2888" s="15"/>
      <c r="D2888"/>
      <c r="E2888"/>
      <c r="F2888" s="16"/>
      <c r="G2888"/>
      <c r="H2888"/>
      <c r="I2888" s="16"/>
      <c r="J2888"/>
      <c r="K2888"/>
      <c r="L2888"/>
      <c r="M2888" s="17"/>
      <c r="N2888"/>
      <c r="O2888"/>
      <c r="P2888" s="34"/>
    </row>
    <row r="2889" spans="1:16" x14ac:dyDescent="0.25">
      <c r="A2889" s="14"/>
      <c r="B2889"/>
      <c r="C2889" s="15"/>
      <c r="D2889"/>
      <c r="E2889"/>
      <c r="F2889" s="16"/>
      <c r="G2889"/>
      <c r="H2889"/>
      <c r="I2889" s="16"/>
      <c r="J2889"/>
      <c r="K2889"/>
      <c r="L2889"/>
      <c r="M2889" s="17"/>
      <c r="N2889"/>
      <c r="O2889"/>
      <c r="P2889" s="34"/>
    </row>
    <row r="2890" spans="1:16" x14ac:dyDescent="0.25">
      <c r="A2890" s="14"/>
      <c r="B2890"/>
      <c r="C2890" s="15"/>
      <c r="D2890"/>
      <c r="E2890"/>
      <c r="F2890" s="16"/>
      <c r="G2890"/>
      <c r="H2890"/>
      <c r="I2890" s="16"/>
      <c r="J2890"/>
      <c r="K2890"/>
      <c r="L2890"/>
      <c r="M2890" s="17"/>
      <c r="N2890"/>
      <c r="O2890"/>
      <c r="P2890" s="34"/>
    </row>
    <row r="2891" spans="1:16" x14ac:dyDescent="0.25">
      <c r="A2891" s="14"/>
      <c r="B2891"/>
      <c r="C2891" s="15"/>
      <c r="D2891"/>
      <c r="E2891"/>
      <c r="F2891" s="16"/>
      <c r="G2891"/>
      <c r="H2891"/>
      <c r="I2891" s="16"/>
      <c r="J2891"/>
      <c r="K2891"/>
      <c r="L2891"/>
      <c r="M2891" s="17"/>
      <c r="N2891"/>
      <c r="O2891"/>
      <c r="P2891" s="34"/>
    </row>
    <row r="2892" spans="1:16" x14ac:dyDescent="0.25">
      <c r="A2892" s="14"/>
      <c r="B2892"/>
      <c r="C2892" s="15"/>
      <c r="D2892"/>
      <c r="E2892"/>
      <c r="F2892" s="16"/>
      <c r="G2892"/>
      <c r="H2892"/>
      <c r="I2892" s="16"/>
      <c r="J2892"/>
      <c r="K2892"/>
      <c r="L2892"/>
      <c r="M2892" s="17"/>
      <c r="N2892"/>
      <c r="O2892"/>
      <c r="P2892" s="34"/>
    </row>
    <row r="2893" spans="1:16" x14ac:dyDescent="0.25">
      <c r="A2893" s="14"/>
      <c r="B2893"/>
      <c r="C2893" s="15"/>
      <c r="D2893"/>
      <c r="E2893"/>
      <c r="F2893" s="16"/>
      <c r="G2893"/>
      <c r="H2893"/>
      <c r="I2893" s="16"/>
      <c r="J2893"/>
      <c r="K2893"/>
      <c r="L2893"/>
      <c r="M2893" s="17"/>
      <c r="N2893"/>
      <c r="O2893"/>
      <c r="P2893" s="34"/>
    </row>
    <row r="2894" spans="1:16" x14ac:dyDescent="0.25">
      <c r="A2894" s="14"/>
      <c r="B2894"/>
      <c r="C2894" s="15"/>
      <c r="D2894"/>
      <c r="E2894"/>
      <c r="F2894" s="16"/>
      <c r="G2894"/>
      <c r="H2894"/>
      <c r="I2894" s="16"/>
      <c r="J2894"/>
      <c r="K2894"/>
      <c r="L2894"/>
      <c r="M2894" s="17"/>
      <c r="N2894"/>
      <c r="O2894"/>
      <c r="P2894" s="34"/>
    </row>
    <row r="2895" spans="1:16" x14ac:dyDescent="0.25">
      <c r="A2895" s="14"/>
      <c r="B2895"/>
      <c r="C2895" s="15"/>
      <c r="D2895"/>
      <c r="E2895"/>
      <c r="F2895" s="16"/>
      <c r="G2895"/>
      <c r="H2895"/>
      <c r="I2895" s="16"/>
      <c r="J2895"/>
      <c r="K2895"/>
      <c r="L2895"/>
      <c r="M2895" s="17"/>
      <c r="N2895"/>
      <c r="O2895"/>
      <c r="P2895" s="34"/>
    </row>
    <row r="2896" spans="1:16" x14ac:dyDescent="0.25">
      <c r="A2896" s="14"/>
      <c r="B2896"/>
      <c r="C2896" s="15"/>
      <c r="D2896"/>
      <c r="E2896"/>
      <c r="F2896" s="16"/>
      <c r="G2896"/>
      <c r="H2896"/>
      <c r="I2896" s="16"/>
      <c r="J2896"/>
      <c r="K2896"/>
      <c r="L2896"/>
      <c r="M2896" s="17"/>
      <c r="N2896"/>
      <c r="O2896"/>
      <c r="P2896" s="34"/>
    </row>
    <row r="2897" spans="1:16" x14ac:dyDescent="0.25">
      <c r="A2897" s="14"/>
      <c r="B2897"/>
      <c r="C2897" s="15"/>
      <c r="D2897"/>
      <c r="E2897"/>
      <c r="F2897" s="16"/>
      <c r="G2897"/>
      <c r="H2897"/>
      <c r="I2897" s="16"/>
      <c r="J2897"/>
      <c r="K2897"/>
      <c r="L2897"/>
      <c r="M2897" s="17"/>
      <c r="N2897"/>
      <c r="O2897"/>
      <c r="P2897" s="34"/>
    </row>
    <row r="2898" spans="1:16" x14ac:dyDescent="0.25">
      <c r="A2898" s="14"/>
      <c r="B2898"/>
      <c r="C2898" s="15"/>
      <c r="D2898"/>
      <c r="E2898"/>
      <c r="F2898" s="16"/>
      <c r="G2898"/>
      <c r="H2898"/>
      <c r="I2898" s="16"/>
      <c r="J2898"/>
      <c r="K2898"/>
      <c r="L2898"/>
      <c r="M2898" s="17"/>
      <c r="N2898"/>
      <c r="O2898"/>
      <c r="P2898" s="34"/>
    </row>
    <row r="2899" spans="1:16" x14ac:dyDescent="0.25">
      <c r="A2899" s="14"/>
      <c r="B2899"/>
      <c r="C2899" s="15"/>
      <c r="D2899"/>
      <c r="E2899"/>
      <c r="F2899" s="16"/>
      <c r="G2899"/>
      <c r="H2899"/>
      <c r="I2899" s="16"/>
      <c r="J2899"/>
      <c r="K2899"/>
      <c r="L2899"/>
      <c r="M2899" s="17"/>
      <c r="N2899"/>
      <c r="O2899"/>
      <c r="P2899" s="34"/>
    </row>
    <row r="2900" spans="1:16" x14ac:dyDescent="0.25">
      <c r="A2900" s="14"/>
      <c r="B2900"/>
      <c r="C2900" s="15"/>
      <c r="D2900"/>
      <c r="E2900"/>
      <c r="F2900" s="16"/>
      <c r="G2900"/>
      <c r="H2900"/>
      <c r="I2900" s="16"/>
      <c r="J2900"/>
      <c r="K2900"/>
      <c r="L2900"/>
      <c r="M2900" s="17"/>
      <c r="N2900"/>
      <c r="O2900"/>
      <c r="P2900" s="34"/>
    </row>
    <row r="2901" spans="1:16" x14ac:dyDescent="0.25">
      <c r="A2901" s="14"/>
      <c r="B2901"/>
      <c r="C2901" s="15"/>
      <c r="D2901"/>
      <c r="E2901"/>
      <c r="F2901" s="16"/>
      <c r="G2901"/>
      <c r="H2901"/>
      <c r="I2901" s="16"/>
      <c r="J2901"/>
      <c r="K2901"/>
      <c r="L2901"/>
      <c r="M2901" s="17"/>
      <c r="N2901"/>
      <c r="O2901"/>
      <c r="P2901" s="34"/>
    </row>
    <row r="2902" spans="1:16" x14ac:dyDescent="0.25">
      <c r="A2902" s="14"/>
      <c r="B2902"/>
      <c r="C2902" s="15"/>
      <c r="D2902"/>
      <c r="E2902"/>
      <c r="F2902" s="16"/>
      <c r="G2902"/>
      <c r="H2902"/>
      <c r="I2902" s="16"/>
      <c r="J2902"/>
      <c r="K2902"/>
      <c r="L2902"/>
      <c r="M2902" s="17"/>
      <c r="N2902"/>
      <c r="O2902"/>
      <c r="P2902" s="34"/>
    </row>
    <row r="2903" spans="1:16" x14ac:dyDescent="0.25">
      <c r="A2903" s="14"/>
      <c r="B2903"/>
      <c r="C2903" s="15"/>
      <c r="D2903"/>
      <c r="E2903"/>
      <c r="F2903" s="16"/>
      <c r="G2903"/>
      <c r="H2903"/>
      <c r="I2903" s="16"/>
      <c r="J2903"/>
      <c r="K2903"/>
      <c r="L2903"/>
      <c r="M2903" s="17"/>
      <c r="N2903"/>
      <c r="O2903"/>
      <c r="P2903" s="34"/>
    </row>
    <row r="2904" spans="1:16" x14ac:dyDescent="0.25">
      <c r="A2904" s="14"/>
      <c r="B2904"/>
      <c r="C2904" s="15"/>
      <c r="D2904"/>
      <c r="E2904"/>
      <c r="F2904" s="16"/>
      <c r="G2904"/>
      <c r="H2904"/>
      <c r="I2904" s="16"/>
      <c r="J2904"/>
      <c r="K2904"/>
      <c r="L2904"/>
      <c r="M2904" s="17"/>
      <c r="N2904"/>
      <c r="O2904"/>
      <c r="P2904" s="34"/>
    </row>
    <row r="2905" spans="1:16" x14ac:dyDescent="0.25">
      <c r="A2905" s="14"/>
      <c r="B2905"/>
      <c r="C2905" s="15"/>
      <c r="D2905"/>
      <c r="E2905"/>
      <c r="F2905" s="16"/>
      <c r="G2905"/>
      <c r="H2905"/>
      <c r="I2905" s="16"/>
      <c r="J2905"/>
      <c r="K2905"/>
      <c r="L2905"/>
      <c r="M2905" s="17"/>
      <c r="N2905"/>
      <c r="O2905"/>
      <c r="P2905" s="34"/>
    </row>
    <row r="2906" spans="1:16" x14ac:dyDescent="0.25">
      <c r="A2906" s="14"/>
      <c r="B2906"/>
      <c r="C2906" s="15"/>
      <c r="D2906"/>
      <c r="E2906"/>
      <c r="F2906" s="16"/>
      <c r="G2906"/>
      <c r="H2906"/>
      <c r="I2906" s="16"/>
      <c r="J2906"/>
      <c r="K2906"/>
      <c r="L2906"/>
      <c r="M2906" s="17"/>
      <c r="N2906"/>
      <c r="O2906"/>
      <c r="P2906" s="34"/>
    </row>
    <row r="2907" spans="1:16" x14ac:dyDescent="0.25">
      <c r="A2907" s="14"/>
      <c r="B2907"/>
      <c r="C2907" s="15"/>
      <c r="D2907"/>
      <c r="E2907"/>
      <c r="F2907" s="16"/>
      <c r="G2907"/>
      <c r="H2907"/>
      <c r="I2907" s="16"/>
      <c r="J2907"/>
      <c r="K2907"/>
      <c r="L2907"/>
      <c r="M2907" s="17"/>
      <c r="N2907"/>
      <c r="O2907"/>
      <c r="P2907" s="34"/>
    </row>
    <row r="2908" spans="1:16" x14ac:dyDescent="0.25">
      <c r="A2908" s="14"/>
      <c r="B2908"/>
      <c r="C2908" s="15"/>
      <c r="D2908"/>
      <c r="E2908"/>
      <c r="F2908" s="16"/>
      <c r="G2908"/>
      <c r="H2908"/>
      <c r="I2908" s="16"/>
      <c r="J2908"/>
      <c r="K2908"/>
      <c r="L2908"/>
      <c r="M2908" s="17"/>
      <c r="N2908"/>
      <c r="O2908"/>
      <c r="P2908" s="34"/>
    </row>
    <row r="2909" spans="1:16" x14ac:dyDescent="0.25">
      <c r="A2909" s="14"/>
      <c r="B2909"/>
      <c r="C2909" s="15"/>
      <c r="D2909"/>
      <c r="E2909"/>
      <c r="F2909" s="16"/>
      <c r="G2909"/>
      <c r="H2909"/>
      <c r="I2909" s="16"/>
      <c r="J2909"/>
      <c r="K2909"/>
      <c r="L2909"/>
      <c r="M2909" s="17"/>
      <c r="N2909"/>
      <c r="O2909"/>
      <c r="P2909" s="34"/>
    </row>
    <row r="2910" spans="1:16" x14ac:dyDescent="0.25">
      <c r="A2910" s="14"/>
      <c r="B2910"/>
      <c r="C2910" s="15"/>
      <c r="D2910"/>
      <c r="E2910"/>
      <c r="F2910" s="16"/>
      <c r="G2910"/>
      <c r="H2910"/>
      <c r="I2910" s="16"/>
      <c r="J2910"/>
      <c r="K2910"/>
      <c r="L2910"/>
      <c r="M2910" s="17"/>
      <c r="N2910"/>
      <c r="O2910"/>
      <c r="P2910" s="34"/>
    </row>
    <row r="2911" spans="1:16" x14ac:dyDescent="0.25">
      <c r="A2911" s="14"/>
      <c r="B2911"/>
      <c r="C2911" s="15"/>
      <c r="D2911"/>
      <c r="E2911"/>
      <c r="F2911" s="16"/>
      <c r="G2911"/>
      <c r="H2911"/>
      <c r="I2911" s="16"/>
      <c r="J2911"/>
      <c r="K2911"/>
      <c r="L2911"/>
      <c r="M2911" s="17"/>
      <c r="N2911"/>
      <c r="O2911"/>
      <c r="P2911" s="34"/>
    </row>
    <row r="2912" spans="1:16" x14ac:dyDescent="0.25">
      <c r="A2912" s="14"/>
      <c r="B2912"/>
      <c r="C2912" s="15"/>
      <c r="D2912"/>
      <c r="E2912"/>
      <c r="F2912" s="16"/>
      <c r="G2912"/>
      <c r="H2912"/>
      <c r="I2912" s="16"/>
      <c r="J2912"/>
      <c r="K2912"/>
      <c r="L2912"/>
      <c r="M2912" s="17"/>
      <c r="N2912"/>
      <c r="O2912"/>
      <c r="P2912" s="34"/>
    </row>
    <row r="2913" spans="1:16" x14ac:dyDescent="0.25">
      <c r="A2913" s="14"/>
      <c r="B2913"/>
      <c r="C2913" s="15"/>
      <c r="D2913"/>
      <c r="E2913"/>
      <c r="F2913" s="16"/>
      <c r="G2913"/>
      <c r="H2913"/>
      <c r="I2913" s="16"/>
      <c r="J2913"/>
      <c r="K2913"/>
      <c r="L2913"/>
      <c r="M2913" s="17"/>
      <c r="N2913"/>
      <c r="O2913"/>
      <c r="P2913" s="34"/>
    </row>
    <row r="2914" spans="1:16" x14ac:dyDescent="0.25">
      <c r="A2914" s="14"/>
      <c r="B2914"/>
      <c r="C2914" s="15"/>
      <c r="D2914"/>
      <c r="E2914"/>
      <c r="F2914" s="16"/>
      <c r="G2914"/>
      <c r="H2914"/>
      <c r="I2914" s="16"/>
      <c r="J2914"/>
      <c r="K2914"/>
      <c r="L2914"/>
      <c r="M2914" s="17"/>
      <c r="N2914"/>
      <c r="O2914"/>
      <c r="P2914" s="34"/>
    </row>
    <row r="2915" spans="1:16" x14ac:dyDescent="0.25">
      <c r="A2915" s="14"/>
      <c r="B2915"/>
      <c r="C2915" s="15"/>
      <c r="D2915"/>
      <c r="E2915"/>
      <c r="F2915" s="16"/>
      <c r="G2915"/>
      <c r="H2915"/>
      <c r="I2915" s="16"/>
      <c r="J2915"/>
      <c r="K2915"/>
      <c r="L2915"/>
      <c r="M2915" s="17"/>
      <c r="N2915"/>
      <c r="O2915"/>
      <c r="P2915" s="34"/>
    </row>
    <row r="2916" spans="1:16" x14ac:dyDescent="0.25">
      <c r="A2916" s="14"/>
      <c r="B2916"/>
      <c r="C2916" s="15"/>
      <c r="D2916"/>
      <c r="E2916"/>
      <c r="F2916" s="16"/>
      <c r="G2916"/>
      <c r="H2916"/>
      <c r="I2916" s="16"/>
      <c r="J2916"/>
      <c r="K2916"/>
      <c r="L2916"/>
      <c r="M2916" s="17"/>
      <c r="N2916"/>
      <c r="O2916"/>
      <c r="P2916" s="34"/>
    </row>
    <row r="2917" spans="1:16" x14ac:dyDescent="0.25">
      <c r="A2917" s="14"/>
      <c r="B2917"/>
      <c r="C2917" s="15"/>
      <c r="D2917"/>
      <c r="E2917"/>
      <c r="F2917" s="16"/>
      <c r="G2917"/>
      <c r="H2917"/>
      <c r="I2917" s="16"/>
      <c r="J2917"/>
      <c r="K2917"/>
      <c r="L2917"/>
      <c r="M2917" s="17"/>
      <c r="N2917"/>
      <c r="O2917"/>
      <c r="P2917" s="34"/>
    </row>
    <row r="2918" spans="1:16" x14ac:dyDescent="0.25">
      <c r="A2918" s="14"/>
      <c r="B2918"/>
      <c r="C2918" s="15"/>
      <c r="D2918"/>
      <c r="E2918"/>
      <c r="F2918" s="16"/>
      <c r="G2918"/>
      <c r="H2918"/>
      <c r="I2918" s="16"/>
      <c r="J2918"/>
      <c r="K2918"/>
      <c r="L2918"/>
      <c r="M2918" s="17"/>
      <c r="N2918"/>
      <c r="O2918"/>
      <c r="P2918" s="34"/>
    </row>
    <row r="2919" spans="1:16" x14ac:dyDescent="0.25">
      <c r="A2919" s="14"/>
      <c r="B2919"/>
      <c r="C2919" s="15"/>
      <c r="D2919"/>
      <c r="E2919"/>
      <c r="F2919" s="16"/>
      <c r="G2919"/>
      <c r="H2919"/>
      <c r="I2919" s="16"/>
      <c r="J2919"/>
      <c r="K2919"/>
      <c r="L2919"/>
      <c r="M2919" s="17"/>
      <c r="N2919"/>
      <c r="O2919"/>
      <c r="P2919" s="34"/>
    </row>
    <row r="2920" spans="1:16" x14ac:dyDescent="0.25">
      <c r="A2920" s="14"/>
      <c r="B2920"/>
      <c r="C2920" s="15"/>
      <c r="D2920"/>
      <c r="E2920"/>
      <c r="F2920" s="16"/>
      <c r="G2920"/>
      <c r="H2920"/>
      <c r="I2920" s="16"/>
      <c r="J2920"/>
      <c r="K2920"/>
      <c r="L2920"/>
      <c r="M2920" s="17"/>
      <c r="N2920"/>
      <c r="O2920"/>
      <c r="P2920" s="34"/>
    </row>
    <row r="2921" spans="1:16" x14ac:dyDescent="0.25">
      <c r="A2921" s="14"/>
      <c r="B2921"/>
      <c r="C2921" s="15"/>
      <c r="D2921"/>
      <c r="E2921"/>
      <c r="F2921" s="16"/>
      <c r="G2921"/>
      <c r="H2921"/>
      <c r="I2921" s="16"/>
      <c r="J2921"/>
      <c r="K2921"/>
      <c r="L2921"/>
      <c r="M2921" s="17"/>
      <c r="N2921"/>
      <c r="O2921"/>
      <c r="P2921" s="34"/>
    </row>
    <row r="2922" spans="1:16" x14ac:dyDescent="0.25">
      <c r="A2922" s="14"/>
      <c r="B2922"/>
      <c r="C2922" s="15"/>
      <c r="D2922"/>
      <c r="E2922"/>
      <c r="F2922" s="16"/>
      <c r="G2922"/>
      <c r="H2922"/>
      <c r="I2922" s="16"/>
      <c r="J2922"/>
      <c r="K2922"/>
      <c r="L2922"/>
      <c r="M2922" s="17"/>
      <c r="N2922"/>
      <c r="O2922"/>
      <c r="P2922" s="34"/>
    </row>
    <row r="2923" spans="1:16" x14ac:dyDescent="0.25">
      <c r="A2923" s="14"/>
      <c r="B2923"/>
      <c r="C2923" s="15"/>
      <c r="D2923"/>
      <c r="E2923"/>
      <c r="F2923" s="16"/>
      <c r="G2923"/>
      <c r="H2923"/>
      <c r="I2923" s="16"/>
      <c r="J2923"/>
      <c r="K2923"/>
      <c r="L2923"/>
      <c r="M2923" s="17"/>
      <c r="N2923"/>
      <c r="O2923"/>
      <c r="P2923" s="34"/>
    </row>
    <row r="2924" spans="1:16" x14ac:dyDescent="0.25">
      <c r="A2924" s="14"/>
      <c r="B2924"/>
      <c r="C2924" s="15"/>
      <c r="D2924"/>
      <c r="E2924"/>
      <c r="F2924" s="16"/>
      <c r="G2924"/>
      <c r="H2924"/>
      <c r="I2924" s="16"/>
      <c r="J2924"/>
      <c r="K2924"/>
      <c r="L2924"/>
      <c r="M2924" s="17"/>
      <c r="N2924"/>
      <c r="O2924"/>
      <c r="P2924" s="34"/>
    </row>
    <row r="2925" spans="1:16" x14ac:dyDescent="0.25">
      <c r="A2925" s="14"/>
      <c r="B2925"/>
      <c r="C2925" s="15"/>
      <c r="D2925"/>
      <c r="E2925"/>
      <c r="F2925" s="16"/>
      <c r="G2925"/>
      <c r="H2925"/>
      <c r="I2925" s="16"/>
      <c r="J2925"/>
      <c r="K2925"/>
      <c r="L2925"/>
      <c r="M2925" s="17"/>
      <c r="N2925"/>
      <c r="O2925"/>
      <c r="P2925" s="34"/>
    </row>
    <row r="2926" spans="1:16" x14ac:dyDescent="0.25">
      <c r="A2926" s="14"/>
      <c r="B2926"/>
      <c r="C2926" s="15"/>
      <c r="D2926"/>
      <c r="E2926"/>
      <c r="F2926" s="16"/>
      <c r="G2926"/>
      <c r="H2926"/>
      <c r="I2926" s="16"/>
      <c r="J2926"/>
      <c r="K2926"/>
      <c r="L2926"/>
      <c r="M2926" s="17"/>
      <c r="N2926"/>
      <c r="O2926"/>
      <c r="P2926" s="34"/>
    </row>
    <row r="2927" spans="1:16" x14ac:dyDescent="0.25">
      <c r="A2927" s="14"/>
      <c r="B2927"/>
      <c r="C2927" s="15"/>
      <c r="D2927"/>
      <c r="E2927"/>
      <c r="F2927" s="16"/>
      <c r="G2927"/>
      <c r="H2927"/>
      <c r="I2927" s="16"/>
      <c r="J2927"/>
      <c r="K2927"/>
      <c r="L2927"/>
      <c r="M2927" s="17"/>
      <c r="N2927"/>
      <c r="O2927"/>
      <c r="P2927" s="34"/>
    </row>
    <row r="2928" spans="1:16" x14ac:dyDescent="0.25">
      <c r="A2928" s="14"/>
      <c r="B2928"/>
      <c r="C2928" s="15"/>
      <c r="D2928"/>
      <c r="E2928"/>
      <c r="F2928" s="16"/>
      <c r="G2928"/>
      <c r="H2928"/>
      <c r="I2928" s="16"/>
      <c r="J2928"/>
      <c r="K2928"/>
      <c r="L2928"/>
      <c r="M2928" s="17"/>
      <c r="N2928"/>
      <c r="O2928"/>
      <c r="P2928" s="34"/>
    </row>
    <row r="2929" spans="1:16" x14ac:dyDescent="0.25">
      <c r="A2929" s="14"/>
      <c r="B2929"/>
      <c r="C2929" s="15"/>
      <c r="D2929"/>
      <c r="E2929"/>
      <c r="F2929" s="16"/>
      <c r="G2929"/>
      <c r="H2929"/>
      <c r="I2929" s="16"/>
      <c r="J2929"/>
      <c r="K2929"/>
      <c r="L2929"/>
      <c r="M2929" s="17"/>
      <c r="N2929"/>
      <c r="O2929"/>
      <c r="P2929" s="34"/>
    </row>
    <row r="2930" spans="1:16" x14ac:dyDescent="0.25">
      <c r="A2930" s="14"/>
      <c r="B2930"/>
      <c r="C2930" s="15"/>
      <c r="D2930"/>
      <c r="E2930"/>
      <c r="F2930" s="16"/>
      <c r="G2930"/>
      <c r="H2930"/>
      <c r="I2930" s="16"/>
      <c r="J2930"/>
      <c r="K2930"/>
      <c r="L2930"/>
      <c r="M2930" s="17"/>
      <c r="N2930"/>
      <c r="O2930"/>
      <c r="P2930" s="34"/>
    </row>
    <row r="2931" spans="1:16" x14ac:dyDescent="0.25">
      <c r="A2931" s="14"/>
      <c r="B2931"/>
      <c r="C2931" s="15"/>
      <c r="D2931"/>
      <c r="E2931"/>
      <c r="F2931" s="16"/>
      <c r="G2931"/>
      <c r="H2931"/>
      <c r="I2931" s="16"/>
      <c r="J2931"/>
      <c r="K2931"/>
      <c r="L2931"/>
      <c r="M2931" s="17"/>
      <c r="N2931"/>
      <c r="O2931"/>
      <c r="P2931" s="34"/>
    </row>
    <row r="2932" spans="1:16" x14ac:dyDescent="0.25">
      <c r="A2932" s="14"/>
      <c r="B2932"/>
      <c r="C2932" s="15"/>
      <c r="D2932"/>
      <c r="E2932"/>
      <c r="F2932" s="16"/>
      <c r="G2932"/>
      <c r="H2932"/>
      <c r="I2932" s="16"/>
      <c r="J2932"/>
      <c r="K2932"/>
      <c r="L2932"/>
      <c r="M2932" s="17"/>
      <c r="N2932"/>
      <c r="O2932"/>
      <c r="P2932" s="34"/>
    </row>
    <row r="2933" spans="1:16" x14ac:dyDescent="0.25">
      <c r="A2933" s="14"/>
      <c r="B2933"/>
      <c r="C2933" s="15"/>
      <c r="D2933"/>
      <c r="E2933"/>
      <c r="F2933" s="16"/>
      <c r="G2933"/>
      <c r="H2933"/>
      <c r="I2933" s="16"/>
      <c r="J2933"/>
      <c r="K2933"/>
      <c r="L2933"/>
      <c r="M2933" s="17"/>
      <c r="N2933"/>
      <c r="O2933"/>
      <c r="P2933" s="34"/>
    </row>
    <row r="2934" spans="1:16" x14ac:dyDescent="0.25">
      <c r="A2934" s="14"/>
      <c r="B2934"/>
      <c r="C2934" s="15"/>
      <c r="D2934"/>
      <c r="E2934"/>
      <c r="F2934" s="16"/>
      <c r="G2934"/>
      <c r="H2934"/>
      <c r="I2934" s="16"/>
      <c r="J2934"/>
      <c r="K2934"/>
      <c r="L2934"/>
      <c r="M2934" s="17"/>
      <c r="N2934"/>
      <c r="O2934"/>
      <c r="P2934" s="34"/>
    </row>
    <row r="2935" spans="1:16" x14ac:dyDescent="0.25">
      <c r="A2935" s="14"/>
      <c r="B2935"/>
      <c r="C2935" s="15"/>
      <c r="D2935"/>
      <c r="E2935"/>
      <c r="F2935" s="16"/>
      <c r="G2935"/>
      <c r="H2935"/>
      <c r="I2935" s="16"/>
      <c r="J2935"/>
      <c r="K2935"/>
      <c r="L2935"/>
      <c r="M2935" s="17"/>
      <c r="N2935"/>
      <c r="O2935"/>
      <c r="P2935" s="34"/>
    </row>
    <row r="2936" spans="1:16" x14ac:dyDescent="0.25">
      <c r="A2936" s="14"/>
      <c r="B2936"/>
      <c r="C2936" s="15"/>
      <c r="D2936"/>
      <c r="E2936"/>
      <c r="F2936" s="16"/>
      <c r="G2936"/>
      <c r="H2936"/>
      <c r="I2936" s="16"/>
      <c r="J2936"/>
      <c r="K2936"/>
      <c r="L2936"/>
      <c r="M2936" s="17"/>
      <c r="N2936"/>
      <c r="O2936"/>
      <c r="P2936" s="34"/>
    </row>
    <row r="2937" spans="1:16" x14ac:dyDescent="0.25">
      <c r="A2937" s="14"/>
      <c r="B2937"/>
      <c r="C2937" s="15"/>
      <c r="D2937"/>
      <c r="E2937"/>
      <c r="F2937" s="16"/>
      <c r="G2937"/>
      <c r="H2937"/>
      <c r="I2937" s="16"/>
      <c r="J2937"/>
      <c r="K2937"/>
      <c r="L2937"/>
      <c r="M2937" s="17"/>
      <c r="N2937"/>
      <c r="O2937"/>
      <c r="P2937" s="34"/>
    </row>
    <row r="2938" spans="1:16" x14ac:dyDescent="0.25">
      <c r="A2938" s="14"/>
      <c r="B2938"/>
      <c r="C2938" s="15"/>
      <c r="D2938"/>
      <c r="E2938"/>
      <c r="F2938" s="16"/>
      <c r="G2938"/>
      <c r="H2938"/>
      <c r="I2938" s="16"/>
      <c r="J2938"/>
      <c r="K2938"/>
      <c r="L2938"/>
      <c r="M2938" s="17"/>
      <c r="N2938"/>
      <c r="O2938"/>
      <c r="P2938" s="34"/>
    </row>
    <row r="2939" spans="1:16" x14ac:dyDescent="0.25">
      <c r="A2939" s="14"/>
      <c r="B2939"/>
      <c r="C2939" s="15"/>
      <c r="D2939"/>
      <c r="E2939"/>
      <c r="F2939" s="16"/>
      <c r="G2939"/>
      <c r="H2939"/>
      <c r="I2939" s="16"/>
      <c r="J2939"/>
      <c r="K2939"/>
      <c r="L2939"/>
      <c r="M2939" s="17"/>
      <c r="N2939"/>
      <c r="O2939"/>
      <c r="P2939" s="34"/>
    </row>
    <row r="2940" spans="1:16" x14ac:dyDescent="0.25">
      <c r="A2940" s="14"/>
      <c r="B2940"/>
      <c r="C2940" s="15"/>
      <c r="D2940"/>
      <c r="E2940"/>
      <c r="F2940" s="16"/>
      <c r="G2940"/>
      <c r="H2940"/>
      <c r="I2940" s="16"/>
      <c r="J2940"/>
      <c r="K2940"/>
      <c r="L2940"/>
      <c r="M2940" s="17"/>
      <c r="N2940"/>
      <c r="O2940"/>
      <c r="P2940" s="34"/>
    </row>
    <row r="2941" spans="1:16" x14ac:dyDescent="0.25">
      <c r="A2941" s="14"/>
      <c r="B2941"/>
      <c r="C2941" s="15"/>
      <c r="D2941"/>
      <c r="E2941"/>
      <c r="F2941" s="16"/>
      <c r="G2941"/>
      <c r="H2941"/>
      <c r="I2941" s="16"/>
      <c r="J2941"/>
      <c r="K2941"/>
      <c r="L2941"/>
      <c r="M2941" s="17"/>
      <c r="N2941"/>
      <c r="O2941"/>
      <c r="P2941" s="34"/>
    </row>
    <row r="2942" spans="1:16" x14ac:dyDescent="0.25">
      <c r="A2942" s="14"/>
      <c r="B2942"/>
      <c r="C2942" s="15"/>
      <c r="D2942"/>
      <c r="E2942"/>
      <c r="F2942" s="16"/>
      <c r="G2942"/>
      <c r="H2942"/>
      <c r="I2942" s="16"/>
      <c r="J2942"/>
      <c r="K2942"/>
      <c r="L2942"/>
      <c r="M2942" s="17"/>
      <c r="N2942"/>
      <c r="O2942"/>
      <c r="P2942" s="34"/>
    </row>
    <row r="2943" spans="1:16" x14ac:dyDescent="0.25">
      <c r="A2943" s="14"/>
      <c r="B2943"/>
      <c r="C2943" s="15"/>
      <c r="D2943"/>
      <c r="E2943"/>
      <c r="F2943" s="16"/>
      <c r="G2943"/>
      <c r="H2943"/>
      <c r="I2943" s="16"/>
      <c r="J2943"/>
      <c r="K2943"/>
      <c r="L2943"/>
      <c r="M2943" s="17"/>
      <c r="N2943"/>
      <c r="O2943"/>
      <c r="P2943" s="34"/>
    </row>
    <row r="2944" spans="1:16" x14ac:dyDescent="0.25">
      <c r="A2944" s="14"/>
      <c r="B2944"/>
      <c r="C2944" s="15"/>
      <c r="D2944"/>
      <c r="E2944"/>
      <c r="F2944" s="16"/>
      <c r="G2944"/>
      <c r="H2944"/>
      <c r="I2944" s="16"/>
      <c r="J2944"/>
      <c r="K2944"/>
      <c r="L2944"/>
      <c r="M2944" s="17"/>
      <c r="N2944"/>
      <c r="O2944"/>
      <c r="P2944" s="34"/>
    </row>
    <row r="2945" spans="1:16" x14ac:dyDescent="0.25">
      <c r="A2945" s="14"/>
      <c r="B2945"/>
      <c r="C2945" s="15"/>
      <c r="D2945"/>
      <c r="E2945"/>
      <c r="F2945" s="16"/>
      <c r="G2945"/>
      <c r="H2945"/>
      <c r="I2945" s="16"/>
      <c r="J2945"/>
      <c r="K2945"/>
      <c r="L2945"/>
      <c r="M2945" s="17"/>
      <c r="N2945"/>
      <c r="O2945"/>
      <c r="P2945" s="34"/>
    </row>
    <row r="2946" spans="1:16" x14ac:dyDescent="0.25">
      <c r="A2946" s="14"/>
      <c r="B2946"/>
      <c r="C2946" s="15"/>
      <c r="D2946"/>
      <c r="E2946"/>
      <c r="F2946" s="16"/>
      <c r="G2946"/>
      <c r="H2946"/>
      <c r="I2946" s="16"/>
      <c r="J2946"/>
      <c r="K2946"/>
      <c r="L2946"/>
      <c r="M2946" s="17"/>
      <c r="N2946"/>
      <c r="O2946"/>
      <c r="P2946" s="34"/>
    </row>
    <row r="2947" spans="1:16" x14ac:dyDescent="0.25">
      <c r="A2947" s="14"/>
      <c r="B2947"/>
      <c r="C2947" s="15"/>
      <c r="D2947"/>
      <c r="E2947"/>
      <c r="F2947" s="16"/>
      <c r="G2947"/>
      <c r="H2947"/>
      <c r="I2947" s="16"/>
      <c r="J2947"/>
      <c r="K2947"/>
      <c r="L2947"/>
      <c r="M2947" s="17"/>
      <c r="N2947"/>
      <c r="O2947"/>
      <c r="P2947" s="34"/>
    </row>
    <row r="2948" spans="1:16" x14ac:dyDescent="0.25">
      <c r="A2948" s="14"/>
      <c r="B2948"/>
      <c r="C2948" s="15"/>
      <c r="D2948"/>
      <c r="E2948"/>
      <c r="F2948" s="16"/>
      <c r="G2948"/>
      <c r="H2948"/>
      <c r="I2948" s="16"/>
      <c r="J2948"/>
      <c r="K2948"/>
      <c r="L2948"/>
      <c r="M2948" s="17"/>
      <c r="N2948"/>
      <c r="O2948"/>
      <c r="P2948" s="34"/>
    </row>
    <row r="2949" spans="1:16" x14ac:dyDescent="0.25">
      <c r="A2949" s="14"/>
      <c r="B2949"/>
      <c r="C2949" s="15"/>
      <c r="D2949"/>
      <c r="E2949"/>
      <c r="F2949" s="16"/>
      <c r="G2949"/>
      <c r="H2949"/>
      <c r="I2949" s="16"/>
      <c r="J2949"/>
      <c r="K2949"/>
      <c r="L2949"/>
      <c r="M2949" s="17"/>
      <c r="N2949"/>
      <c r="O2949"/>
      <c r="P2949" s="34"/>
    </row>
    <row r="2950" spans="1:16" x14ac:dyDescent="0.25">
      <c r="A2950" s="14"/>
      <c r="B2950"/>
      <c r="C2950" s="15"/>
      <c r="D2950"/>
      <c r="E2950"/>
      <c r="F2950" s="16"/>
      <c r="G2950"/>
      <c r="H2950"/>
      <c r="I2950" s="16"/>
      <c r="J2950"/>
      <c r="K2950"/>
      <c r="L2950"/>
      <c r="M2950" s="17"/>
      <c r="N2950"/>
      <c r="O2950"/>
      <c r="P2950" s="34"/>
    </row>
    <row r="2951" spans="1:16" x14ac:dyDescent="0.25">
      <c r="A2951" s="14"/>
      <c r="B2951"/>
      <c r="C2951" s="15"/>
      <c r="D2951"/>
      <c r="E2951"/>
      <c r="F2951" s="16"/>
      <c r="G2951"/>
      <c r="H2951"/>
      <c r="I2951" s="16"/>
      <c r="J2951"/>
      <c r="K2951"/>
      <c r="L2951"/>
      <c r="M2951" s="17"/>
      <c r="N2951"/>
      <c r="O2951"/>
      <c r="P2951" s="34"/>
    </row>
    <row r="2952" spans="1:16" x14ac:dyDescent="0.25">
      <c r="A2952" s="14"/>
      <c r="B2952"/>
      <c r="C2952" s="15"/>
      <c r="D2952"/>
      <c r="E2952"/>
      <c r="F2952" s="16"/>
      <c r="G2952"/>
      <c r="H2952"/>
      <c r="I2952" s="16"/>
      <c r="J2952"/>
      <c r="K2952"/>
      <c r="L2952"/>
      <c r="M2952" s="17"/>
      <c r="N2952"/>
      <c r="O2952"/>
      <c r="P2952" s="34"/>
    </row>
    <row r="2953" spans="1:16" x14ac:dyDescent="0.25">
      <c r="A2953" s="14"/>
      <c r="B2953"/>
      <c r="C2953" s="15"/>
      <c r="D2953"/>
      <c r="E2953"/>
      <c r="F2953" s="16"/>
      <c r="G2953"/>
      <c r="H2953"/>
      <c r="I2953" s="16"/>
      <c r="J2953"/>
      <c r="K2953"/>
      <c r="L2953"/>
      <c r="M2953" s="17"/>
      <c r="N2953"/>
      <c r="O2953"/>
      <c r="P2953" s="34"/>
    </row>
    <row r="2954" spans="1:16" x14ac:dyDescent="0.25">
      <c r="A2954" s="14"/>
      <c r="B2954"/>
      <c r="C2954" s="15"/>
      <c r="D2954"/>
      <c r="E2954"/>
      <c r="F2954" s="16"/>
      <c r="G2954"/>
      <c r="H2954"/>
      <c r="I2954" s="16"/>
      <c r="J2954"/>
      <c r="K2954"/>
      <c r="L2954"/>
      <c r="M2954" s="17"/>
      <c r="N2954"/>
      <c r="O2954"/>
      <c r="P2954" s="34"/>
    </row>
    <row r="2955" spans="1:16" x14ac:dyDescent="0.25">
      <c r="A2955" s="14"/>
      <c r="B2955"/>
      <c r="C2955" s="15"/>
      <c r="D2955"/>
      <c r="E2955"/>
      <c r="F2955" s="16"/>
      <c r="G2955"/>
      <c r="H2955"/>
      <c r="I2955" s="16"/>
      <c r="J2955"/>
      <c r="K2955"/>
      <c r="L2955"/>
      <c r="M2955" s="17"/>
      <c r="N2955"/>
      <c r="O2955"/>
      <c r="P2955" s="34"/>
    </row>
    <row r="2956" spans="1:16" x14ac:dyDescent="0.25">
      <c r="A2956" s="14"/>
      <c r="B2956"/>
      <c r="C2956" s="15"/>
      <c r="D2956"/>
      <c r="E2956"/>
      <c r="F2956" s="16"/>
      <c r="G2956"/>
      <c r="H2956"/>
      <c r="I2956" s="16"/>
      <c r="J2956"/>
      <c r="K2956"/>
      <c r="L2956"/>
      <c r="M2956" s="17"/>
      <c r="N2956"/>
      <c r="O2956"/>
      <c r="P2956" s="34"/>
    </row>
    <row r="2957" spans="1:16" x14ac:dyDescent="0.25">
      <c r="A2957" s="14"/>
      <c r="B2957"/>
      <c r="C2957" s="15"/>
      <c r="D2957"/>
      <c r="E2957"/>
      <c r="F2957" s="16"/>
      <c r="G2957"/>
      <c r="H2957"/>
      <c r="I2957" s="16"/>
      <c r="J2957"/>
      <c r="K2957"/>
      <c r="L2957"/>
      <c r="M2957" s="17"/>
      <c r="N2957"/>
      <c r="O2957"/>
      <c r="P2957" s="34"/>
    </row>
    <row r="2958" spans="1:16" x14ac:dyDescent="0.25">
      <c r="A2958" s="14"/>
      <c r="B2958"/>
      <c r="C2958" s="15"/>
      <c r="D2958"/>
      <c r="E2958"/>
      <c r="F2958" s="16"/>
      <c r="G2958"/>
      <c r="H2958"/>
      <c r="I2958" s="16"/>
      <c r="J2958"/>
      <c r="K2958"/>
      <c r="L2958"/>
      <c r="M2958" s="17"/>
      <c r="N2958"/>
      <c r="O2958"/>
      <c r="P2958" s="34"/>
    </row>
    <row r="2959" spans="1:16" x14ac:dyDescent="0.25">
      <c r="A2959" s="14"/>
      <c r="B2959"/>
      <c r="C2959" s="15"/>
      <c r="D2959"/>
      <c r="E2959"/>
      <c r="F2959" s="16"/>
      <c r="G2959"/>
      <c r="H2959"/>
      <c r="I2959" s="16"/>
      <c r="J2959"/>
      <c r="K2959"/>
      <c r="L2959"/>
      <c r="M2959" s="17"/>
      <c r="N2959"/>
      <c r="O2959"/>
      <c r="P2959" s="34"/>
    </row>
    <row r="2960" spans="1:16" x14ac:dyDescent="0.25">
      <c r="A2960" s="14"/>
      <c r="B2960"/>
      <c r="C2960" s="15"/>
      <c r="D2960"/>
      <c r="E2960"/>
      <c r="F2960" s="16"/>
      <c r="G2960"/>
      <c r="H2960"/>
      <c r="I2960" s="16"/>
      <c r="J2960"/>
      <c r="K2960"/>
      <c r="L2960"/>
      <c r="M2960" s="17"/>
      <c r="N2960"/>
      <c r="O2960"/>
      <c r="P2960" s="34"/>
    </row>
    <row r="2961" spans="1:16" x14ac:dyDescent="0.25">
      <c r="A2961" s="14"/>
      <c r="B2961"/>
      <c r="C2961" s="15"/>
      <c r="D2961"/>
      <c r="E2961"/>
      <c r="F2961" s="16"/>
      <c r="G2961"/>
      <c r="H2961"/>
      <c r="I2961" s="16"/>
      <c r="J2961"/>
      <c r="K2961"/>
      <c r="L2961"/>
      <c r="M2961" s="17"/>
      <c r="N2961"/>
      <c r="O2961"/>
      <c r="P2961" s="34"/>
    </row>
    <row r="2962" spans="1:16" x14ac:dyDescent="0.25">
      <c r="A2962" s="14"/>
      <c r="B2962"/>
      <c r="C2962" s="15"/>
      <c r="D2962"/>
      <c r="E2962"/>
      <c r="F2962" s="16"/>
      <c r="G2962"/>
      <c r="H2962"/>
      <c r="I2962" s="16"/>
      <c r="J2962"/>
      <c r="K2962"/>
      <c r="L2962"/>
      <c r="M2962" s="17"/>
      <c r="N2962"/>
      <c r="O2962"/>
      <c r="P2962" s="34"/>
    </row>
    <row r="2963" spans="1:16" x14ac:dyDescent="0.25">
      <c r="A2963" s="14"/>
      <c r="B2963"/>
      <c r="C2963" s="15"/>
      <c r="D2963"/>
      <c r="E2963"/>
      <c r="F2963" s="16"/>
      <c r="G2963"/>
      <c r="H2963"/>
      <c r="I2963" s="16"/>
      <c r="J2963"/>
      <c r="K2963"/>
      <c r="L2963"/>
      <c r="M2963" s="17"/>
      <c r="N2963"/>
      <c r="O2963"/>
      <c r="P2963" s="34"/>
    </row>
    <row r="2964" spans="1:16" x14ac:dyDescent="0.25">
      <c r="A2964" s="14"/>
      <c r="B2964"/>
      <c r="C2964" s="15"/>
      <c r="D2964"/>
      <c r="E2964"/>
      <c r="F2964" s="16"/>
      <c r="G2964"/>
      <c r="H2964"/>
      <c r="I2964" s="16"/>
      <c r="J2964"/>
      <c r="K2964"/>
      <c r="L2964"/>
      <c r="M2964" s="17"/>
      <c r="N2964"/>
      <c r="O2964"/>
      <c r="P2964" s="34"/>
    </row>
    <row r="2965" spans="1:16" x14ac:dyDescent="0.25">
      <c r="A2965" s="14"/>
      <c r="B2965"/>
      <c r="C2965" s="15"/>
      <c r="D2965"/>
      <c r="E2965"/>
      <c r="F2965" s="16"/>
      <c r="G2965"/>
      <c r="H2965"/>
      <c r="I2965" s="16"/>
      <c r="J2965"/>
      <c r="K2965"/>
      <c r="L2965"/>
      <c r="M2965" s="17"/>
      <c r="N2965"/>
      <c r="O2965"/>
      <c r="P2965" s="34"/>
    </row>
    <row r="2966" spans="1:16" x14ac:dyDescent="0.25">
      <c r="A2966" s="14"/>
      <c r="B2966"/>
      <c r="C2966" s="15"/>
      <c r="D2966"/>
      <c r="E2966"/>
      <c r="F2966" s="16"/>
      <c r="G2966"/>
      <c r="H2966"/>
      <c r="I2966" s="16"/>
      <c r="J2966"/>
      <c r="K2966"/>
      <c r="L2966"/>
      <c r="M2966" s="17"/>
      <c r="N2966"/>
      <c r="O2966"/>
      <c r="P2966" s="34"/>
    </row>
    <row r="2967" spans="1:16" x14ac:dyDescent="0.25">
      <c r="A2967" s="14"/>
      <c r="B2967"/>
      <c r="C2967" s="15"/>
      <c r="D2967"/>
      <c r="E2967"/>
      <c r="F2967" s="16"/>
      <c r="G2967"/>
      <c r="H2967"/>
      <c r="I2967" s="16"/>
      <c r="J2967"/>
      <c r="K2967"/>
      <c r="L2967"/>
      <c r="M2967" s="17"/>
      <c r="N2967"/>
      <c r="O2967"/>
      <c r="P2967" s="34"/>
    </row>
    <row r="2968" spans="1:16" x14ac:dyDescent="0.25">
      <c r="A2968" s="14"/>
      <c r="B2968"/>
      <c r="C2968" s="15"/>
      <c r="D2968"/>
      <c r="E2968"/>
      <c r="F2968" s="16"/>
      <c r="G2968"/>
      <c r="H2968"/>
      <c r="I2968" s="16"/>
      <c r="J2968"/>
      <c r="K2968"/>
      <c r="L2968"/>
      <c r="M2968" s="17"/>
      <c r="N2968"/>
      <c r="O2968"/>
      <c r="P2968" s="34"/>
    </row>
    <row r="2969" spans="1:16" x14ac:dyDescent="0.25">
      <c r="A2969" s="14"/>
      <c r="B2969"/>
      <c r="C2969" s="15"/>
      <c r="D2969"/>
      <c r="E2969"/>
      <c r="F2969" s="16"/>
      <c r="G2969"/>
      <c r="H2969"/>
      <c r="I2969" s="16"/>
      <c r="J2969"/>
      <c r="K2969"/>
      <c r="L2969"/>
      <c r="M2969" s="17"/>
      <c r="N2969"/>
      <c r="O2969"/>
      <c r="P2969" s="34"/>
    </row>
    <row r="2970" spans="1:16" x14ac:dyDescent="0.25">
      <c r="A2970" s="14"/>
      <c r="B2970"/>
      <c r="C2970" s="15"/>
      <c r="D2970"/>
      <c r="E2970"/>
      <c r="F2970" s="16"/>
      <c r="G2970"/>
      <c r="H2970"/>
      <c r="I2970" s="16"/>
      <c r="J2970"/>
      <c r="K2970"/>
      <c r="L2970"/>
      <c r="M2970" s="17"/>
      <c r="N2970"/>
      <c r="O2970"/>
      <c r="P2970" s="34"/>
    </row>
    <row r="2971" spans="1:16" x14ac:dyDescent="0.25">
      <c r="A2971" s="14"/>
      <c r="B2971"/>
      <c r="C2971" s="15"/>
      <c r="D2971"/>
      <c r="E2971"/>
      <c r="F2971" s="16"/>
      <c r="G2971"/>
      <c r="H2971"/>
      <c r="I2971" s="16"/>
      <c r="J2971"/>
      <c r="K2971"/>
      <c r="L2971"/>
      <c r="M2971" s="17"/>
      <c r="N2971"/>
      <c r="O2971"/>
      <c r="P2971" s="34"/>
    </row>
    <row r="2972" spans="1:16" x14ac:dyDescent="0.25">
      <c r="A2972" s="14"/>
      <c r="B2972"/>
      <c r="C2972" s="15"/>
      <c r="D2972"/>
      <c r="E2972"/>
      <c r="F2972" s="16"/>
      <c r="G2972"/>
      <c r="H2972"/>
      <c r="I2972" s="16"/>
      <c r="J2972"/>
      <c r="K2972"/>
      <c r="L2972"/>
      <c r="M2972" s="17"/>
      <c r="N2972"/>
      <c r="O2972"/>
      <c r="P2972" s="34"/>
    </row>
    <row r="2973" spans="1:16" x14ac:dyDescent="0.25">
      <c r="A2973" s="14"/>
      <c r="B2973"/>
      <c r="C2973" s="15"/>
      <c r="D2973"/>
      <c r="E2973"/>
      <c r="F2973" s="16"/>
      <c r="G2973"/>
      <c r="H2973"/>
      <c r="I2973" s="16"/>
      <c r="J2973"/>
      <c r="K2973"/>
      <c r="L2973"/>
      <c r="M2973" s="17"/>
      <c r="N2973"/>
      <c r="O2973"/>
      <c r="P2973" s="34"/>
    </row>
    <row r="2974" spans="1:16" x14ac:dyDescent="0.25">
      <c r="A2974" s="14"/>
      <c r="B2974"/>
      <c r="C2974" s="15"/>
      <c r="D2974"/>
      <c r="E2974"/>
      <c r="F2974" s="16"/>
      <c r="G2974"/>
      <c r="H2974"/>
      <c r="I2974" s="16"/>
      <c r="J2974"/>
      <c r="K2974"/>
      <c r="L2974"/>
      <c r="M2974" s="17"/>
      <c r="N2974"/>
      <c r="O2974"/>
      <c r="P2974" s="34"/>
    </row>
    <row r="2975" spans="1:16" x14ac:dyDescent="0.25">
      <c r="A2975" s="14"/>
      <c r="B2975"/>
      <c r="C2975" s="15"/>
      <c r="D2975"/>
      <c r="E2975"/>
      <c r="F2975" s="16"/>
      <c r="G2975"/>
      <c r="H2975"/>
      <c r="I2975" s="16"/>
      <c r="J2975"/>
      <c r="K2975"/>
      <c r="L2975"/>
      <c r="M2975" s="17"/>
      <c r="N2975"/>
      <c r="O2975"/>
      <c r="P2975" s="34"/>
    </row>
    <row r="2976" spans="1:16" x14ac:dyDescent="0.25">
      <c r="A2976" s="14"/>
      <c r="B2976"/>
      <c r="C2976" s="15"/>
      <c r="D2976"/>
      <c r="E2976"/>
      <c r="F2976" s="16"/>
      <c r="G2976"/>
      <c r="H2976"/>
      <c r="I2976" s="16"/>
      <c r="J2976"/>
      <c r="K2976"/>
      <c r="L2976"/>
      <c r="M2976" s="17"/>
      <c r="N2976"/>
      <c r="O2976"/>
      <c r="P2976" s="34"/>
    </row>
    <row r="2977" spans="1:16" x14ac:dyDescent="0.25">
      <c r="A2977" s="14"/>
      <c r="B2977"/>
      <c r="C2977" s="15"/>
      <c r="D2977"/>
      <c r="E2977"/>
      <c r="F2977" s="16"/>
      <c r="G2977"/>
      <c r="H2977"/>
      <c r="I2977" s="16"/>
      <c r="J2977"/>
      <c r="K2977"/>
      <c r="L2977"/>
      <c r="M2977" s="17"/>
      <c r="N2977"/>
      <c r="O2977"/>
      <c r="P2977" s="34"/>
    </row>
    <row r="2978" spans="1:16" x14ac:dyDescent="0.25">
      <c r="A2978" s="14"/>
      <c r="B2978"/>
      <c r="C2978" s="15"/>
      <c r="D2978"/>
      <c r="E2978"/>
      <c r="F2978" s="16"/>
      <c r="G2978"/>
      <c r="H2978"/>
      <c r="I2978" s="16"/>
      <c r="J2978"/>
      <c r="K2978"/>
      <c r="L2978"/>
      <c r="M2978" s="17"/>
      <c r="N2978"/>
      <c r="O2978"/>
      <c r="P2978" s="34"/>
    </row>
    <row r="2979" spans="1:16" x14ac:dyDescent="0.25">
      <c r="A2979" s="14"/>
      <c r="B2979"/>
      <c r="C2979" s="15"/>
      <c r="D2979"/>
      <c r="E2979"/>
      <c r="F2979" s="16"/>
      <c r="G2979"/>
      <c r="H2979"/>
      <c r="I2979" s="16"/>
      <c r="J2979"/>
      <c r="K2979"/>
      <c r="L2979"/>
      <c r="M2979" s="17"/>
      <c r="N2979"/>
      <c r="O2979"/>
      <c r="P2979" s="34"/>
    </row>
    <row r="2980" spans="1:16" x14ac:dyDescent="0.25">
      <c r="A2980" s="14"/>
      <c r="B2980"/>
      <c r="C2980" s="15"/>
      <c r="D2980"/>
      <c r="E2980"/>
      <c r="F2980" s="16"/>
      <c r="G2980"/>
      <c r="H2980"/>
      <c r="I2980" s="16"/>
      <c r="J2980"/>
      <c r="K2980"/>
      <c r="L2980"/>
      <c r="M2980" s="17"/>
      <c r="N2980"/>
      <c r="O2980"/>
      <c r="P2980" s="34"/>
    </row>
    <row r="2981" spans="1:16" x14ac:dyDescent="0.25">
      <c r="A2981" s="14"/>
      <c r="B2981"/>
      <c r="C2981" s="15"/>
      <c r="D2981"/>
      <c r="E2981"/>
      <c r="F2981" s="16"/>
      <c r="G2981"/>
      <c r="H2981"/>
      <c r="I2981" s="16"/>
      <c r="J2981"/>
      <c r="K2981"/>
      <c r="L2981"/>
      <c r="M2981" s="17"/>
      <c r="N2981"/>
      <c r="O2981"/>
      <c r="P2981" s="34"/>
    </row>
    <row r="2982" spans="1:16" x14ac:dyDescent="0.25">
      <c r="A2982" s="14"/>
      <c r="B2982"/>
      <c r="C2982" s="15"/>
      <c r="D2982"/>
      <c r="E2982"/>
      <c r="F2982" s="16"/>
      <c r="G2982"/>
      <c r="H2982"/>
      <c r="I2982" s="16"/>
      <c r="J2982"/>
      <c r="K2982"/>
      <c r="L2982"/>
      <c r="M2982" s="17"/>
      <c r="N2982"/>
      <c r="O2982"/>
      <c r="P2982" s="34"/>
    </row>
    <row r="2983" spans="1:16" x14ac:dyDescent="0.25">
      <c r="A2983" s="14"/>
      <c r="B2983"/>
      <c r="C2983" s="15"/>
      <c r="D2983"/>
      <c r="E2983"/>
      <c r="F2983" s="16"/>
      <c r="G2983"/>
      <c r="H2983"/>
      <c r="I2983" s="16"/>
      <c r="J2983"/>
      <c r="K2983"/>
      <c r="L2983"/>
      <c r="M2983" s="17"/>
      <c r="N2983"/>
      <c r="O2983"/>
      <c r="P2983" s="34"/>
    </row>
    <row r="2984" spans="1:16" x14ac:dyDescent="0.25">
      <c r="A2984" s="14"/>
      <c r="B2984"/>
      <c r="C2984" s="15"/>
      <c r="D2984"/>
      <c r="E2984"/>
      <c r="F2984" s="16"/>
      <c r="G2984"/>
      <c r="H2984"/>
      <c r="I2984" s="16"/>
      <c r="J2984"/>
      <c r="K2984"/>
      <c r="L2984"/>
      <c r="M2984" s="17"/>
      <c r="N2984"/>
      <c r="O2984"/>
      <c r="P2984" s="34"/>
    </row>
    <row r="2985" spans="1:16" x14ac:dyDescent="0.25">
      <c r="A2985" s="14"/>
      <c r="B2985"/>
      <c r="C2985" s="15"/>
      <c r="D2985"/>
      <c r="E2985"/>
      <c r="F2985" s="16"/>
      <c r="G2985"/>
      <c r="H2985"/>
      <c r="I2985" s="16"/>
      <c r="J2985"/>
      <c r="K2985"/>
      <c r="L2985"/>
      <c r="M2985" s="17"/>
      <c r="N2985"/>
      <c r="O2985"/>
      <c r="P2985" s="34"/>
    </row>
    <row r="2986" spans="1:16" x14ac:dyDescent="0.25">
      <c r="A2986" s="14"/>
      <c r="B2986"/>
      <c r="C2986" s="15"/>
      <c r="D2986"/>
      <c r="E2986"/>
      <c r="F2986" s="16"/>
      <c r="G2986"/>
      <c r="H2986"/>
      <c r="I2986" s="16"/>
      <c r="J2986"/>
      <c r="K2986"/>
      <c r="L2986"/>
      <c r="M2986" s="17"/>
      <c r="N2986"/>
      <c r="O2986"/>
      <c r="P2986" s="34"/>
    </row>
    <row r="2987" spans="1:16" x14ac:dyDescent="0.25">
      <c r="A2987" s="14"/>
      <c r="B2987"/>
      <c r="C2987" s="15"/>
      <c r="D2987"/>
      <c r="E2987"/>
      <c r="F2987" s="16"/>
      <c r="G2987"/>
      <c r="H2987"/>
      <c r="I2987" s="16"/>
      <c r="J2987"/>
      <c r="K2987"/>
      <c r="L2987"/>
      <c r="M2987" s="17"/>
      <c r="N2987"/>
      <c r="O2987"/>
      <c r="P2987" s="34"/>
    </row>
    <row r="2988" spans="1:16" x14ac:dyDescent="0.25">
      <c r="A2988" s="14"/>
      <c r="B2988"/>
      <c r="C2988" s="15"/>
      <c r="D2988"/>
      <c r="E2988"/>
      <c r="F2988" s="16"/>
      <c r="G2988"/>
      <c r="H2988"/>
      <c r="I2988" s="16"/>
      <c r="J2988"/>
      <c r="K2988"/>
      <c r="L2988"/>
      <c r="M2988" s="17"/>
      <c r="N2988"/>
      <c r="O2988"/>
      <c r="P2988" s="34"/>
    </row>
    <row r="2989" spans="1:16" x14ac:dyDescent="0.25">
      <c r="A2989" s="14"/>
      <c r="B2989"/>
      <c r="C2989" s="15"/>
      <c r="D2989"/>
      <c r="E2989"/>
      <c r="F2989" s="16"/>
      <c r="G2989"/>
      <c r="H2989"/>
      <c r="I2989" s="16"/>
      <c r="J2989"/>
      <c r="K2989"/>
      <c r="L2989"/>
      <c r="M2989" s="17"/>
      <c r="N2989"/>
      <c r="O2989"/>
      <c r="P2989" s="34"/>
    </row>
    <row r="2990" spans="1:16" x14ac:dyDescent="0.25">
      <c r="A2990" s="14"/>
      <c r="B2990"/>
      <c r="C2990" s="15"/>
      <c r="D2990"/>
      <c r="E2990"/>
      <c r="F2990" s="16"/>
      <c r="G2990"/>
      <c r="H2990"/>
      <c r="I2990" s="16"/>
      <c r="J2990"/>
      <c r="K2990"/>
      <c r="L2990"/>
      <c r="M2990" s="17"/>
      <c r="N2990"/>
      <c r="O2990"/>
      <c r="P2990" s="34"/>
    </row>
    <row r="2991" spans="1:16" x14ac:dyDescent="0.25">
      <c r="A2991" s="14"/>
      <c r="B2991"/>
      <c r="C2991" s="15"/>
      <c r="D2991"/>
      <c r="E2991"/>
      <c r="F2991" s="16"/>
      <c r="G2991"/>
      <c r="H2991"/>
      <c r="I2991" s="16"/>
      <c r="J2991"/>
      <c r="K2991"/>
      <c r="L2991"/>
      <c r="M2991" s="17"/>
      <c r="N2991"/>
      <c r="O2991"/>
      <c r="P2991" s="34"/>
    </row>
    <row r="2992" spans="1:16" x14ac:dyDescent="0.25">
      <c r="A2992" s="14"/>
      <c r="B2992"/>
      <c r="C2992" s="15"/>
      <c r="D2992"/>
      <c r="E2992"/>
      <c r="F2992" s="16"/>
      <c r="G2992"/>
      <c r="H2992"/>
      <c r="I2992" s="16"/>
      <c r="J2992"/>
      <c r="K2992"/>
      <c r="L2992"/>
      <c r="M2992" s="17"/>
      <c r="N2992"/>
      <c r="O2992"/>
      <c r="P2992" s="34"/>
    </row>
    <row r="2993" spans="1:16" x14ac:dyDescent="0.25">
      <c r="A2993" s="14"/>
      <c r="B2993"/>
      <c r="C2993" s="15"/>
      <c r="D2993"/>
      <c r="E2993"/>
      <c r="F2993" s="16"/>
      <c r="G2993"/>
      <c r="H2993"/>
      <c r="I2993" s="16"/>
      <c r="J2993"/>
      <c r="K2993"/>
      <c r="L2993"/>
      <c r="M2993" s="17"/>
      <c r="N2993"/>
      <c r="O2993"/>
      <c r="P2993" s="34"/>
    </row>
    <row r="2994" spans="1:16" x14ac:dyDescent="0.25">
      <c r="A2994" s="14"/>
      <c r="B2994"/>
      <c r="C2994" s="15"/>
      <c r="D2994"/>
      <c r="E2994"/>
      <c r="F2994" s="16"/>
      <c r="G2994"/>
      <c r="H2994"/>
      <c r="I2994" s="16"/>
      <c r="J2994"/>
      <c r="K2994"/>
      <c r="L2994"/>
      <c r="M2994" s="17"/>
      <c r="N2994"/>
      <c r="O2994"/>
      <c r="P2994" s="34"/>
    </row>
    <row r="2995" spans="1:16" x14ac:dyDescent="0.25">
      <c r="A2995" s="14"/>
      <c r="B2995"/>
      <c r="C2995" s="15"/>
      <c r="D2995"/>
      <c r="E2995"/>
      <c r="F2995" s="16"/>
      <c r="G2995"/>
      <c r="H2995"/>
      <c r="I2995" s="16"/>
      <c r="J2995"/>
      <c r="K2995"/>
      <c r="L2995"/>
      <c r="M2995" s="17"/>
      <c r="N2995"/>
      <c r="O2995"/>
      <c r="P2995" s="34"/>
    </row>
    <row r="2996" spans="1:16" x14ac:dyDescent="0.25">
      <c r="A2996" s="14"/>
      <c r="B2996"/>
      <c r="C2996" s="15"/>
      <c r="D2996"/>
      <c r="E2996"/>
      <c r="F2996" s="16"/>
      <c r="G2996"/>
      <c r="H2996"/>
      <c r="I2996" s="16"/>
      <c r="J2996"/>
      <c r="K2996"/>
      <c r="L2996"/>
      <c r="M2996" s="17"/>
      <c r="N2996"/>
      <c r="O2996"/>
      <c r="P2996" s="34"/>
    </row>
    <row r="2997" spans="1:16" x14ac:dyDescent="0.25">
      <c r="A2997" s="14"/>
      <c r="B2997"/>
      <c r="C2997" s="15"/>
      <c r="D2997"/>
      <c r="E2997"/>
      <c r="F2997" s="16"/>
      <c r="G2997"/>
      <c r="H2997"/>
      <c r="I2997" s="16"/>
      <c r="J2997"/>
      <c r="K2997"/>
      <c r="L2997"/>
      <c r="M2997" s="17"/>
      <c r="N2997"/>
      <c r="O2997"/>
      <c r="P2997" s="34"/>
    </row>
    <row r="2998" spans="1:16" x14ac:dyDescent="0.25">
      <c r="A2998" s="14"/>
      <c r="B2998"/>
      <c r="C2998" s="15"/>
      <c r="D2998"/>
      <c r="E2998"/>
      <c r="F2998" s="16"/>
      <c r="G2998"/>
      <c r="H2998"/>
      <c r="I2998" s="16"/>
      <c r="J2998"/>
      <c r="K2998"/>
      <c r="L2998"/>
      <c r="M2998" s="17"/>
      <c r="N2998"/>
      <c r="O2998"/>
      <c r="P2998" s="34"/>
    </row>
    <row r="2999" spans="1:16" x14ac:dyDescent="0.25">
      <c r="A2999" s="14"/>
      <c r="B2999"/>
      <c r="C2999" s="15"/>
      <c r="D2999"/>
      <c r="E2999"/>
      <c r="F2999" s="16"/>
      <c r="G2999"/>
      <c r="H2999"/>
      <c r="I2999" s="16"/>
      <c r="J2999"/>
      <c r="K2999"/>
      <c r="L2999"/>
      <c r="M2999" s="17"/>
      <c r="N2999"/>
      <c r="O2999"/>
      <c r="P2999" s="34"/>
    </row>
    <row r="3000" spans="1:16" x14ac:dyDescent="0.25">
      <c r="A3000" s="14"/>
      <c r="B3000"/>
      <c r="C3000" s="15"/>
      <c r="D3000"/>
      <c r="E3000"/>
      <c r="F3000" s="16"/>
      <c r="G3000"/>
      <c r="H3000"/>
      <c r="I3000" s="16"/>
      <c r="J3000"/>
      <c r="K3000"/>
      <c r="L3000"/>
      <c r="M3000" s="17"/>
      <c r="N3000"/>
      <c r="O3000"/>
      <c r="P3000" s="34"/>
    </row>
    <row r="3001" spans="1:16" x14ac:dyDescent="0.25">
      <c r="A3001" s="14"/>
      <c r="B3001"/>
      <c r="C3001" s="15"/>
      <c r="D3001"/>
      <c r="E3001"/>
      <c r="F3001" s="16"/>
      <c r="G3001"/>
      <c r="H3001"/>
      <c r="I3001" s="16"/>
      <c r="J3001"/>
      <c r="K3001"/>
      <c r="L3001"/>
      <c r="M3001" s="17"/>
      <c r="N3001"/>
      <c r="O3001"/>
      <c r="P3001" s="34"/>
    </row>
    <row r="3002" spans="1:16" x14ac:dyDescent="0.25">
      <c r="A3002" s="14"/>
      <c r="B3002"/>
      <c r="C3002" s="15"/>
      <c r="D3002"/>
      <c r="E3002"/>
      <c r="F3002" s="16"/>
      <c r="G3002"/>
      <c r="H3002"/>
      <c r="I3002" s="16"/>
      <c r="J3002"/>
      <c r="K3002"/>
      <c r="L3002"/>
      <c r="M3002" s="17"/>
      <c r="N3002"/>
      <c r="O3002"/>
      <c r="P3002" s="34"/>
    </row>
    <row r="3003" spans="1:16" x14ac:dyDescent="0.25">
      <c r="A3003" s="14"/>
      <c r="B3003"/>
      <c r="C3003" s="15"/>
      <c r="D3003"/>
      <c r="E3003"/>
      <c r="F3003" s="16"/>
      <c r="G3003"/>
      <c r="H3003"/>
      <c r="I3003" s="16"/>
      <c r="J3003"/>
      <c r="K3003"/>
      <c r="L3003"/>
      <c r="M3003" s="17"/>
      <c r="N3003"/>
      <c r="O3003"/>
      <c r="P3003" s="34"/>
    </row>
    <row r="3004" spans="1:16" x14ac:dyDescent="0.25">
      <c r="A3004" s="14"/>
      <c r="B3004"/>
      <c r="C3004" s="15"/>
      <c r="D3004"/>
      <c r="E3004"/>
      <c r="F3004" s="16"/>
      <c r="G3004"/>
      <c r="H3004"/>
      <c r="I3004" s="16"/>
      <c r="J3004"/>
      <c r="K3004"/>
      <c r="L3004"/>
      <c r="M3004" s="17"/>
      <c r="N3004"/>
      <c r="O3004"/>
      <c r="P3004" s="34"/>
    </row>
    <row r="3005" spans="1:16" x14ac:dyDescent="0.25">
      <c r="A3005" s="14"/>
      <c r="B3005"/>
      <c r="C3005" s="15"/>
      <c r="D3005"/>
      <c r="E3005"/>
      <c r="F3005" s="16"/>
      <c r="G3005"/>
      <c r="H3005"/>
      <c r="I3005" s="16"/>
      <c r="J3005"/>
      <c r="K3005"/>
      <c r="L3005"/>
      <c r="M3005" s="17"/>
      <c r="N3005"/>
      <c r="O3005"/>
      <c r="P3005" s="34"/>
    </row>
    <row r="3006" spans="1:16" x14ac:dyDescent="0.25">
      <c r="A3006" s="14"/>
      <c r="B3006"/>
      <c r="C3006" s="15"/>
      <c r="D3006"/>
      <c r="E3006"/>
      <c r="F3006" s="16"/>
      <c r="G3006"/>
      <c r="H3006"/>
      <c r="I3006" s="16"/>
      <c r="J3006"/>
      <c r="K3006"/>
      <c r="L3006"/>
      <c r="M3006" s="17"/>
      <c r="N3006"/>
      <c r="O3006"/>
      <c r="P3006" s="34"/>
    </row>
    <row r="3007" spans="1:16" x14ac:dyDescent="0.25">
      <c r="A3007" s="14"/>
      <c r="B3007"/>
      <c r="C3007" s="15"/>
      <c r="D3007"/>
      <c r="E3007"/>
      <c r="F3007" s="16"/>
      <c r="G3007"/>
      <c r="H3007"/>
      <c r="I3007" s="16"/>
      <c r="J3007"/>
      <c r="K3007"/>
      <c r="L3007"/>
      <c r="M3007" s="17"/>
      <c r="N3007"/>
      <c r="O3007"/>
      <c r="P3007" s="34"/>
    </row>
    <row r="3008" spans="1:16" x14ac:dyDescent="0.25">
      <c r="A3008" s="14"/>
      <c r="B3008"/>
      <c r="C3008" s="15"/>
      <c r="D3008"/>
      <c r="E3008"/>
      <c r="F3008" s="16"/>
      <c r="G3008"/>
      <c r="H3008"/>
      <c r="I3008" s="16"/>
      <c r="J3008"/>
      <c r="K3008"/>
      <c r="L3008"/>
      <c r="M3008" s="17"/>
      <c r="N3008"/>
      <c r="O3008"/>
      <c r="P3008" s="34"/>
    </row>
    <row r="3009" spans="1:16" x14ac:dyDescent="0.25">
      <c r="A3009" s="14"/>
      <c r="B3009"/>
      <c r="C3009" s="15"/>
      <c r="D3009"/>
      <c r="E3009"/>
      <c r="F3009" s="16"/>
      <c r="G3009"/>
      <c r="H3009"/>
      <c r="I3009" s="16"/>
      <c r="J3009"/>
      <c r="K3009"/>
      <c r="L3009"/>
      <c r="M3009" s="17"/>
      <c r="N3009"/>
      <c r="O3009"/>
      <c r="P3009" s="34"/>
    </row>
    <row r="3010" spans="1:16" x14ac:dyDescent="0.25">
      <c r="A3010" s="14"/>
      <c r="B3010"/>
      <c r="C3010" s="15"/>
      <c r="D3010"/>
      <c r="E3010"/>
      <c r="F3010" s="16"/>
      <c r="G3010"/>
      <c r="H3010"/>
      <c r="I3010" s="16"/>
      <c r="J3010"/>
      <c r="K3010"/>
      <c r="L3010"/>
      <c r="M3010" s="17"/>
      <c r="N3010"/>
      <c r="O3010"/>
      <c r="P3010" s="34"/>
    </row>
    <row r="3011" spans="1:16" x14ac:dyDescent="0.25">
      <c r="A3011" s="14"/>
      <c r="B3011"/>
      <c r="C3011" s="15"/>
      <c r="D3011"/>
      <c r="E3011"/>
      <c r="F3011" s="16"/>
      <c r="G3011"/>
      <c r="H3011"/>
      <c r="I3011" s="16"/>
      <c r="J3011"/>
      <c r="K3011"/>
      <c r="L3011"/>
      <c r="M3011" s="17"/>
      <c r="N3011"/>
      <c r="O3011"/>
      <c r="P3011" s="34"/>
    </row>
    <row r="3012" spans="1:16" x14ac:dyDescent="0.25">
      <c r="A3012" s="14"/>
      <c r="B3012"/>
      <c r="C3012" s="15"/>
      <c r="D3012"/>
      <c r="E3012"/>
      <c r="F3012" s="16"/>
      <c r="G3012"/>
      <c r="H3012"/>
      <c r="I3012" s="16"/>
      <c r="J3012"/>
      <c r="K3012"/>
      <c r="L3012"/>
      <c r="M3012" s="17"/>
      <c r="N3012"/>
      <c r="O3012"/>
      <c r="P3012" s="34"/>
    </row>
    <row r="3013" spans="1:16" x14ac:dyDescent="0.25">
      <c r="A3013" s="14"/>
      <c r="B3013"/>
      <c r="C3013" s="15"/>
      <c r="D3013"/>
      <c r="E3013"/>
      <c r="F3013" s="16"/>
      <c r="G3013"/>
      <c r="H3013"/>
      <c r="I3013" s="16"/>
      <c r="J3013"/>
      <c r="K3013"/>
      <c r="L3013"/>
      <c r="M3013" s="17"/>
      <c r="N3013"/>
      <c r="O3013"/>
      <c r="P3013" s="34"/>
    </row>
    <row r="3014" spans="1:16" x14ac:dyDescent="0.25">
      <c r="A3014" s="14"/>
      <c r="B3014"/>
      <c r="C3014" s="15"/>
      <c r="D3014"/>
      <c r="E3014"/>
      <c r="F3014" s="16"/>
      <c r="G3014"/>
      <c r="H3014"/>
      <c r="I3014" s="16"/>
      <c r="J3014"/>
      <c r="K3014"/>
      <c r="L3014"/>
      <c r="M3014" s="17"/>
      <c r="N3014"/>
      <c r="O3014"/>
      <c r="P3014" s="34"/>
    </row>
    <row r="3015" spans="1:16" x14ac:dyDescent="0.25">
      <c r="A3015" s="14"/>
      <c r="B3015"/>
      <c r="C3015" s="15"/>
      <c r="D3015"/>
      <c r="E3015"/>
      <c r="F3015" s="16"/>
      <c r="G3015"/>
      <c r="H3015"/>
      <c r="I3015" s="16"/>
      <c r="J3015"/>
      <c r="K3015"/>
      <c r="L3015"/>
      <c r="M3015" s="17"/>
      <c r="N3015"/>
      <c r="O3015"/>
      <c r="P3015" s="34"/>
    </row>
    <row r="3016" spans="1:16" x14ac:dyDescent="0.25">
      <c r="A3016" s="14"/>
      <c r="B3016"/>
      <c r="C3016" s="15"/>
      <c r="D3016"/>
      <c r="E3016"/>
      <c r="F3016" s="16"/>
      <c r="G3016"/>
      <c r="H3016"/>
      <c r="I3016" s="16"/>
      <c r="J3016"/>
      <c r="K3016"/>
      <c r="L3016"/>
      <c r="M3016" s="17"/>
      <c r="N3016"/>
      <c r="O3016"/>
      <c r="P3016" s="34"/>
    </row>
    <row r="3017" spans="1:16" x14ac:dyDescent="0.25">
      <c r="A3017" s="14"/>
      <c r="B3017"/>
      <c r="C3017" s="15"/>
      <c r="D3017"/>
      <c r="E3017"/>
      <c r="F3017" s="16"/>
      <c r="G3017"/>
      <c r="H3017"/>
      <c r="I3017" s="16"/>
      <c r="J3017"/>
      <c r="K3017"/>
      <c r="L3017"/>
      <c r="M3017" s="17"/>
      <c r="N3017"/>
      <c r="O3017"/>
      <c r="P3017" s="34"/>
    </row>
    <row r="3018" spans="1:16" x14ac:dyDescent="0.25">
      <c r="A3018" s="14"/>
      <c r="B3018"/>
      <c r="C3018" s="15"/>
      <c r="D3018"/>
      <c r="E3018"/>
      <c r="F3018" s="16"/>
      <c r="G3018"/>
      <c r="H3018"/>
      <c r="I3018" s="16"/>
      <c r="J3018"/>
      <c r="K3018"/>
      <c r="L3018"/>
      <c r="M3018" s="17"/>
      <c r="N3018"/>
      <c r="O3018"/>
      <c r="P3018" s="34"/>
    </row>
    <row r="3019" spans="1:16" x14ac:dyDescent="0.25">
      <c r="A3019" s="14"/>
      <c r="B3019"/>
      <c r="C3019" s="15"/>
      <c r="D3019"/>
      <c r="E3019"/>
      <c r="F3019" s="16"/>
      <c r="G3019"/>
      <c r="H3019"/>
      <c r="I3019" s="16"/>
      <c r="J3019"/>
      <c r="K3019"/>
      <c r="L3019"/>
      <c r="M3019" s="17"/>
      <c r="N3019"/>
      <c r="O3019"/>
      <c r="P3019" s="34"/>
    </row>
    <row r="3020" spans="1:16" x14ac:dyDescent="0.25">
      <c r="A3020" s="14"/>
      <c r="B3020"/>
      <c r="C3020" s="15"/>
      <c r="D3020"/>
      <c r="E3020"/>
      <c r="F3020" s="16"/>
      <c r="G3020"/>
      <c r="H3020"/>
      <c r="I3020" s="16"/>
      <c r="J3020"/>
      <c r="K3020"/>
      <c r="L3020"/>
      <c r="M3020" s="17"/>
      <c r="N3020"/>
      <c r="O3020"/>
      <c r="P3020" s="34"/>
    </row>
    <row r="3021" spans="1:16" x14ac:dyDescent="0.25">
      <c r="A3021" s="14"/>
      <c r="B3021"/>
      <c r="C3021" s="15"/>
      <c r="D3021"/>
      <c r="E3021"/>
      <c r="F3021" s="16"/>
      <c r="G3021"/>
      <c r="H3021"/>
      <c r="I3021" s="16"/>
      <c r="J3021"/>
      <c r="K3021"/>
      <c r="L3021"/>
      <c r="M3021" s="17"/>
      <c r="N3021"/>
      <c r="O3021"/>
      <c r="P3021" s="34"/>
    </row>
    <row r="3022" spans="1:16" x14ac:dyDescent="0.25">
      <c r="A3022" s="14"/>
      <c r="B3022"/>
      <c r="C3022" s="15"/>
      <c r="D3022"/>
      <c r="E3022"/>
      <c r="F3022" s="16"/>
      <c r="G3022"/>
      <c r="H3022"/>
      <c r="I3022" s="16"/>
      <c r="J3022"/>
      <c r="K3022"/>
      <c r="L3022"/>
      <c r="M3022" s="17"/>
      <c r="N3022"/>
      <c r="O3022"/>
      <c r="P3022" s="34"/>
    </row>
    <row r="3023" spans="1:16" x14ac:dyDescent="0.25">
      <c r="A3023" s="14"/>
      <c r="B3023"/>
      <c r="C3023" s="15"/>
      <c r="D3023"/>
      <c r="E3023"/>
      <c r="F3023" s="16"/>
      <c r="G3023"/>
      <c r="H3023"/>
      <c r="I3023" s="16"/>
      <c r="J3023"/>
      <c r="K3023"/>
      <c r="L3023"/>
      <c r="M3023" s="17"/>
      <c r="N3023"/>
      <c r="O3023"/>
      <c r="P3023" s="34"/>
    </row>
    <row r="3024" spans="1:16" x14ac:dyDescent="0.25">
      <c r="A3024" s="14"/>
      <c r="B3024"/>
      <c r="C3024" s="15"/>
      <c r="D3024"/>
      <c r="E3024"/>
      <c r="F3024" s="16"/>
      <c r="G3024"/>
      <c r="H3024"/>
      <c r="I3024" s="16"/>
      <c r="J3024"/>
      <c r="K3024"/>
      <c r="L3024"/>
      <c r="M3024" s="17"/>
      <c r="N3024"/>
      <c r="O3024"/>
      <c r="P3024" s="34"/>
    </row>
    <row r="3025" spans="1:16" x14ac:dyDescent="0.25">
      <c r="A3025" s="14"/>
      <c r="B3025"/>
      <c r="C3025" s="15"/>
      <c r="D3025"/>
      <c r="E3025"/>
      <c r="F3025" s="16"/>
      <c r="G3025"/>
      <c r="H3025"/>
      <c r="I3025" s="16"/>
      <c r="J3025"/>
      <c r="K3025"/>
      <c r="L3025"/>
      <c r="M3025" s="17"/>
      <c r="N3025"/>
      <c r="O3025"/>
      <c r="P3025" s="34"/>
    </row>
    <row r="3026" spans="1:16" x14ac:dyDescent="0.25">
      <c r="A3026" s="14"/>
      <c r="B3026"/>
      <c r="C3026" s="15"/>
      <c r="D3026"/>
      <c r="E3026"/>
      <c r="F3026" s="16"/>
      <c r="G3026"/>
      <c r="H3026"/>
      <c r="I3026" s="16"/>
      <c r="J3026"/>
      <c r="K3026"/>
      <c r="L3026"/>
      <c r="M3026" s="17"/>
      <c r="N3026"/>
      <c r="O3026"/>
      <c r="P3026" s="34"/>
    </row>
    <row r="3027" spans="1:16" x14ac:dyDescent="0.25">
      <c r="A3027" s="14"/>
      <c r="B3027"/>
      <c r="C3027" s="15"/>
      <c r="D3027"/>
      <c r="E3027"/>
      <c r="F3027" s="16"/>
      <c r="G3027"/>
      <c r="H3027"/>
      <c r="I3027" s="16"/>
      <c r="J3027"/>
      <c r="K3027"/>
      <c r="L3027"/>
      <c r="M3027" s="17"/>
      <c r="N3027"/>
      <c r="O3027"/>
      <c r="P3027" s="34"/>
    </row>
    <row r="3028" spans="1:16" x14ac:dyDescent="0.25">
      <c r="A3028" s="14"/>
      <c r="B3028"/>
      <c r="C3028" s="15"/>
      <c r="D3028"/>
      <c r="E3028"/>
      <c r="F3028" s="16"/>
      <c r="G3028"/>
      <c r="H3028"/>
      <c r="I3028" s="16"/>
      <c r="J3028"/>
      <c r="K3028"/>
      <c r="L3028"/>
      <c r="M3028" s="17"/>
      <c r="N3028"/>
      <c r="O3028"/>
      <c r="P3028" s="34"/>
    </row>
    <row r="3029" spans="1:16" x14ac:dyDescent="0.25">
      <c r="A3029" s="14"/>
      <c r="B3029"/>
      <c r="C3029" s="15"/>
      <c r="D3029"/>
      <c r="E3029"/>
      <c r="F3029" s="16"/>
      <c r="G3029"/>
      <c r="H3029"/>
      <c r="I3029" s="16"/>
      <c r="J3029"/>
      <c r="K3029"/>
      <c r="L3029"/>
      <c r="M3029" s="17"/>
      <c r="N3029"/>
      <c r="O3029"/>
      <c r="P3029" s="34"/>
    </row>
    <row r="3030" spans="1:16" x14ac:dyDescent="0.25">
      <c r="A3030" s="14"/>
      <c r="B3030"/>
      <c r="C3030" s="15"/>
      <c r="D3030"/>
      <c r="E3030"/>
      <c r="F3030" s="16"/>
      <c r="G3030"/>
      <c r="H3030"/>
      <c r="I3030" s="16"/>
      <c r="J3030"/>
      <c r="K3030"/>
      <c r="L3030"/>
      <c r="M3030" s="17"/>
      <c r="N3030"/>
      <c r="O3030"/>
      <c r="P3030" s="34"/>
    </row>
    <row r="3031" spans="1:16" x14ac:dyDescent="0.25">
      <c r="A3031" s="14"/>
      <c r="B3031"/>
      <c r="C3031" s="15"/>
      <c r="D3031"/>
      <c r="E3031"/>
      <c r="F3031" s="16"/>
      <c r="G3031"/>
      <c r="H3031"/>
      <c r="I3031" s="16"/>
      <c r="J3031"/>
      <c r="K3031"/>
      <c r="L3031"/>
      <c r="M3031" s="17"/>
      <c r="N3031"/>
      <c r="O3031"/>
      <c r="P3031" s="34"/>
    </row>
    <row r="3032" spans="1:16" x14ac:dyDescent="0.25">
      <c r="A3032" s="14"/>
      <c r="B3032"/>
      <c r="C3032" s="15"/>
      <c r="D3032"/>
      <c r="E3032"/>
      <c r="F3032" s="16"/>
      <c r="G3032"/>
      <c r="H3032"/>
      <c r="I3032" s="16"/>
      <c r="J3032"/>
      <c r="K3032"/>
      <c r="L3032"/>
      <c r="M3032" s="17"/>
      <c r="N3032"/>
      <c r="O3032"/>
      <c r="P3032" s="34"/>
    </row>
    <row r="3033" spans="1:16" x14ac:dyDescent="0.25">
      <c r="A3033" s="14"/>
      <c r="B3033"/>
      <c r="C3033" s="15"/>
      <c r="D3033"/>
      <c r="E3033"/>
      <c r="F3033" s="16"/>
      <c r="G3033"/>
      <c r="H3033"/>
      <c r="I3033" s="16"/>
      <c r="J3033"/>
      <c r="K3033"/>
      <c r="L3033"/>
      <c r="M3033" s="17"/>
      <c r="N3033"/>
      <c r="O3033"/>
      <c r="P3033" s="34"/>
    </row>
    <row r="3034" spans="1:16" x14ac:dyDescent="0.25">
      <c r="A3034" s="14"/>
      <c r="B3034"/>
      <c r="C3034" s="15"/>
      <c r="D3034"/>
      <c r="E3034"/>
      <c r="F3034" s="16"/>
      <c r="G3034"/>
      <c r="H3034"/>
      <c r="I3034" s="16"/>
      <c r="J3034"/>
      <c r="K3034"/>
      <c r="L3034"/>
      <c r="M3034" s="17"/>
      <c r="N3034"/>
      <c r="O3034"/>
      <c r="P3034" s="34"/>
    </row>
    <row r="3035" spans="1:16" x14ac:dyDescent="0.25">
      <c r="A3035" s="14"/>
      <c r="B3035"/>
      <c r="C3035" s="15"/>
      <c r="D3035"/>
      <c r="E3035"/>
      <c r="F3035" s="16"/>
      <c r="G3035"/>
      <c r="H3035"/>
      <c r="I3035" s="16"/>
      <c r="J3035"/>
      <c r="K3035"/>
      <c r="L3035"/>
      <c r="M3035" s="17"/>
      <c r="N3035"/>
      <c r="O3035"/>
      <c r="P3035" s="34"/>
    </row>
    <row r="3036" spans="1:16" x14ac:dyDescent="0.25">
      <c r="A3036" s="14"/>
      <c r="B3036"/>
      <c r="C3036" s="15"/>
      <c r="D3036"/>
      <c r="E3036"/>
      <c r="F3036" s="16"/>
      <c r="G3036"/>
      <c r="H3036"/>
      <c r="I3036" s="16"/>
      <c r="J3036"/>
      <c r="K3036"/>
      <c r="L3036"/>
      <c r="M3036" s="17"/>
      <c r="N3036"/>
      <c r="O3036"/>
      <c r="P3036" s="34"/>
    </row>
    <row r="3037" spans="1:16" x14ac:dyDescent="0.25">
      <c r="A3037" s="14"/>
      <c r="B3037"/>
      <c r="C3037" s="15"/>
      <c r="D3037"/>
      <c r="E3037"/>
      <c r="F3037" s="16"/>
      <c r="G3037"/>
      <c r="H3037"/>
      <c r="I3037" s="16"/>
      <c r="J3037"/>
      <c r="K3037"/>
      <c r="L3037"/>
      <c r="M3037" s="17"/>
      <c r="N3037"/>
      <c r="O3037"/>
      <c r="P3037" s="34"/>
    </row>
    <row r="3038" spans="1:16" x14ac:dyDescent="0.25">
      <c r="A3038" s="14"/>
      <c r="B3038"/>
      <c r="C3038" s="15"/>
      <c r="D3038"/>
      <c r="E3038"/>
      <c r="F3038" s="16"/>
      <c r="G3038"/>
      <c r="H3038"/>
      <c r="I3038" s="16"/>
      <c r="J3038"/>
      <c r="K3038"/>
      <c r="L3038"/>
      <c r="M3038" s="17"/>
      <c r="N3038"/>
      <c r="O3038"/>
      <c r="P3038" s="34"/>
    </row>
    <row r="3039" spans="1:16" x14ac:dyDescent="0.25">
      <c r="A3039" s="14"/>
      <c r="B3039"/>
      <c r="C3039" s="15"/>
      <c r="D3039"/>
      <c r="E3039"/>
      <c r="F3039" s="16"/>
      <c r="G3039"/>
      <c r="H3039"/>
      <c r="I3039" s="16"/>
      <c r="J3039"/>
      <c r="K3039"/>
      <c r="L3039"/>
      <c r="M3039" s="17"/>
      <c r="N3039"/>
      <c r="O3039"/>
      <c r="P3039" s="34"/>
    </row>
    <row r="3040" spans="1:16" x14ac:dyDescent="0.25">
      <c r="A3040" s="14"/>
      <c r="B3040"/>
      <c r="C3040" s="15"/>
      <c r="D3040"/>
      <c r="E3040"/>
      <c r="F3040" s="16"/>
      <c r="G3040"/>
      <c r="H3040"/>
      <c r="I3040" s="16"/>
      <c r="J3040"/>
      <c r="K3040"/>
      <c r="L3040"/>
      <c r="M3040" s="17"/>
      <c r="N3040"/>
      <c r="O3040"/>
      <c r="P3040" s="34"/>
    </row>
    <row r="3041" spans="1:16" x14ac:dyDescent="0.25">
      <c r="A3041" s="14"/>
      <c r="B3041"/>
      <c r="C3041" s="15"/>
      <c r="D3041"/>
      <c r="E3041"/>
      <c r="F3041" s="16"/>
      <c r="G3041"/>
      <c r="H3041"/>
      <c r="I3041" s="16"/>
      <c r="J3041"/>
      <c r="K3041"/>
      <c r="L3041"/>
      <c r="M3041" s="17"/>
      <c r="N3041"/>
      <c r="O3041"/>
      <c r="P3041" s="34"/>
    </row>
    <row r="3042" spans="1:16" x14ac:dyDescent="0.25">
      <c r="A3042" s="14"/>
      <c r="B3042"/>
      <c r="C3042" s="15"/>
      <c r="D3042"/>
      <c r="E3042"/>
      <c r="F3042" s="16"/>
      <c r="G3042"/>
      <c r="H3042"/>
      <c r="I3042" s="16"/>
      <c r="J3042"/>
      <c r="K3042"/>
      <c r="L3042"/>
      <c r="M3042" s="17"/>
      <c r="N3042"/>
      <c r="O3042"/>
      <c r="P3042" s="34"/>
    </row>
    <row r="3043" spans="1:16" x14ac:dyDescent="0.25">
      <c r="A3043" s="14"/>
      <c r="B3043"/>
      <c r="C3043" s="15"/>
      <c r="D3043"/>
      <c r="E3043"/>
      <c r="F3043" s="16"/>
      <c r="G3043"/>
      <c r="H3043"/>
      <c r="I3043" s="16"/>
      <c r="J3043"/>
      <c r="K3043"/>
      <c r="L3043"/>
      <c r="M3043" s="17"/>
      <c r="N3043"/>
      <c r="O3043"/>
      <c r="P3043" s="34"/>
    </row>
    <row r="3044" spans="1:16" x14ac:dyDescent="0.25">
      <c r="A3044" s="14"/>
      <c r="B3044"/>
      <c r="C3044" s="15"/>
      <c r="D3044"/>
      <c r="E3044"/>
      <c r="F3044" s="16"/>
      <c r="G3044"/>
      <c r="H3044"/>
      <c r="I3044" s="16"/>
      <c r="J3044"/>
      <c r="K3044"/>
      <c r="L3044"/>
      <c r="M3044" s="17"/>
      <c r="N3044"/>
      <c r="O3044"/>
      <c r="P3044" s="34"/>
    </row>
    <row r="3045" spans="1:16" x14ac:dyDescent="0.25">
      <c r="A3045" s="14"/>
      <c r="B3045"/>
      <c r="C3045" s="15"/>
      <c r="D3045"/>
      <c r="E3045"/>
      <c r="F3045" s="16"/>
      <c r="G3045"/>
      <c r="H3045"/>
      <c r="I3045" s="16"/>
      <c r="J3045"/>
      <c r="K3045"/>
      <c r="L3045"/>
      <c r="M3045" s="17"/>
      <c r="N3045"/>
      <c r="O3045"/>
      <c r="P3045" s="34"/>
    </row>
    <row r="3046" spans="1:16" x14ac:dyDescent="0.25">
      <c r="A3046" s="14"/>
      <c r="B3046"/>
      <c r="C3046" s="15"/>
      <c r="D3046"/>
      <c r="E3046"/>
      <c r="F3046" s="16"/>
      <c r="G3046"/>
      <c r="H3046"/>
      <c r="I3046" s="16"/>
      <c r="J3046"/>
      <c r="K3046"/>
      <c r="L3046"/>
      <c r="M3046" s="17"/>
      <c r="N3046"/>
      <c r="O3046"/>
      <c r="P3046" s="34"/>
    </row>
    <row r="3047" spans="1:16" x14ac:dyDescent="0.25">
      <c r="A3047" s="14"/>
      <c r="B3047"/>
      <c r="C3047" s="15"/>
      <c r="D3047"/>
      <c r="E3047"/>
      <c r="F3047" s="16"/>
      <c r="G3047"/>
      <c r="H3047"/>
      <c r="I3047" s="16"/>
      <c r="J3047"/>
      <c r="K3047"/>
      <c r="L3047"/>
      <c r="M3047" s="17"/>
      <c r="N3047"/>
      <c r="O3047"/>
      <c r="P3047" s="34"/>
    </row>
    <row r="3048" spans="1:16" x14ac:dyDescent="0.25">
      <c r="A3048" s="14"/>
      <c r="B3048"/>
      <c r="C3048" s="15"/>
      <c r="D3048"/>
      <c r="E3048"/>
      <c r="F3048" s="16"/>
      <c r="G3048"/>
      <c r="H3048"/>
      <c r="I3048" s="16"/>
      <c r="J3048"/>
      <c r="K3048"/>
      <c r="L3048"/>
      <c r="M3048" s="17"/>
      <c r="N3048"/>
      <c r="O3048"/>
      <c r="P3048" s="34"/>
    </row>
    <row r="3049" spans="1:16" x14ac:dyDescent="0.25">
      <c r="A3049" s="14"/>
      <c r="B3049"/>
      <c r="C3049" s="15"/>
      <c r="D3049"/>
      <c r="E3049"/>
      <c r="F3049" s="16"/>
      <c r="G3049"/>
      <c r="H3049"/>
      <c r="I3049" s="16"/>
      <c r="J3049"/>
      <c r="K3049"/>
      <c r="L3049"/>
      <c r="M3049" s="17"/>
      <c r="N3049"/>
      <c r="O3049"/>
      <c r="P3049" s="34"/>
    </row>
    <row r="3050" spans="1:16" x14ac:dyDescent="0.25">
      <c r="A3050" s="14"/>
      <c r="B3050"/>
      <c r="C3050" s="15"/>
      <c r="D3050"/>
      <c r="E3050"/>
      <c r="F3050" s="16"/>
      <c r="G3050"/>
      <c r="H3050"/>
      <c r="I3050" s="16"/>
      <c r="J3050"/>
      <c r="K3050"/>
      <c r="L3050"/>
      <c r="M3050" s="17"/>
      <c r="N3050"/>
      <c r="O3050"/>
      <c r="P3050" s="34"/>
    </row>
    <row r="3051" spans="1:16" x14ac:dyDescent="0.25">
      <c r="A3051" s="14"/>
      <c r="B3051"/>
      <c r="C3051" s="15"/>
      <c r="D3051"/>
      <c r="E3051"/>
      <c r="F3051" s="16"/>
      <c r="G3051"/>
      <c r="H3051"/>
      <c r="I3051" s="16"/>
      <c r="J3051"/>
      <c r="K3051"/>
      <c r="L3051"/>
      <c r="M3051" s="17"/>
      <c r="N3051"/>
      <c r="O3051"/>
      <c r="P3051" s="34"/>
    </row>
    <row r="3052" spans="1:16" x14ac:dyDescent="0.25">
      <c r="A3052" s="14"/>
      <c r="B3052"/>
      <c r="C3052" s="15"/>
      <c r="D3052"/>
      <c r="E3052"/>
      <c r="F3052" s="16"/>
      <c r="G3052"/>
      <c r="H3052"/>
      <c r="I3052" s="16"/>
      <c r="J3052"/>
      <c r="K3052"/>
      <c r="L3052"/>
      <c r="M3052" s="17"/>
      <c r="N3052"/>
      <c r="O3052"/>
      <c r="P3052" s="34"/>
    </row>
    <row r="3053" spans="1:16" x14ac:dyDescent="0.25">
      <c r="A3053" s="14"/>
      <c r="B3053"/>
      <c r="C3053" s="15"/>
      <c r="D3053"/>
      <c r="E3053"/>
      <c r="F3053" s="16"/>
      <c r="G3053"/>
      <c r="H3053"/>
      <c r="I3053" s="16"/>
      <c r="J3053"/>
      <c r="K3053"/>
      <c r="L3053"/>
      <c r="M3053" s="17"/>
      <c r="N3053"/>
      <c r="O3053"/>
      <c r="P3053" s="34"/>
    </row>
    <row r="3054" spans="1:16" x14ac:dyDescent="0.25">
      <c r="A3054" s="14"/>
      <c r="B3054"/>
      <c r="C3054" s="15"/>
      <c r="D3054"/>
      <c r="E3054"/>
      <c r="F3054" s="16"/>
      <c r="G3054"/>
      <c r="H3054"/>
      <c r="I3054" s="16"/>
      <c r="J3054"/>
      <c r="K3054"/>
      <c r="L3054"/>
      <c r="M3054" s="17"/>
      <c r="N3054"/>
      <c r="O3054"/>
      <c r="P3054" s="34"/>
    </row>
    <row r="3055" spans="1:16" x14ac:dyDescent="0.25">
      <c r="A3055" s="14"/>
      <c r="B3055"/>
      <c r="C3055" s="15"/>
      <c r="D3055"/>
      <c r="E3055"/>
      <c r="F3055" s="16"/>
      <c r="G3055"/>
      <c r="H3055"/>
      <c r="I3055" s="16"/>
      <c r="J3055"/>
      <c r="K3055"/>
      <c r="L3055"/>
      <c r="M3055" s="17"/>
      <c r="N3055"/>
      <c r="O3055"/>
      <c r="P3055" s="34"/>
    </row>
    <row r="3056" spans="1:16" x14ac:dyDescent="0.25">
      <c r="A3056" s="14"/>
      <c r="B3056"/>
      <c r="C3056" s="15"/>
      <c r="D3056"/>
      <c r="E3056"/>
      <c r="F3056" s="16"/>
      <c r="G3056"/>
      <c r="H3056"/>
      <c r="I3056" s="16"/>
      <c r="J3056"/>
      <c r="K3056"/>
      <c r="L3056"/>
      <c r="M3056" s="17"/>
      <c r="N3056"/>
      <c r="O3056"/>
      <c r="P3056" s="34"/>
    </row>
    <row r="3057" spans="1:16" x14ac:dyDescent="0.25">
      <c r="A3057" s="14"/>
      <c r="B3057"/>
      <c r="C3057" s="15"/>
      <c r="D3057"/>
      <c r="E3057"/>
      <c r="F3057" s="16"/>
      <c r="G3057"/>
      <c r="H3057"/>
      <c r="I3057" s="16"/>
      <c r="J3057"/>
      <c r="K3057"/>
      <c r="L3057"/>
      <c r="M3057" s="17"/>
      <c r="N3057"/>
      <c r="O3057"/>
      <c r="P3057" s="34"/>
    </row>
    <row r="3058" spans="1:16" x14ac:dyDescent="0.25">
      <c r="A3058" s="14"/>
      <c r="B3058"/>
      <c r="C3058" s="15"/>
      <c r="D3058"/>
      <c r="E3058"/>
      <c r="F3058" s="16"/>
      <c r="G3058"/>
      <c r="H3058"/>
      <c r="I3058" s="16"/>
      <c r="J3058"/>
      <c r="K3058"/>
      <c r="L3058"/>
      <c r="M3058" s="17"/>
      <c r="N3058"/>
      <c r="O3058"/>
      <c r="P3058" s="34"/>
    </row>
    <row r="3059" spans="1:16" x14ac:dyDescent="0.25">
      <c r="A3059" s="14"/>
      <c r="B3059"/>
      <c r="C3059" s="15"/>
      <c r="D3059"/>
      <c r="E3059"/>
      <c r="F3059" s="16"/>
      <c r="G3059"/>
      <c r="H3059"/>
      <c r="I3059" s="16"/>
      <c r="J3059"/>
      <c r="K3059"/>
      <c r="L3059"/>
      <c r="M3059" s="17"/>
      <c r="N3059"/>
      <c r="O3059"/>
      <c r="P3059" s="34"/>
    </row>
    <row r="3060" spans="1:16" x14ac:dyDescent="0.25">
      <c r="A3060" s="14"/>
      <c r="B3060"/>
      <c r="C3060" s="15"/>
      <c r="D3060"/>
      <c r="E3060"/>
      <c r="F3060" s="16"/>
      <c r="G3060"/>
      <c r="H3060"/>
      <c r="I3060" s="16"/>
      <c r="J3060"/>
      <c r="K3060"/>
      <c r="L3060"/>
      <c r="M3060" s="17"/>
      <c r="N3060"/>
      <c r="O3060"/>
      <c r="P3060" s="34"/>
    </row>
    <row r="3061" spans="1:16" x14ac:dyDescent="0.25">
      <c r="A3061" s="14"/>
      <c r="B3061"/>
      <c r="C3061" s="15"/>
      <c r="D3061"/>
      <c r="E3061"/>
      <c r="F3061" s="16"/>
      <c r="G3061"/>
      <c r="H3061"/>
      <c r="I3061" s="16"/>
      <c r="J3061"/>
      <c r="K3061"/>
      <c r="L3061"/>
      <c r="M3061" s="17"/>
      <c r="N3061"/>
      <c r="O3061"/>
      <c r="P3061" s="34"/>
    </row>
    <row r="3062" spans="1:16" x14ac:dyDescent="0.25">
      <c r="A3062" s="14"/>
      <c r="B3062"/>
      <c r="C3062" s="15"/>
      <c r="D3062"/>
      <c r="E3062"/>
      <c r="F3062" s="16"/>
      <c r="G3062"/>
      <c r="H3062"/>
      <c r="I3062" s="16"/>
      <c r="J3062"/>
      <c r="K3062"/>
      <c r="L3062"/>
      <c r="M3062" s="17"/>
      <c r="N3062"/>
      <c r="O3062"/>
      <c r="P3062" s="34"/>
    </row>
    <row r="3063" spans="1:16" x14ac:dyDescent="0.25">
      <c r="A3063" s="14"/>
      <c r="B3063"/>
      <c r="C3063" s="15"/>
      <c r="D3063"/>
      <c r="E3063"/>
      <c r="F3063" s="16"/>
      <c r="G3063"/>
      <c r="H3063"/>
      <c r="I3063" s="16"/>
      <c r="J3063"/>
      <c r="K3063"/>
      <c r="L3063"/>
      <c r="M3063" s="17"/>
      <c r="N3063"/>
      <c r="O3063"/>
      <c r="P3063" s="34"/>
    </row>
    <row r="3064" spans="1:16" x14ac:dyDescent="0.25">
      <c r="A3064" s="14"/>
      <c r="B3064"/>
      <c r="C3064" s="15"/>
      <c r="D3064"/>
      <c r="E3064"/>
      <c r="F3064" s="16"/>
      <c r="G3064"/>
      <c r="H3064"/>
      <c r="I3064" s="16"/>
      <c r="J3064"/>
      <c r="K3064"/>
      <c r="L3064"/>
      <c r="M3064" s="17"/>
      <c r="N3064"/>
      <c r="O3064"/>
      <c r="P3064" s="34"/>
    </row>
    <row r="3065" spans="1:16" x14ac:dyDescent="0.25">
      <c r="A3065" s="14"/>
      <c r="B3065"/>
      <c r="C3065" s="15"/>
      <c r="D3065"/>
      <c r="E3065"/>
      <c r="F3065" s="16"/>
      <c r="G3065"/>
      <c r="H3065"/>
      <c r="I3065" s="16"/>
      <c r="J3065"/>
      <c r="K3065"/>
      <c r="L3065"/>
      <c r="M3065" s="17"/>
      <c r="N3065"/>
      <c r="O3065"/>
      <c r="P3065" s="34"/>
    </row>
    <row r="3066" spans="1:16" x14ac:dyDescent="0.25">
      <c r="A3066" s="14"/>
      <c r="B3066"/>
      <c r="C3066" s="15"/>
      <c r="D3066"/>
      <c r="E3066"/>
      <c r="F3066" s="16"/>
      <c r="G3066"/>
      <c r="H3066"/>
      <c r="I3066" s="16"/>
      <c r="J3066"/>
      <c r="K3066"/>
      <c r="L3066"/>
      <c r="M3066" s="17"/>
      <c r="N3066"/>
      <c r="O3066"/>
      <c r="P3066" s="34"/>
    </row>
    <row r="3067" spans="1:16" x14ac:dyDescent="0.25">
      <c r="A3067" s="14"/>
      <c r="B3067"/>
      <c r="C3067" s="15"/>
      <c r="D3067"/>
      <c r="E3067"/>
      <c r="F3067" s="16"/>
      <c r="G3067"/>
      <c r="H3067"/>
      <c r="I3067" s="16"/>
      <c r="J3067"/>
      <c r="K3067"/>
      <c r="L3067"/>
      <c r="M3067" s="17"/>
      <c r="N3067"/>
      <c r="O3067"/>
      <c r="P3067" s="34"/>
    </row>
    <row r="3068" spans="1:16" x14ac:dyDescent="0.25">
      <c r="A3068" s="14"/>
      <c r="B3068"/>
      <c r="C3068" s="15"/>
      <c r="D3068"/>
      <c r="E3068"/>
      <c r="F3068" s="16"/>
      <c r="G3068"/>
      <c r="H3068"/>
      <c r="I3068" s="16"/>
      <c r="J3068"/>
      <c r="K3068"/>
      <c r="L3068"/>
      <c r="M3068" s="17"/>
      <c r="N3068"/>
      <c r="O3068"/>
      <c r="P3068" s="34"/>
    </row>
    <row r="3069" spans="1:16" x14ac:dyDescent="0.25">
      <c r="A3069" s="14"/>
      <c r="B3069"/>
      <c r="C3069" s="15"/>
      <c r="D3069"/>
      <c r="E3069"/>
      <c r="F3069" s="16"/>
      <c r="G3069"/>
      <c r="H3069"/>
      <c r="I3069" s="16"/>
      <c r="J3069"/>
      <c r="K3069"/>
      <c r="L3069"/>
      <c r="M3069" s="17"/>
      <c r="N3069"/>
      <c r="O3069"/>
      <c r="P3069" s="34"/>
    </row>
    <row r="3070" spans="1:16" x14ac:dyDescent="0.25">
      <c r="A3070" s="14"/>
      <c r="B3070"/>
      <c r="C3070" s="15"/>
      <c r="D3070"/>
      <c r="E3070"/>
      <c r="F3070" s="16"/>
      <c r="G3070"/>
      <c r="H3070"/>
      <c r="I3070" s="16"/>
      <c r="J3070"/>
      <c r="K3070"/>
      <c r="L3070"/>
      <c r="M3070" s="17"/>
      <c r="N3070"/>
      <c r="O3070"/>
      <c r="P3070" s="34"/>
    </row>
    <row r="3071" spans="1:16" x14ac:dyDescent="0.25">
      <c r="A3071" s="14"/>
      <c r="B3071"/>
      <c r="C3071" s="15"/>
      <c r="D3071"/>
      <c r="E3071"/>
      <c r="F3071" s="16"/>
      <c r="G3071"/>
      <c r="H3071"/>
      <c r="I3071" s="16"/>
      <c r="J3071"/>
      <c r="K3071"/>
      <c r="L3071"/>
      <c r="M3071" s="17"/>
      <c r="N3071"/>
      <c r="O3071"/>
      <c r="P3071" s="34"/>
    </row>
    <row r="3072" spans="1:16" x14ac:dyDescent="0.25">
      <c r="A3072" s="14"/>
      <c r="B3072"/>
      <c r="C3072" s="15"/>
      <c r="D3072"/>
      <c r="E3072"/>
      <c r="F3072" s="16"/>
      <c r="G3072"/>
      <c r="H3072"/>
      <c r="I3072" s="16"/>
      <c r="J3072"/>
      <c r="K3072"/>
      <c r="L3072"/>
      <c r="M3072" s="17"/>
      <c r="N3072"/>
      <c r="O3072"/>
      <c r="P3072" s="34"/>
    </row>
    <row r="3073" spans="1:16" x14ac:dyDescent="0.25">
      <c r="A3073" s="14"/>
      <c r="B3073"/>
      <c r="C3073" s="15"/>
      <c r="D3073"/>
      <c r="E3073"/>
      <c r="F3073" s="16"/>
      <c r="G3073"/>
      <c r="H3073"/>
      <c r="I3073" s="16"/>
      <c r="J3073"/>
      <c r="K3073"/>
      <c r="L3073"/>
      <c r="M3073" s="17"/>
      <c r="N3073"/>
      <c r="O3073"/>
      <c r="P3073" s="34"/>
    </row>
    <row r="3074" spans="1:16" x14ac:dyDescent="0.25">
      <c r="A3074" s="14"/>
      <c r="B3074"/>
      <c r="C3074" s="15"/>
      <c r="D3074"/>
      <c r="E3074"/>
      <c r="F3074" s="16"/>
      <c r="G3074"/>
      <c r="H3074"/>
      <c r="I3074" s="16"/>
      <c r="J3074"/>
      <c r="K3074"/>
      <c r="L3074"/>
      <c r="M3074" s="17"/>
      <c r="N3074"/>
      <c r="O3074"/>
      <c r="P3074" s="34"/>
    </row>
    <row r="3075" spans="1:16" x14ac:dyDescent="0.25">
      <c r="A3075" s="14"/>
      <c r="B3075"/>
      <c r="C3075" s="15"/>
      <c r="D3075"/>
      <c r="E3075"/>
      <c r="F3075" s="16"/>
      <c r="G3075"/>
      <c r="H3075"/>
      <c r="I3075" s="16"/>
      <c r="J3075"/>
      <c r="K3075"/>
      <c r="L3075"/>
      <c r="M3075" s="17"/>
      <c r="N3075"/>
      <c r="O3075"/>
      <c r="P3075" s="34"/>
    </row>
    <row r="3076" spans="1:16" x14ac:dyDescent="0.25">
      <c r="A3076" s="14"/>
      <c r="B3076"/>
      <c r="C3076" s="15"/>
      <c r="D3076"/>
      <c r="E3076"/>
      <c r="F3076" s="16"/>
      <c r="G3076"/>
      <c r="H3076"/>
      <c r="I3076" s="16"/>
      <c r="J3076"/>
      <c r="K3076"/>
      <c r="L3076"/>
      <c r="M3076" s="17"/>
      <c r="N3076"/>
      <c r="O3076"/>
      <c r="P3076" s="34"/>
    </row>
    <row r="3077" spans="1:16" x14ac:dyDescent="0.25">
      <c r="A3077" s="14"/>
      <c r="B3077"/>
      <c r="C3077" s="15"/>
      <c r="D3077"/>
      <c r="E3077"/>
      <c r="F3077" s="16"/>
      <c r="G3077"/>
      <c r="H3077"/>
      <c r="I3077" s="16"/>
      <c r="J3077"/>
      <c r="K3077"/>
      <c r="L3077"/>
      <c r="M3077" s="17"/>
      <c r="N3077"/>
      <c r="O3077"/>
      <c r="P3077" s="34"/>
    </row>
    <row r="3078" spans="1:16" x14ac:dyDescent="0.25">
      <c r="A3078" s="14"/>
      <c r="B3078"/>
      <c r="C3078" s="15"/>
      <c r="D3078"/>
      <c r="E3078"/>
      <c r="F3078" s="16"/>
      <c r="G3078"/>
      <c r="H3078"/>
      <c r="I3078" s="16"/>
      <c r="J3078"/>
      <c r="K3078"/>
      <c r="L3078"/>
      <c r="M3078" s="17"/>
      <c r="N3078"/>
      <c r="O3078"/>
      <c r="P3078" s="34"/>
    </row>
    <row r="3079" spans="1:16" x14ac:dyDescent="0.25">
      <c r="A3079" s="14"/>
      <c r="B3079"/>
      <c r="C3079" s="15"/>
      <c r="D3079"/>
      <c r="E3079"/>
      <c r="F3079" s="16"/>
      <c r="G3079"/>
      <c r="H3079"/>
      <c r="I3079" s="16"/>
      <c r="J3079"/>
      <c r="K3079"/>
      <c r="L3079"/>
      <c r="M3079" s="17"/>
      <c r="N3079"/>
      <c r="O3079"/>
      <c r="P3079" s="34"/>
    </row>
    <row r="3080" spans="1:16" x14ac:dyDescent="0.25">
      <c r="A3080" s="14"/>
      <c r="B3080"/>
      <c r="C3080" s="15"/>
      <c r="D3080"/>
      <c r="E3080"/>
      <c r="F3080" s="16"/>
      <c r="G3080"/>
      <c r="H3080"/>
      <c r="I3080" s="16"/>
      <c r="J3080"/>
      <c r="K3080"/>
      <c r="L3080"/>
      <c r="M3080" s="17"/>
      <c r="N3080"/>
      <c r="O3080"/>
      <c r="P3080" s="34"/>
    </row>
    <row r="3081" spans="1:16" x14ac:dyDescent="0.25">
      <c r="A3081" s="14"/>
      <c r="B3081"/>
      <c r="C3081" s="15"/>
      <c r="D3081"/>
      <c r="E3081"/>
      <c r="F3081" s="16"/>
      <c r="G3081"/>
      <c r="H3081"/>
      <c r="I3081" s="16"/>
      <c r="J3081"/>
      <c r="K3081"/>
      <c r="L3081"/>
      <c r="M3081" s="17"/>
      <c r="N3081"/>
      <c r="O3081"/>
      <c r="P3081" s="34"/>
    </row>
    <row r="3082" spans="1:16" x14ac:dyDescent="0.25">
      <c r="A3082" s="14"/>
      <c r="B3082"/>
      <c r="C3082" s="15"/>
      <c r="D3082"/>
      <c r="E3082"/>
      <c r="F3082" s="16"/>
      <c r="G3082"/>
      <c r="H3082"/>
      <c r="I3082" s="16"/>
      <c r="J3082"/>
      <c r="K3082"/>
      <c r="L3082"/>
      <c r="M3082" s="17"/>
      <c r="N3082"/>
      <c r="O3082"/>
      <c r="P3082" s="34"/>
    </row>
    <row r="3083" spans="1:16" x14ac:dyDescent="0.25">
      <c r="A3083" s="14"/>
      <c r="B3083"/>
      <c r="C3083" s="15"/>
      <c r="D3083"/>
      <c r="E3083"/>
      <c r="F3083" s="16"/>
      <c r="G3083"/>
      <c r="H3083"/>
      <c r="I3083" s="16"/>
      <c r="J3083"/>
      <c r="K3083"/>
      <c r="L3083"/>
      <c r="M3083" s="17"/>
      <c r="N3083"/>
      <c r="O3083"/>
      <c r="P3083" s="34"/>
    </row>
    <row r="3084" spans="1:16" x14ac:dyDescent="0.25">
      <c r="A3084" s="14"/>
      <c r="B3084"/>
      <c r="C3084" s="15"/>
      <c r="D3084"/>
      <c r="E3084"/>
      <c r="F3084" s="16"/>
      <c r="G3084"/>
      <c r="H3084"/>
      <c r="I3084" s="16"/>
      <c r="J3084"/>
      <c r="K3084"/>
      <c r="L3084"/>
      <c r="M3084" s="17"/>
      <c r="N3084"/>
      <c r="O3084"/>
      <c r="P3084" s="34"/>
    </row>
    <row r="3085" spans="1:16" x14ac:dyDescent="0.25">
      <c r="A3085" s="14"/>
      <c r="B3085"/>
      <c r="C3085" s="15"/>
      <c r="D3085"/>
      <c r="E3085"/>
      <c r="F3085" s="16"/>
      <c r="G3085"/>
      <c r="H3085"/>
      <c r="I3085" s="16"/>
      <c r="J3085"/>
      <c r="K3085"/>
      <c r="L3085"/>
      <c r="M3085" s="17"/>
      <c r="N3085"/>
      <c r="O3085"/>
      <c r="P3085" s="34"/>
    </row>
    <row r="3086" spans="1:16" x14ac:dyDescent="0.25">
      <c r="A3086" s="14"/>
      <c r="B3086"/>
      <c r="C3086" s="15"/>
      <c r="D3086"/>
      <c r="E3086"/>
      <c r="F3086" s="16"/>
      <c r="G3086"/>
      <c r="H3086"/>
      <c r="I3086" s="16"/>
      <c r="J3086"/>
      <c r="K3086"/>
      <c r="L3086"/>
      <c r="M3086" s="17"/>
      <c r="N3086"/>
      <c r="O3086"/>
      <c r="P3086" s="34"/>
    </row>
    <row r="3087" spans="1:16" x14ac:dyDescent="0.25">
      <c r="A3087" s="14"/>
      <c r="B3087"/>
      <c r="C3087" s="15"/>
      <c r="D3087"/>
      <c r="E3087"/>
      <c r="F3087" s="16"/>
      <c r="G3087"/>
      <c r="H3087"/>
      <c r="I3087" s="16"/>
      <c r="J3087"/>
      <c r="K3087"/>
      <c r="L3087"/>
      <c r="M3087" s="17"/>
      <c r="N3087"/>
      <c r="O3087"/>
      <c r="P3087" s="34"/>
    </row>
    <row r="3088" spans="1:16" x14ac:dyDescent="0.25">
      <c r="A3088" s="14"/>
      <c r="B3088"/>
      <c r="C3088" s="15"/>
      <c r="D3088"/>
      <c r="E3088"/>
      <c r="F3088" s="16"/>
      <c r="G3088"/>
      <c r="H3088"/>
      <c r="I3088" s="16"/>
      <c r="J3088"/>
      <c r="K3088"/>
      <c r="L3088"/>
      <c r="M3088" s="17"/>
      <c r="N3088"/>
      <c r="O3088"/>
      <c r="P3088" s="34"/>
    </row>
    <row r="3089" spans="1:16" x14ac:dyDescent="0.25">
      <c r="A3089" s="14"/>
      <c r="B3089"/>
      <c r="C3089" s="15"/>
      <c r="D3089"/>
      <c r="E3089"/>
      <c r="F3089" s="16"/>
      <c r="G3089"/>
      <c r="H3089"/>
      <c r="I3089" s="16"/>
      <c r="J3089"/>
      <c r="K3089"/>
      <c r="L3089"/>
      <c r="M3089" s="17"/>
      <c r="N3089"/>
      <c r="O3089"/>
      <c r="P3089" s="34"/>
    </row>
    <row r="3090" spans="1:16" x14ac:dyDescent="0.25">
      <c r="A3090" s="14"/>
      <c r="B3090"/>
      <c r="C3090" s="15"/>
      <c r="D3090"/>
      <c r="E3090"/>
      <c r="F3090" s="16"/>
      <c r="G3090"/>
      <c r="H3090"/>
      <c r="I3090" s="16"/>
      <c r="J3090"/>
      <c r="K3090"/>
      <c r="L3090"/>
      <c r="M3090" s="17"/>
      <c r="N3090"/>
      <c r="O3090"/>
      <c r="P3090" s="34"/>
    </row>
    <row r="3091" spans="1:16" x14ac:dyDescent="0.25">
      <c r="A3091" s="14"/>
      <c r="B3091"/>
      <c r="C3091" s="15"/>
      <c r="D3091"/>
      <c r="E3091"/>
      <c r="F3091" s="16"/>
      <c r="G3091"/>
      <c r="H3091"/>
      <c r="I3091" s="16"/>
      <c r="J3091"/>
      <c r="K3091"/>
      <c r="L3091"/>
      <c r="M3091" s="17"/>
      <c r="N3091"/>
      <c r="O3091"/>
      <c r="P3091" s="34"/>
    </row>
    <row r="3092" spans="1:16" x14ac:dyDescent="0.25">
      <c r="A3092" s="14"/>
      <c r="B3092"/>
      <c r="C3092" s="15"/>
      <c r="D3092"/>
      <c r="E3092"/>
      <c r="F3092" s="16"/>
      <c r="G3092"/>
      <c r="H3092"/>
      <c r="I3092" s="16"/>
      <c r="J3092"/>
      <c r="K3092"/>
      <c r="L3092"/>
      <c r="M3092" s="17"/>
      <c r="N3092"/>
      <c r="O3092"/>
      <c r="P3092" s="34"/>
    </row>
    <row r="3093" spans="1:16" x14ac:dyDescent="0.25">
      <c r="A3093" s="14"/>
      <c r="B3093"/>
      <c r="C3093" s="15"/>
      <c r="D3093"/>
      <c r="E3093"/>
      <c r="F3093" s="16"/>
      <c r="G3093"/>
      <c r="H3093"/>
      <c r="I3093" s="16"/>
      <c r="J3093"/>
      <c r="K3093"/>
      <c r="L3093"/>
      <c r="M3093" s="17"/>
      <c r="N3093"/>
      <c r="O3093"/>
      <c r="P3093" s="34"/>
    </row>
    <row r="3094" spans="1:16" x14ac:dyDescent="0.25">
      <c r="A3094" s="14"/>
      <c r="B3094"/>
      <c r="C3094" s="15"/>
      <c r="D3094"/>
      <c r="E3094"/>
      <c r="F3094" s="16"/>
      <c r="G3094"/>
      <c r="H3094"/>
      <c r="I3094" s="16"/>
      <c r="J3094"/>
      <c r="K3094"/>
      <c r="L3094"/>
      <c r="M3094" s="17"/>
      <c r="N3094"/>
      <c r="O3094"/>
      <c r="P3094" s="34"/>
    </row>
    <row r="3095" spans="1:16" x14ac:dyDescent="0.25">
      <c r="A3095" s="14"/>
      <c r="B3095"/>
      <c r="C3095" s="15"/>
      <c r="D3095"/>
      <c r="E3095"/>
      <c r="F3095" s="16"/>
      <c r="G3095"/>
      <c r="H3095"/>
      <c r="I3095" s="16"/>
      <c r="J3095"/>
      <c r="K3095"/>
      <c r="L3095"/>
      <c r="M3095" s="17"/>
      <c r="N3095"/>
      <c r="O3095"/>
      <c r="P3095" s="34"/>
    </row>
    <row r="3096" spans="1:16" x14ac:dyDescent="0.25">
      <c r="A3096" s="14"/>
      <c r="B3096"/>
      <c r="C3096" s="15"/>
      <c r="D3096"/>
      <c r="E3096"/>
      <c r="F3096" s="16"/>
      <c r="G3096"/>
      <c r="H3096"/>
      <c r="I3096" s="16"/>
      <c r="J3096"/>
      <c r="K3096"/>
      <c r="L3096"/>
      <c r="M3096" s="17"/>
      <c r="N3096"/>
      <c r="O3096"/>
      <c r="P3096" s="34"/>
    </row>
    <row r="3097" spans="1:16" x14ac:dyDescent="0.25">
      <c r="A3097" s="14"/>
      <c r="B3097"/>
      <c r="C3097" s="15"/>
      <c r="D3097"/>
      <c r="E3097"/>
      <c r="F3097" s="16"/>
      <c r="G3097"/>
      <c r="H3097"/>
      <c r="I3097" s="16"/>
      <c r="J3097"/>
      <c r="K3097"/>
      <c r="L3097"/>
      <c r="M3097" s="17"/>
      <c r="N3097"/>
      <c r="O3097"/>
      <c r="P3097" s="34"/>
    </row>
    <row r="3098" spans="1:16" x14ac:dyDescent="0.25">
      <c r="A3098" s="14"/>
      <c r="B3098"/>
      <c r="C3098" s="15"/>
      <c r="D3098"/>
      <c r="E3098"/>
      <c r="F3098" s="16"/>
      <c r="G3098"/>
      <c r="H3098"/>
      <c r="I3098" s="16"/>
      <c r="J3098"/>
      <c r="K3098"/>
      <c r="L3098"/>
      <c r="M3098" s="17"/>
      <c r="N3098"/>
      <c r="O3098"/>
      <c r="P3098" s="34"/>
    </row>
    <row r="3099" spans="1:16" x14ac:dyDescent="0.25">
      <c r="A3099" s="14"/>
      <c r="B3099"/>
      <c r="C3099" s="15"/>
      <c r="D3099"/>
      <c r="E3099"/>
      <c r="F3099" s="16"/>
      <c r="G3099"/>
      <c r="H3099"/>
      <c r="I3099" s="16"/>
      <c r="J3099"/>
      <c r="K3099"/>
      <c r="L3099"/>
      <c r="M3099" s="17"/>
      <c r="N3099"/>
      <c r="O3099"/>
      <c r="P3099" s="34"/>
    </row>
    <row r="3100" spans="1:16" x14ac:dyDescent="0.25">
      <c r="A3100" s="14"/>
      <c r="B3100"/>
      <c r="C3100" s="15"/>
      <c r="D3100"/>
      <c r="E3100"/>
      <c r="F3100" s="16"/>
      <c r="G3100"/>
      <c r="H3100"/>
      <c r="I3100" s="16"/>
      <c r="J3100"/>
      <c r="K3100"/>
      <c r="L3100"/>
      <c r="M3100" s="17"/>
      <c r="N3100"/>
      <c r="O3100"/>
      <c r="P3100" s="34"/>
    </row>
    <row r="3101" spans="1:16" x14ac:dyDescent="0.25">
      <c r="A3101" s="14"/>
      <c r="B3101"/>
      <c r="C3101" s="15"/>
      <c r="D3101"/>
      <c r="E3101"/>
      <c r="F3101" s="16"/>
      <c r="G3101"/>
      <c r="H3101"/>
      <c r="I3101" s="16"/>
      <c r="J3101"/>
      <c r="K3101"/>
      <c r="L3101"/>
      <c r="M3101" s="17"/>
      <c r="N3101"/>
      <c r="O3101"/>
      <c r="P3101" s="34"/>
    </row>
    <row r="3102" spans="1:16" x14ac:dyDescent="0.25">
      <c r="A3102" s="14"/>
      <c r="B3102"/>
      <c r="C3102" s="15"/>
      <c r="D3102"/>
      <c r="E3102"/>
      <c r="F3102" s="16"/>
      <c r="G3102"/>
      <c r="H3102"/>
      <c r="I3102" s="16"/>
      <c r="J3102"/>
      <c r="K3102"/>
      <c r="L3102"/>
      <c r="M3102" s="17"/>
      <c r="N3102"/>
      <c r="O3102"/>
      <c r="P3102" s="34"/>
    </row>
    <row r="3103" spans="1:16" x14ac:dyDescent="0.25">
      <c r="A3103" s="14"/>
      <c r="B3103"/>
      <c r="C3103" s="15"/>
      <c r="D3103"/>
      <c r="E3103"/>
      <c r="F3103" s="16"/>
      <c r="G3103"/>
      <c r="H3103"/>
      <c r="I3103" s="16"/>
      <c r="J3103"/>
      <c r="K3103"/>
      <c r="L3103"/>
      <c r="M3103" s="17"/>
      <c r="N3103"/>
      <c r="O3103"/>
      <c r="P3103" s="34"/>
    </row>
    <row r="3104" spans="1:16" x14ac:dyDescent="0.25">
      <c r="A3104" s="14"/>
      <c r="B3104"/>
      <c r="C3104" s="15"/>
      <c r="D3104"/>
      <c r="E3104"/>
      <c r="F3104" s="16"/>
      <c r="G3104"/>
      <c r="H3104"/>
      <c r="I3104" s="16"/>
      <c r="J3104"/>
      <c r="K3104"/>
      <c r="L3104"/>
      <c r="M3104" s="17"/>
      <c r="N3104"/>
      <c r="O3104"/>
      <c r="P3104" s="34"/>
    </row>
    <row r="3105" spans="1:16" x14ac:dyDescent="0.25">
      <c r="A3105" s="14"/>
      <c r="B3105"/>
      <c r="C3105" s="15"/>
      <c r="D3105"/>
      <c r="E3105"/>
      <c r="F3105" s="16"/>
      <c r="G3105"/>
      <c r="H3105"/>
      <c r="I3105" s="16"/>
      <c r="J3105"/>
      <c r="K3105"/>
      <c r="L3105"/>
      <c r="M3105" s="17"/>
      <c r="N3105"/>
      <c r="O3105"/>
      <c r="P3105" s="34"/>
    </row>
    <row r="3106" spans="1:16" x14ac:dyDescent="0.25">
      <c r="A3106" s="14"/>
      <c r="B3106"/>
      <c r="C3106" s="15"/>
      <c r="D3106"/>
      <c r="E3106"/>
      <c r="F3106" s="16"/>
      <c r="G3106"/>
      <c r="H3106"/>
      <c r="I3106" s="16"/>
      <c r="J3106"/>
      <c r="K3106"/>
      <c r="L3106"/>
      <c r="M3106" s="17"/>
      <c r="N3106"/>
      <c r="O3106"/>
      <c r="P3106" s="34"/>
    </row>
    <row r="3107" spans="1:16" x14ac:dyDescent="0.25">
      <c r="A3107" s="14"/>
      <c r="B3107"/>
      <c r="C3107" s="15"/>
      <c r="D3107"/>
      <c r="E3107"/>
      <c r="F3107" s="16"/>
      <c r="G3107"/>
      <c r="H3107"/>
      <c r="I3107" s="16"/>
      <c r="J3107"/>
      <c r="K3107"/>
      <c r="L3107"/>
      <c r="M3107" s="17"/>
      <c r="N3107"/>
      <c r="O3107"/>
      <c r="P3107" s="34"/>
    </row>
    <row r="3108" spans="1:16" x14ac:dyDescent="0.25">
      <c r="A3108" s="14"/>
      <c r="B3108"/>
      <c r="C3108" s="15"/>
      <c r="D3108"/>
      <c r="E3108"/>
      <c r="F3108" s="16"/>
      <c r="G3108"/>
      <c r="H3108"/>
      <c r="I3108" s="16"/>
      <c r="J3108"/>
      <c r="K3108"/>
      <c r="L3108"/>
      <c r="M3108" s="17"/>
      <c r="N3108"/>
      <c r="O3108"/>
      <c r="P3108" s="34"/>
    </row>
    <row r="3109" spans="1:16" x14ac:dyDescent="0.25">
      <c r="A3109" s="14"/>
      <c r="B3109"/>
      <c r="C3109" s="15"/>
      <c r="D3109"/>
      <c r="E3109"/>
      <c r="F3109" s="16"/>
      <c r="G3109"/>
      <c r="H3109"/>
      <c r="I3109" s="16"/>
      <c r="J3109"/>
      <c r="K3109"/>
      <c r="L3109"/>
      <c r="M3109" s="17"/>
      <c r="N3109"/>
      <c r="O3109"/>
      <c r="P3109" s="34"/>
    </row>
    <row r="3110" spans="1:16" x14ac:dyDescent="0.25">
      <c r="A3110" s="14"/>
      <c r="B3110"/>
      <c r="C3110" s="15"/>
      <c r="D3110"/>
      <c r="E3110"/>
      <c r="F3110" s="16"/>
      <c r="G3110"/>
      <c r="H3110"/>
      <c r="I3110" s="16"/>
      <c r="J3110"/>
      <c r="K3110"/>
      <c r="L3110"/>
      <c r="M3110" s="17"/>
      <c r="N3110"/>
      <c r="O3110"/>
      <c r="P3110" s="34"/>
    </row>
    <row r="3111" spans="1:16" x14ac:dyDescent="0.25">
      <c r="A3111" s="14"/>
      <c r="B3111"/>
      <c r="C3111" s="15"/>
      <c r="D3111"/>
      <c r="E3111"/>
      <c r="F3111" s="16"/>
      <c r="G3111"/>
      <c r="H3111"/>
      <c r="I3111" s="16"/>
      <c r="J3111"/>
      <c r="K3111"/>
      <c r="L3111"/>
      <c r="M3111" s="17"/>
      <c r="N3111"/>
      <c r="O3111"/>
      <c r="P3111" s="34"/>
    </row>
    <row r="3112" spans="1:16" x14ac:dyDescent="0.25">
      <c r="A3112" s="14"/>
      <c r="B3112"/>
      <c r="C3112" s="15"/>
      <c r="D3112"/>
      <c r="E3112"/>
      <c r="F3112" s="16"/>
      <c r="G3112"/>
      <c r="H3112"/>
      <c r="I3112" s="16"/>
      <c r="J3112"/>
      <c r="K3112"/>
      <c r="L3112"/>
      <c r="M3112" s="17"/>
      <c r="N3112"/>
      <c r="O3112"/>
      <c r="P3112" s="34"/>
    </row>
    <row r="3113" spans="1:16" x14ac:dyDescent="0.25">
      <c r="A3113" s="14"/>
      <c r="B3113"/>
      <c r="C3113" s="15"/>
      <c r="D3113"/>
      <c r="E3113"/>
      <c r="F3113" s="16"/>
      <c r="G3113"/>
      <c r="H3113"/>
      <c r="I3113" s="16"/>
      <c r="J3113"/>
      <c r="K3113"/>
      <c r="L3113"/>
      <c r="M3113" s="17"/>
      <c r="N3113"/>
      <c r="O3113"/>
      <c r="P3113" s="34"/>
    </row>
    <row r="3114" spans="1:16" x14ac:dyDescent="0.25">
      <c r="A3114" s="14"/>
      <c r="B3114"/>
      <c r="C3114" s="15"/>
      <c r="D3114"/>
      <c r="E3114"/>
      <c r="F3114" s="16"/>
      <c r="G3114"/>
      <c r="H3114"/>
      <c r="I3114" s="16"/>
      <c r="J3114"/>
      <c r="K3114"/>
      <c r="L3114"/>
      <c r="M3114" s="17"/>
      <c r="N3114"/>
      <c r="O3114"/>
      <c r="P3114" s="34"/>
    </row>
    <row r="3115" spans="1:16" x14ac:dyDescent="0.25">
      <c r="A3115" s="14"/>
      <c r="B3115"/>
      <c r="C3115" s="15"/>
      <c r="D3115"/>
      <c r="E3115"/>
      <c r="F3115" s="16"/>
      <c r="G3115"/>
      <c r="H3115"/>
      <c r="I3115" s="16"/>
      <c r="J3115"/>
      <c r="K3115"/>
      <c r="L3115"/>
      <c r="M3115" s="17"/>
      <c r="N3115"/>
      <c r="O3115"/>
      <c r="P3115" s="34"/>
    </row>
    <row r="3116" spans="1:16" x14ac:dyDescent="0.25">
      <c r="A3116" s="14"/>
      <c r="B3116"/>
      <c r="C3116" s="15"/>
      <c r="D3116"/>
      <c r="E3116"/>
      <c r="F3116" s="16"/>
      <c r="G3116"/>
      <c r="H3116"/>
      <c r="I3116" s="16"/>
      <c r="J3116"/>
      <c r="K3116"/>
      <c r="L3116"/>
      <c r="M3116" s="17"/>
      <c r="N3116"/>
      <c r="O3116"/>
      <c r="P3116" s="34"/>
    </row>
    <row r="3117" spans="1:16" x14ac:dyDescent="0.25">
      <c r="A3117" s="14"/>
      <c r="B3117"/>
      <c r="C3117" s="15"/>
      <c r="D3117"/>
      <c r="E3117"/>
      <c r="F3117" s="16"/>
      <c r="G3117"/>
      <c r="H3117"/>
      <c r="I3117" s="16"/>
      <c r="J3117"/>
      <c r="K3117"/>
      <c r="L3117"/>
      <c r="M3117" s="17"/>
      <c r="N3117"/>
      <c r="O3117"/>
      <c r="P3117" s="34"/>
    </row>
    <row r="3118" spans="1:16" x14ac:dyDescent="0.25">
      <c r="A3118" s="14"/>
      <c r="B3118"/>
      <c r="C3118" s="15"/>
      <c r="D3118"/>
      <c r="E3118"/>
      <c r="F3118" s="16"/>
      <c r="G3118"/>
      <c r="H3118"/>
      <c r="I3118" s="16"/>
      <c r="J3118"/>
      <c r="K3118"/>
      <c r="L3118"/>
      <c r="M3118" s="17"/>
      <c r="N3118"/>
      <c r="O3118"/>
      <c r="P3118" s="34"/>
    </row>
    <row r="3119" spans="1:16" x14ac:dyDescent="0.25">
      <c r="A3119" s="14"/>
      <c r="B3119"/>
      <c r="C3119" s="15"/>
      <c r="D3119"/>
      <c r="E3119"/>
      <c r="F3119" s="16"/>
      <c r="G3119"/>
      <c r="H3119"/>
      <c r="I3119" s="16"/>
      <c r="J3119"/>
      <c r="K3119"/>
      <c r="L3119"/>
      <c r="M3119" s="17"/>
      <c r="N3119"/>
      <c r="O3119"/>
      <c r="P3119" s="34"/>
    </row>
    <row r="3120" spans="1:16" x14ac:dyDescent="0.25">
      <c r="A3120" s="14"/>
      <c r="B3120"/>
      <c r="C3120" s="15"/>
      <c r="D3120"/>
      <c r="E3120"/>
      <c r="F3120" s="16"/>
      <c r="G3120"/>
      <c r="H3120"/>
      <c r="I3120" s="16"/>
      <c r="J3120"/>
      <c r="K3120"/>
      <c r="L3120"/>
      <c r="M3120" s="17"/>
      <c r="N3120"/>
      <c r="O3120"/>
      <c r="P3120" s="34"/>
    </row>
    <row r="3121" spans="1:16" x14ac:dyDescent="0.25">
      <c r="A3121" s="14"/>
      <c r="B3121"/>
      <c r="C3121" s="15"/>
      <c r="D3121"/>
      <c r="E3121"/>
      <c r="F3121" s="16"/>
      <c r="G3121"/>
      <c r="H3121"/>
      <c r="I3121" s="16"/>
      <c r="J3121"/>
      <c r="K3121"/>
      <c r="L3121"/>
      <c r="M3121" s="17"/>
      <c r="N3121"/>
      <c r="O3121"/>
      <c r="P3121" s="34"/>
    </row>
    <row r="3122" spans="1:16" x14ac:dyDescent="0.25">
      <c r="A3122" s="14"/>
      <c r="B3122"/>
      <c r="C3122" s="15"/>
      <c r="D3122"/>
      <c r="E3122"/>
      <c r="F3122" s="16"/>
      <c r="G3122"/>
      <c r="H3122"/>
      <c r="I3122" s="16"/>
      <c r="J3122"/>
      <c r="K3122"/>
      <c r="L3122"/>
      <c r="M3122" s="17"/>
      <c r="N3122"/>
      <c r="O3122"/>
      <c r="P3122" s="34"/>
    </row>
    <row r="3123" spans="1:16" x14ac:dyDescent="0.25">
      <c r="A3123" s="14"/>
      <c r="B3123"/>
      <c r="C3123" s="15"/>
      <c r="D3123"/>
      <c r="E3123"/>
      <c r="F3123" s="16"/>
      <c r="G3123"/>
      <c r="H3123"/>
      <c r="I3123" s="16"/>
      <c r="J3123"/>
      <c r="K3123"/>
      <c r="L3123"/>
      <c r="M3123" s="17"/>
      <c r="N3123"/>
      <c r="O3123"/>
      <c r="P3123" s="34"/>
    </row>
    <row r="3124" spans="1:16" x14ac:dyDescent="0.25">
      <c r="A3124" s="14"/>
      <c r="B3124"/>
      <c r="C3124" s="15"/>
      <c r="D3124"/>
      <c r="E3124"/>
      <c r="F3124" s="16"/>
      <c r="G3124"/>
      <c r="H3124"/>
      <c r="I3124" s="16"/>
      <c r="J3124"/>
      <c r="K3124"/>
      <c r="L3124"/>
      <c r="M3124" s="17"/>
      <c r="N3124"/>
      <c r="O3124"/>
      <c r="P3124" s="34"/>
    </row>
    <row r="3125" spans="1:16" x14ac:dyDescent="0.25">
      <c r="A3125" s="14"/>
      <c r="B3125"/>
      <c r="C3125" s="15"/>
      <c r="D3125"/>
      <c r="E3125"/>
      <c r="F3125" s="16"/>
      <c r="G3125"/>
      <c r="H3125"/>
      <c r="I3125" s="16"/>
      <c r="J3125"/>
      <c r="K3125"/>
      <c r="L3125"/>
      <c r="M3125" s="17"/>
      <c r="N3125"/>
      <c r="O3125"/>
      <c r="P3125" s="34"/>
    </row>
    <row r="3126" spans="1:16" x14ac:dyDescent="0.25">
      <c r="A3126" s="14"/>
      <c r="B3126"/>
      <c r="C3126" s="15"/>
      <c r="D3126"/>
      <c r="E3126"/>
      <c r="F3126" s="16"/>
      <c r="G3126"/>
      <c r="H3126"/>
      <c r="I3126" s="16"/>
      <c r="J3126"/>
      <c r="K3126"/>
      <c r="L3126"/>
      <c r="M3126" s="17"/>
      <c r="N3126"/>
      <c r="O3126"/>
      <c r="P3126" s="34"/>
    </row>
    <row r="3127" spans="1:16" x14ac:dyDescent="0.25">
      <c r="A3127" s="14"/>
      <c r="B3127"/>
      <c r="C3127" s="15"/>
      <c r="D3127"/>
      <c r="E3127"/>
      <c r="F3127" s="16"/>
      <c r="G3127"/>
      <c r="H3127"/>
      <c r="I3127" s="16"/>
      <c r="J3127"/>
      <c r="K3127"/>
      <c r="L3127"/>
      <c r="M3127" s="17"/>
      <c r="N3127"/>
      <c r="O3127"/>
      <c r="P3127" s="34"/>
    </row>
    <row r="3128" spans="1:16" x14ac:dyDescent="0.25">
      <c r="A3128" s="14"/>
      <c r="B3128"/>
      <c r="C3128" s="15"/>
      <c r="D3128"/>
      <c r="E3128"/>
      <c r="F3128" s="16"/>
      <c r="G3128"/>
      <c r="H3128"/>
      <c r="I3128" s="16"/>
      <c r="J3128"/>
      <c r="K3128"/>
      <c r="L3128"/>
      <c r="M3128" s="17"/>
      <c r="N3128"/>
      <c r="O3128"/>
      <c r="P3128" s="34"/>
    </row>
    <row r="3129" spans="1:16" x14ac:dyDescent="0.25">
      <c r="A3129" s="14"/>
      <c r="B3129"/>
      <c r="C3129" s="15"/>
      <c r="D3129"/>
      <c r="E3129"/>
      <c r="F3129" s="16"/>
      <c r="G3129"/>
      <c r="H3129"/>
      <c r="I3129" s="16"/>
      <c r="J3129"/>
      <c r="K3129"/>
      <c r="L3129"/>
      <c r="M3129" s="17"/>
      <c r="N3129"/>
      <c r="O3129"/>
      <c r="P3129" s="34"/>
    </row>
    <row r="3130" spans="1:16" x14ac:dyDescent="0.25">
      <c r="A3130" s="14"/>
      <c r="B3130"/>
      <c r="C3130" s="15"/>
      <c r="D3130"/>
      <c r="E3130"/>
      <c r="F3130" s="16"/>
      <c r="G3130"/>
      <c r="H3130"/>
      <c r="I3130" s="16"/>
      <c r="J3130"/>
      <c r="K3130"/>
      <c r="L3130"/>
      <c r="M3130" s="17"/>
      <c r="N3130"/>
      <c r="O3130"/>
      <c r="P3130" s="34"/>
    </row>
    <row r="3131" spans="1:16" x14ac:dyDescent="0.25">
      <c r="A3131" s="14"/>
      <c r="B3131"/>
      <c r="C3131" s="15"/>
      <c r="D3131"/>
      <c r="E3131"/>
      <c r="F3131" s="16"/>
      <c r="G3131"/>
      <c r="H3131"/>
      <c r="I3131" s="16"/>
      <c r="J3131"/>
      <c r="K3131"/>
      <c r="L3131"/>
      <c r="M3131" s="17"/>
      <c r="N3131"/>
      <c r="O3131"/>
      <c r="P3131" s="34"/>
    </row>
    <row r="3132" spans="1:16" x14ac:dyDescent="0.25">
      <c r="A3132" s="14"/>
      <c r="B3132"/>
      <c r="C3132" s="15"/>
      <c r="D3132"/>
      <c r="E3132"/>
      <c r="F3132" s="16"/>
      <c r="G3132"/>
      <c r="H3132"/>
      <c r="I3132" s="16"/>
      <c r="J3132"/>
      <c r="K3132"/>
      <c r="L3132"/>
      <c r="M3132" s="17"/>
      <c r="N3132"/>
      <c r="O3132"/>
      <c r="P3132" s="34"/>
    </row>
    <row r="3133" spans="1:16" x14ac:dyDescent="0.25">
      <c r="A3133" s="14"/>
      <c r="B3133"/>
      <c r="C3133" s="15"/>
      <c r="D3133"/>
      <c r="E3133"/>
      <c r="F3133" s="16"/>
      <c r="G3133"/>
      <c r="H3133"/>
      <c r="I3133" s="16"/>
      <c r="J3133"/>
      <c r="K3133"/>
      <c r="L3133"/>
      <c r="M3133" s="17"/>
      <c r="N3133"/>
      <c r="O3133"/>
      <c r="P3133" s="34"/>
    </row>
    <row r="3134" spans="1:16" x14ac:dyDescent="0.25">
      <c r="A3134" s="14"/>
      <c r="B3134"/>
      <c r="C3134" s="15"/>
      <c r="D3134"/>
      <c r="E3134"/>
      <c r="F3134" s="16"/>
      <c r="G3134"/>
      <c r="H3134"/>
      <c r="I3134" s="16"/>
      <c r="J3134"/>
      <c r="K3134"/>
      <c r="L3134"/>
      <c r="M3134" s="17"/>
      <c r="N3134"/>
      <c r="O3134"/>
      <c r="P3134" s="34"/>
    </row>
    <row r="3135" spans="1:16" x14ac:dyDescent="0.25">
      <c r="A3135" s="14"/>
      <c r="B3135"/>
      <c r="C3135" s="15"/>
      <c r="D3135"/>
      <c r="E3135"/>
      <c r="F3135" s="16"/>
      <c r="G3135"/>
      <c r="H3135"/>
      <c r="I3135" s="16"/>
      <c r="J3135"/>
      <c r="K3135"/>
      <c r="L3135"/>
      <c r="M3135" s="17"/>
      <c r="N3135"/>
      <c r="O3135"/>
      <c r="P3135" s="34"/>
    </row>
    <row r="3136" spans="1:16" x14ac:dyDescent="0.25">
      <c r="A3136" s="14"/>
      <c r="B3136"/>
      <c r="C3136" s="15"/>
      <c r="D3136"/>
      <c r="E3136"/>
      <c r="F3136" s="16"/>
      <c r="G3136"/>
      <c r="H3136"/>
      <c r="I3136" s="16"/>
      <c r="J3136"/>
      <c r="K3136"/>
      <c r="L3136"/>
      <c r="M3136" s="17"/>
      <c r="N3136"/>
      <c r="O3136"/>
      <c r="P3136" s="34"/>
    </row>
    <row r="3137" spans="1:16" x14ac:dyDescent="0.25">
      <c r="A3137" s="14"/>
      <c r="B3137"/>
      <c r="C3137" s="15"/>
      <c r="D3137"/>
      <c r="E3137"/>
      <c r="F3137" s="16"/>
      <c r="G3137"/>
      <c r="H3137"/>
      <c r="I3137" s="16"/>
      <c r="J3137"/>
      <c r="K3137"/>
      <c r="L3137"/>
      <c r="M3137" s="17"/>
      <c r="N3137"/>
      <c r="O3137"/>
      <c r="P3137" s="34"/>
    </row>
    <row r="3138" spans="1:16" x14ac:dyDescent="0.25">
      <c r="A3138" s="14"/>
      <c r="B3138"/>
      <c r="C3138" s="15"/>
      <c r="D3138"/>
      <c r="E3138"/>
      <c r="F3138" s="16"/>
      <c r="G3138"/>
      <c r="H3138"/>
      <c r="I3138" s="16"/>
      <c r="J3138"/>
      <c r="K3138"/>
      <c r="L3138"/>
      <c r="M3138" s="17"/>
      <c r="N3138"/>
      <c r="O3138"/>
      <c r="P3138" s="34"/>
    </row>
    <row r="3139" spans="1:16" x14ac:dyDescent="0.25">
      <c r="A3139" s="14"/>
      <c r="B3139"/>
      <c r="C3139" s="15"/>
      <c r="D3139"/>
      <c r="E3139"/>
      <c r="F3139" s="16"/>
      <c r="G3139"/>
      <c r="H3139"/>
      <c r="I3139" s="16"/>
      <c r="J3139"/>
      <c r="K3139"/>
      <c r="L3139"/>
      <c r="M3139" s="17"/>
      <c r="N3139"/>
      <c r="O3139"/>
      <c r="P3139" s="34"/>
    </row>
    <row r="3140" spans="1:16" x14ac:dyDescent="0.25">
      <c r="A3140" s="14"/>
      <c r="B3140"/>
      <c r="C3140" s="15"/>
      <c r="D3140"/>
      <c r="E3140"/>
      <c r="F3140" s="16"/>
      <c r="G3140"/>
      <c r="H3140"/>
      <c r="I3140" s="16"/>
      <c r="J3140"/>
      <c r="K3140"/>
      <c r="L3140"/>
      <c r="M3140" s="17"/>
      <c r="N3140"/>
      <c r="O3140"/>
      <c r="P3140" s="34"/>
    </row>
    <row r="3141" spans="1:16" x14ac:dyDescent="0.25">
      <c r="A3141" s="14"/>
      <c r="B3141"/>
      <c r="C3141" s="15"/>
      <c r="D3141"/>
      <c r="E3141"/>
      <c r="F3141" s="16"/>
      <c r="G3141"/>
      <c r="H3141"/>
      <c r="I3141" s="16"/>
      <c r="J3141"/>
      <c r="K3141"/>
      <c r="L3141"/>
      <c r="M3141" s="17"/>
      <c r="N3141"/>
      <c r="O3141"/>
      <c r="P3141" s="34"/>
    </row>
    <row r="3142" spans="1:16" x14ac:dyDescent="0.25">
      <c r="A3142" s="14"/>
      <c r="B3142"/>
      <c r="C3142" s="15"/>
      <c r="D3142"/>
      <c r="E3142"/>
      <c r="F3142" s="16"/>
      <c r="G3142"/>
      <c r="H3142"/>
      <c r="I3142" s="16"/>
      <c r="J3142"/>
      <c r="K3142"/>
      <c r="L3142"/>
      <c r="M3142" s="17"/>
      <c r="N3142"/>
      <c r="O3142"/>
      <c r="P3142" s="34"/>
    </row>
    <row r="3143" spans="1:16" x14ac:dyDescent="0.25">
      <c r="A3143" s="14"/>
      <c r="B3143"/>
      <c r="C3143" s="15"/>
      <c r="D3143"/>
      <c r="E3143"/>
      <c r="F3143" s="16"/>
      <c r="G3143"/>
      <c r="H3143"/>
      <c r="I3143" s="16"/>
      <c r="J3143"/>
      <c r="K3143"/>
      <c r="L3143"/>
      <c r="M3143" s="17"/>
      <c r="N3143"/>
      <c r="O3143"/>
      <c r="P3143" s="34"/>
    </row>
    <row r="3144" spans="1:16" x14ac:dyDescent="0.25">
      <c r="A3144" s="14"/>
      <c r="B3144"/>
      <c r="C3144" s="15"/>
      <c r="D3144"/>
      <c r="E3144"/>
      <c r="F3144" s="16"/>
      <c r="G3144"/>
      <c r="H3144"/>
      <c r="I3144" s="16"/>
      <c r="J3144"/>
      <c r="K3144"/>
      <c r="L3144"/>
      <c r="M3144" s="17"/>
      <c r="N3144"/>
      <c r="O3144"/>
      <c r="P3144" s="34"/>
    </row>
    <row r="3145" spans="1:16" x14ac:dyDescent="0.25">
      <c r="A3145" s="14"/>
      <c r="B3145"/>
      <c r="C3145" s="15"/>
      <c r="D3145"/>
      <c r="E3145"/>
      <c r="F3145" s="16"/>
      <c r="G3145"/>
      <c r="H3145"/>
      <c r="I3145" s="16"/>
      <c r="J3145"/>
      <c r="K3145"/>
      <c r="L3145"/>
      <c r="M3145" s="17"/>
      <c r="N3145"/>
      <c r="O3145"/>
      <c r="P3145" s="34"/>
    </row>
    <row r="3146" spans="1:16" x14ac:dyDescent="0.25">
      <c r="A3146" s="14"/>
      <c r="B3146"/>
      <c r="C3146" s="15"/>
      <c r="D3146"/>
      <c r="E3146"/>
      <c r="F3146" s="16"/>
      <c r="G3146"/>
      <c r="H3146"/>
      <c r="I3146" s="16"/>
      <c r="J3146"/>
      <c r="K3146"/>
      <c r="L3146"/>
      <c r="M3146" s="17"/>
      <c r="N3146"/>
      <c r="O3146"/>
      <c r="P3146" s="34"/>
    </row>
    <row r="3147" spans="1:16" x14ac:dyDescent="0.25">
      <c r="A3147" s="14"/>
      <c r="B3147"/>
      <c r="C3147" s="15"/>
      <c r="D3147"/>
      <c r="E3147"/>
      <c r="F3147" s="16"/>
      <c r="G3147"/>
      <c r="H3147"/>
      <c r="I3147" s="16"/>
      <c r="J3147"/>
      <c r="K3147"/>
      <c r="L3147"/>
      <c r="M3147" s="17"/>
      <c r="N3147"/>
      <c r="O3147"/>
      <c r="P3147" s="34"/>
    </row>
    <row r="3148" spans="1:16" x14ac:dyDescent="0.25">
      <c r="A3148" s="14"/>
      <c r="B3148"/>
      <c r="C3148" s="15"/>
      <c r="D3148"/>
      <c r="E3148"/>
      <c r="F3148" s="16"/>
      <c r="G3148"/>
      <c r="H3148"/>
      <c r="I3148" s="16"/>
      <c r="J3148"/>
      <c r="K3148"/>
      <c r="L3148"/>
      <c r="M3148" s="17"/>
      <c r="N3148"/>
      <c r="O3148"/>
      <c r="P3148" s="34"/>
    </row>
    <row r="3149" spans="1:16" x14ac:dyDescent="0.25">
      <c r="A3149" s="14"/>
      <c r="B3149"/>
      <c r="C3149" s="15"/>
      <c r="D3149"/>
      <c r="E3149"/>
      <c r="F3149" s="16"/>
      <c r="G3149"/>
      <c r="H3149"/>
      <c r="I3149" s="16"/>
      <c r="J3149"/>
      <c r="K3149"/>
      <c r="L3149"/>
      <c r="M3149" s="17"/>
      <c r="N3149"/>
      <c r="O3149"/>
      <c r="P3149" s="34"/>
    </row>
    <row r="3150" spans="1:16" x14ac:dyDescent="0.25">
      <c r="A3150" s="14"/>
      <c r="B3150"/>
      <c r="C3150" s="15"/>
      <c r="D3150"/>
      <c r="E3150"/>
      <c r="F3150" s="16"/>
      <c r="G3150"/>
      <c r="H3150"/>
      <c r="I3150" s="16"/>
      <c r="J3150"/>
      <c r="K3150"/>
      <c r="L3150"/>
      <c r="M3150" s="17"/>
      <c r="N3150"/>
      <c r="O3150"/>
      <c r="P3150" s="34"/>
    </row>
    <row r="3151" spans="1:16" x14ac:dyDescent="0.25">
      <c r="A3151" s="14"/>
      <c r="B3151"/>
      <c r="C3151" s="15"/>
      <c r="D3151"/>
      <c r="E3151"/>
      <c r="F3151" s="16"/>
      <c r="G3151"/>
      <c r="H3151"/>
      <c r="I3151" s="16"/>
      <c r="J3151"/>
      <c r="K3151"/>
      <c r="L3151"/>
      <c r="M3151" s="17"/>
      <c r="N3151"/>
      <c r="O3151"/>
      <c r="P3151" s="34"/>
    </row>
    <row r="3152" spans="1:16" x14ac:dyDescent="0.25">
      <c r="A3152" s="14"/>
      <c r="B3152"/>
      <c r="C3152" s="15"/>
      <c r="D3152"/>
      <c r="E3152"/>
      <c r="F3152" s="16"/>
      <c r="G3152"/>
      <c r="H3152"/>
      <c r="I3152" s="16"/>
      <c r="J3152"/>
      <c r="K3152"/>
      <c r="L3152"/>
      <c r="M3152" s="17"/>
      <c r="N3152"/>
      <c r="O3152"/>
      <c r="P3152" s="34"/>
    </row>
    <row r="3153" spans="1:16" x14ac:dyDescent="0.25">
      <c r="A3153" s="14"/>
      <c r="B3153"/>
      <c r="C3153" s="15"/>
      <c r="D3153"/>
      <c r="E3153"/>
      <c r="F3153" s="16"/>
      <c r="G3153"/>
      <c r="H3153"/>
      <c r="I3153" s="16"/>
      <c r="J3153"/>
      <c r="K3153"/>
      <c r="L3153"/>
      <c r="M3153" s="17"/>
      <c r="N3153"/>
      <c r="O3153"/>
      <c r="P3153" s="34"/>
    </row>
    <row r="3154" spans="1:16" x14ac:dyDescent="0.25">
      <c r="A3154" s="14"/>
      <c r="B3154"/>
      <c r="C3154" s="15"/>
      <c r="D3154"/>
      <c r="E3154"/>
      <c r="F3154" s="16"/>
      <c r="G3154"/>
      <c r="H3154"/>
      <c r="I3154" s="16"/>
      <c r="J3154"/>
      <c r="K3154"/>
      <c r="L3154"/>
      <c r="M3154" s="17"/>
      <c r="N3154"/>
      <c r="O3154"/>
      <c r="P3154" s="34"/>
    </row>
    <row r="3155" spans="1:16" x14ac:dyDescent="0.25">
      <c r="A3155" s="14"/>
      <c r="B3155"/>
      <c r="C3155" s="15"/>
      <c r="D3155"/>
      <c r="E3155"/>
      <c r="F3155" s="16"/>
      <c r="G3155"/>
      <c r="H3155"/>
      <c r="I3155" s="16"/>
      <c r="J3155"/>
      <c r="K3155"/>
      <c r="L3155"/>
      <c r="M3155" s="17"/>
      <c r="N3155"/>
      <c r="O3155"/>
      <c r="P3155" s="34"/>
    </row>
    <row r="3156" spans="1:16" x14ac:dyDescent="0.25">
      <c r="A3156" s="14"/>
      <c r="B3156"/>
      <c r="C3156" s="15"/>
      <c r="D3156"/>
      <c r="E3156"/>
      <c r="F3156" s="16"/>
      <c r="G3156"/>
      <c r="H3156"/>
      <c r="I3156" s="16"/>
      <c r="J3156"/>
      <c r="K3156"/>
      <c r="L3156"/>
      <c r="M3156" s="17"/>
      <c r="N3156"/>
      <c r="O3156"/>
      <c r="P3156" s="34"/>
    </row>
    <row r="3157" spans="1:16" x14ac:dyDescent="0.25">
      <c r="A3157" s="14"/>
      <c r="B3157"/>
      <c r="C3157" s="15"/>
      <c r="D3157"/>
      <c r="E3157"/>
      <c r="F3157" s="16"/>
      <c r="G3157"/>
      <c r="H3157"/>
      <c r="I3157" s="16"/>
      <c r="J3157"/>
      <c r="K3157"/>
      <c r="L3157"/>
      <c r="M3157" s="17"/>
      <c r="N3157"/>
      <c r="O3157"/>
      <c r="P3157" s="34"/>
    </row>
    <row r="3158" spans="1:16" x14ac:dyDescent="0.25">
      <c r="A3158" s="14"/>
      <c r="B3158"/>
      <c r="C3158" s="15"/>
      <c r="D3158"/>
      <c r="E3158"/>
      <c r="F3158" s="16"/>
      <c r="G3158"/>
      <c r="H3158"/>
      <c r="I3158" s="16"/>
      <c r="J3158"/>
      <c r="K3158"/>
      <c r="L3158"/>
      <c r="M3158" s="17"/>
      <c r="N3158"/>
      <c r="O3158"/>
      <c r="P3158" s="34"/>
    </row>
    <row r="3159" spans="1:16" x14ac:dyDescent="0.25">
      <c r="A3159" s="14"/>
      <c r="B3159"/>
      <c r="C3159" s="15"/>
      <c r="D3159"/>
      <c r="E3159"/>
      <c r="F3159" s="16"/>
      <c r="G3159"/>
      <c r="H3159"/>
      <c r="I3159" s="16"/>
      <c r="J3159"/>
      <c r="K3159"/>
      <c r="L3159"/>
      <c r="M3159" s="17"/>
      <c r="N3159"/>
      <c r="O3159"/>
      <c r="P3159" s="34"/>
    </row>
    <row r="3160" spans="1:16" x14ac:dyDescent="0.25">
      <c r="A3160" s="14"/>
      <c r="B3160"/>
      <c r="C3160" s="15"/>
      <c r="D3160"/>
      <c r="E3160"/>
      <c r="F3160" s="16"/>
      <c r="G3160"/>
      <c r="H3160"/>
      <c r="I3160" s="16"/>
      <c r="J3160"/>
      <c r="K3160"/>
      <c r="L3160"/>
      <c r="M3160" s="17"/>
      <c r="N3160"/>
      <c r="O3160"/>
      <c r="P3160" s="34"/>
    </row>
    <row r="3161" spans="1:16" x14ac:dyDescent="0.25">
      <c r="A3161" s="14"/>
      <c r="B3161"/>
      <c r="C3161" s="15"/>
      <c r="D3161"/>
      <c r="E3161"/>
      <c r="F3161" s="16"/>
      <c r="G3161"/>
      <c r="H3161"/>
      <c r="I3161" s="16"/>
      <c r="J3161"/>
      <c r="K3161"/>
      <c r="L3161"/>
      <c r="M3161" s="17"/>
      <c r="N3161"/>
      <c r="O3161"/>
      <c r="P3161" s="34"/>
    </row>
    <row r="3162" spans="1:16" x14ac:dyDescent="0.25">
      <c r="A3162" s="14"/>
      <c r="B3162"/>
      <c r="C3162" s="15"/>
      <c r="D3162"/>
      <c r="E3162"/>
      <c r="F3162" s="16"/>
      <c r="G3162"/>
      <c r="H3162"/>
      <c r="I3162" s="16"/>
      <c r="J3162"/>
      <c r="K3162"/>
      <c r="L3162"/>
      <c r="M3162" s="17"/>
      <c r="N3162"/>
      <c r="O3162"/>
      <c r="P3162" s="34"/>
    </row>
    <row r="3163" spans="1:16" x14ac:dyDescent="0.25">
      <c r="A3163" s="14"/>
      <c r="B3163"/>
      <c r="C3163" s="15"/>
      <c r="D3163"/>
      <c r="E3163"/>
      <c r="F3163" s="16"/>
      <c r="G3163"/>
      <c r="H3163"/>
      <c r="I3163" s="16"/>
      <c r="J3163"/>
      <c r="K3163"/>
      <c r="L3163"/>
      <c r="M3163" s="17"/>
      <c r="N3163"/>
      <c r="O3163"/>
      <c r="P3163" s="34"/>
    </row>
    <row r="3164" spans="1:16" x14ac:dyDescent="0.25">
      <c r="A3164" s="14"/>
      <c r="B3164"/>
      <c r="C3164" s="15"/>
      <c r="D3164"/>
      <c r="E3164"/>
      <c r="F3164" s="16"/>
      <c r="G3164"/>
      <c r="H3164"/>
      <c r="I3164" s="16"/>
      <c r="J3164"/>
      <c r="K3164"/>
      <c r="L3164"/>
      <c r="M3164" s="17"/>
      <c r="N3164"/>
      <c r="O3164"/>
      <c r="P3164" s="34"/>
    </row>
    <row r="3165" spans="1:16" x14ac:dyDescent="0.25">
      <c r="A3165" s="14"/>
      <c r="B3165"/>
      <c r="C3165" s="15"/>
      <c r="D3165"/>
      <c r="E3165"/>
      <c r="F3165" s="16"/>
      <c r="G3165"/>
      <c r="H3165"/>
      <c r="I3165" s="16"/>
      <c r="J3165"/>
      <c r="K3165"/>
      <c r="L3165"/>
      <c r="M3165" s="17"/>
      <c r="N3165"/>
      <c r="O3165"/>
      <c r="P3165" s="34"/>
    </row>
    <row r="3166" spans="1:16" x14ac:dyDescent="0.25">
      <c r="A3166" s="14"/>
      <c r="B3166"/>
      <c r="C3166" s="15"/>
      <c r="D3166"/>
      <c r="E3166"/>
      <c r="F3166" s="16"/>
      <c r="G3166"/>
      <c r="H3166"/>
      <c r="I3166" s="16"/>
      <c r="J3166"/>
      <c r="K3166"/>
      <c r="L3166"/>
      <c r="M3166" s="17"/>
      <c r="N3166"/>
      <c r="O3166"/>
      <c r="P3166" s="34"/>
    </row>
    <row r="3167" spans="1:16" x14ac:dyDescent="0.25">
      <c r="A3167" s="14"/>
      <c r="B3167"/>
      <c r="C3167" s="15"/>
      <c r="D3167"/>
      <c r="E3167"/>
      <c r="F3167" s="16"/>
      <c r="G3167"/>
      <c r="H3167"/>
      <c r="I3167" s="16"/>
      <c r="J3167"/>
      <c r="K3167"/>
      <c r="L3167"/>
      <c r="M3167" s="17"/>
      <c r="N3167"/>
      <c r="O3167"/>
      <c r="P3167" s="34"/>
    </row>
    <row r="3168" spans="1:16" x14ac:dyDescent="0.25">
      <c r="A3168" s="14"/>
      <c r="B3168"/>
      <c r="C3168" s="15"/>
      <c r="D3168"/>
      <c r="E3168"/>
      <c r="F3168" s="16"/>
      <c r="G3168"/>
      <c r="H3168"/>
      <c r="I3168" s="16"/>
      <c r="J3168"/>
      <c r="K3168"/>
      <c r="L3168"/>
      <c r="M3168" s="17"/>
      <c r="N3168"/>
      <c r="O3168"/>
      <c r="P3168" s="34"/>
    </row>
    <row r="3169" spans="1:16" x14ac:dyDescent="0.25">
      <c r="A3169" s="14"/>
      <c r="B3169"/>
      <c r="C3169" s="15"/>
      <c r="D3169"/>
      <c r="E3169"/>
      <c r="F3169" s="16"/>
      <c r="G3169"/>
      <c r="H3169"/>
      <c r="I3169" s="16"/>
      <c r="J3169"/>
      <c r="K3169"/>
      <c r="L3169"/>
      <c r="M3169" s="17"/>
      <c r="N3169"/>
      <c r="O3169"/>
      <c r="P3169" s="34"/>
    </row>
    <row r="3170" spans="1:16" x14ac:dyDescent="0.25">
      <c r="A3170" s="14"/>
      <c r="B3170"/>
      <c r="C3170" s="15"/>
      <c r="D3170"/>
      <c r="E3170"/>
      <c r="F3170" s="16"/>
      <c r="G3170"/>
      <c r="H3170"/>
      <c r="I3170" s="16"/>
      <c r="J3170"/>
      <c r="K3170"/>
      <c r="L3170"/>
      <c r="M3170" s="17"/>
      <c r="N3170"/>
      <c r="O3170"/>
      <c r="P3170" s="34"/>
    </row>
    <row r="3171" spans="1:16" x14ac:dyDescent="0.25">
      <c r="A3171" s="14"/>
      <c r="B3171"/>
      <c r="C3171" s="15"/>
      <c r="D3171"/>
      <c r="E3171"/>
      <c r="F3171" s="16"/>
      <c r="G3171"/>
      <c r="H3171"/>
      <c r="I3171" s="16"/>
      <c r="J3171"/>
      <c r="K3171"/>
      <c r="L3171"/>
      <c r="M3171" s="17"/>
      <c r="N3171"/>
      <c r="O3171"/>
      <c r="P3171" s="34"/>
    </row>
    <row r="3172" spans="1:16" x14ac:dyDescent="0.25">
      <c r="A3172" s="14"/>
      <c r="B3172"/>
      <c r="C3172" s="15"/>
      <c r="D3172"/>
      <c r="E3172"/>
      <c r="F3172" s="16"/>
      <c r="G3172"/>
      <c r="H3172"/>
      <c r="I3172" s="16"/>
      <c r="J3172"/>
      <c r="K3172"/>
      <c r="L3172"/>
      <c r="M3172" s="17"/>
      <c r="N3172"/>
      <c r="O3172"/>
      <c r="P3172" s="34"/>
    </row>
    <row r="3173" spans="1:16" x14ac:dyDescent="0.25">
      <c r="A3173" s="14"/>
      <c r="B3173"/>
      <c r="C3173" s="15"/>
      <c r="D3173"/>
      <c r="E3173"/>
      <c r="F3173" s="16"/>
      <c r="G3173"/>
      <c r="H3173"/>
      <c r="I3173" s="16"/>
      <c r="J3173"/>
      <c r="K3173"/>
      <c r="L3173"/>
      <c r="M3173" s="17"/>
      <c r="N3173"/>
      <c r="O3173"/>
      <c r="P3173" s="34"/>
    </row>
    <row r="3174" spans="1:16" x14ac:dyDescent="0.25">
      <c r="A3174" s="14"/>
      <c r="B3174"/>
      <c r="C3174" s="15"/>
      <c r="D3174"/>
      <c r="E3174"/>
      <c r="F3174" s="16"/>
      <c r="G3174"/>
      <c r="H3174"/>
      <c r="I3174" s="16"/>
      <c r="J3174"/>
      <c r="K3174"/>
      <c r="L3174"/>
      <c r="M3174" s="17"/>
      <c r="N3174"/>
      <c r="O3174"/>
      <c r="P3174" s="34"/>
    </row>
    <row r="3175" spans="1:16" x14ac:dyDescent="0.25">
      <c r="A3175" s="14"/>
      <c r="B3175"/>
      <c r="C3175" s="15"/>
      <c r="D3175"/>
      <c r="E3175"/>
      <c r="F3175" s="16"/>
      <c r="G3175"/>
      <c r="H3175"/>
      <c r="I3175" s="16"/>
      <c r="J3175"/>
      <c r="K3175"/>
      <c r="L3175"/>
      <c r="M3175" s="17"/>
      <c r="N3175"/>
      <c r="O3175"/>
      <c r="P3175" s="34"/>
    </row>
    <row r="3176" spans="1:16" x14ac:dyDescent="0.25">
      <c r="A3176" s="14"/>
      <c r="B3176"/>
      <c r="C3176" s="15"/>
      <c r="D3176"/>
      <c r="E3176"/>
      <c r="F3176" s="16"/>
      <c r="G3176"/>
      <c r="H3176"/>
      <c r="I3176" s="16"/>
      <c r="J3176"/>
      <c r="K3176"/>
      <c r="L3176"/>
      <c r="M3176" s="17"/>
      <c r="N3176"/>
      <c r="O3176"/>
      <c r="P3176" s="34"/>
    </row>
    <row r="3177" spans="1:16" x14ac:dyDescent="0.25">
      <c r="A3177" s="14"/>
      <c r="B3177"/>
      <c r="C3177" s="15"/>
      <c r="D3177"/>
      <c r="E3177"/>
      <c r="F3177" s="16"/>
      <c r="G3177"/>
      <c r="H3177"/>
      <c r="I3177" s="16"/>
      <c r="J3177"/>
      <c r="K3177"/>
      <c r="L3177"/>
      <c r="M3177" s="17"/>
      <c r="N3177"/>
      <c r="O3177"/>
      <c r="P3177" s="34"/>
    </row>
    <row r="3178" spans="1:16" x14ac:dyDescent="0.25">
      <c r="A3178" s="14"/>
      <c r="B3178"/>
      <c r="C3178" s="15"/>
      <c r="D3178"/>
      <c r="E3178"/>
      <c r="F3178" s="16"/>
      <c r="G3178"/>
      <c r="H3178"/>
      <c r="I3178" s="16"/>
      <c r="J3178"/>
      <c r="K3178"/>
      <c r="L3178"/>
      <c r="M3178" s="17"/>
      <c r="N3178"/>
      <c r="O3178"/>
      <c r="P3178" s="34"/>
    </row>
    <row r="3179" spans="1:16" x14ac:dyDescent="0.25">
      <c r="A3179" s="14"/>
      <c r="B3179"/>
      <c r="C3179" s="15"/>
      <c r="D3179"/>
      <c r="E3179"/>
      <c r="F3179" s="16"/>
      <c r="G3179"/>
      <c r="H3179"/>
      <c r="I3179" s="16"/>
      <c r="J3179"/>
      <c r="K3179"/>
      <c r="L3179"/>
      <c r="M3179" s="17"/>
      <c r="N3179"/>
      <c r="O3179"/>
      <c r="P3179" s="34"/>
    </row>
    <row r="3180" spans="1:16" x14ac:dyDescent="0.25">
      <c r="A3180" s="14"/>
      <c r="B3180"/>
      <c r="C3180" s="15"/>
      <c r="D3180"/>
      <c r="E3180"/>
      <c r="F3180" s="16"/>
      <c r="G3180"/>
      <c r="H3180"/>
      <c r="I3180" s="16"/>
      <c r="J3180"/>
      <c r="K3180"/>
      <c r="L3180"/>
      <c r="M3180" s="17"/>
      <c r="N3180"/>
      <c r="O3180"/>
      <c r="P3180" s="34"/>
    </row>
    <row r="3181" spans="1:16" x14ac:dyDescent="0.25">
      <c r="A3181" s="14"/>
      <c r="B3181"/>
      <c r="C3181" s="15"/>
      <c r="D3181"/>
      <c r="E3181"/>
      <c r="F3181" s="16"/>
      <c r="G3181"/>
      <c r="H3181"/>
      <c r="I3181" s="16"/>
      <c r="J3181"/>
      <c r="K3181"/>
      <c r="L3181"/>
      <c r="M3181" s="17"/>
      <c r="N3181"/>
      <c r="O3181"/>
      <c r="P3181" s="34"/>
    </row>
    <row r="3182" spans="1:16" x14ac:dyDescent="0.25">
      <c r="A3182" s="14"/>
      <c r="B3182"/>
      <c r="C3182" s="15"/>
      <c r="D3182"/>
      <c r="E3182"/>
      <c r="F3182" s="16"/>
      <c r="G3182"/>
      <c r="H3182"/>
      <c r="I3182" s="16"/>
      <c r="J3182"/>
      <c r="K3182"/>
      <c r="L3182"/>
      <c r="M3182" s="17"/>
      <c r="N3182"/>
      <c r="O3182"/>
      <c r="P3182" s="34"/>
    </row>
    <row r="3183" spans="1:16" x14ac:dyDescent="0.25">
      <c r="A3183" s="14"/>
      <c r="B3183"/>
      <c r="C3183" s="15"/>
      <c r="D3183"/>
      <c r="E3183"/>
      <c r="F3183" s="16"/>
      <c r="G3183"/>
      <c r="H3183"/>
      <c r="I3183" s="16"/>
      <c r="J3183"/>
      <c r="K3183"/>
      <c r="L3183"/>
      <c r="M3183" s="17"/>
      <c r="N3183"/>
      <c r="O3183"/>
      <c r="P3183" s="34"/>
    </row>
    <row r="3184" spans="1:16" x14ac:dyDescent="0.25">
      <c r="A3184" s="14"/>
      <c r="B3184"/>
      <c r="C3184" s="15"/>
      <c r="D3184"/>
      <c r="E3184"/>
      <c r="F3184" s="16"/>
      <c r="G3184"/>
      <c r="H3184"/>
      <c r="I3184" s="16"/>
      <c r="J3184"/>
      <c r="K3184"/>
      <c r="L3184"/>
      <c r="M3184" s="17"/>
      <c r="N3184"/>
      <c r="O3184"/>
      <c r="P3184" s="34"/>
    </row>
    <row r="3185" spans="1:16" x14ac:dyDescent="0.25">
      <c r="A3185" s="14"/>
      <c r="B3185"/>
      <c r="C3185" s="15"/>
      <c r="D3185"/>
      <c r="E3185"/>
      <c r="F3185" s="16"/>
      <c r="G3185"/>
      <c r="H3185"/>
      <c r="I3185" s="16"/>
      <c r="J3185"/>
      <c r="K3185"/>
      <c r="L3185"/>
      <c r="M3185" s="17"/>
      <c r="N3185"/>
      <c r="O3185"/>
      <c r="P3185" s="34"/>
    </row>
    <row r="3186" spans="1:16" x14ac:dyDescent="0.25">
      <c r="A3186" s="14"/>
      <c r="B3186"/>
      <c r="C3186" s="15"/>
      <c r="D3186"/>
      <c r="E3186"/>
      <c r="F3186" s="16"/>
      <c r="G3186"/>
      <c r="H3186"/>
      <c r="I3186" s="16"/>
      <c r="J3186"/>
      <c r="K3186"/>
      <c r="L3186"/>
      <c r="M3186" s="17"/>
      <c r="N3186"/>
      <c r="O3186"/>
      <c r="P3186" s="34"/>
    </row>
    <row r="3187" spans="1:16" x14ac:dyDescent="0.25">
      <c r="A3187" s="14"/>
      <c r="B3187"/>
      <c r="C3187" s="15"/>
      <c r="D3187"/>
      <c r="E3187"/>
      <c r="F3187" s="16"/>
      <c r="G3187"/>
      <c r="H3187"/>
      <c r="I3187" s="16"/>
      <c r="J3187"/>
      <c r="K3187"/>
      <c r="L3187"/>
      <c r="M3187" s="17"/>
      <c r="N3187"/>
      <c r="O3187"/>
      <c r="P3187" s="34"/>
    </row>
    <row r="3188" spans="1:16" x14ac:dyDescent="0.25">
      <c r="A3188" s="14"/>
      <c r="B3188"/>
      <c r="C3188" s="15"/>
      <c r="D3188"/>
      <c r="E3188"/>
      <c r="F3188" s="16"/>
      <c r="G3188"/>
      <c r="H3188"/>
      <c r="I3188" s="16"/>
      <c r="J3188"/>
      <c r="K3188"/>
      <c r="L3188"/>
      <c r="M3188" s="17"/>
      <c r="N3188"/>
      <c r="O3188"/>
      <c r="P3188" s="34"/>
    </row>
    <row r="3189" spans="1:16" x14ac:dyDescent="0.25">
      <c r="A3189" s="14"/>
      <c r="B3189"/>
      <c r="C3189" s="15"/>
      <c r="D3189"/>
      <c r="E3189"/>
      <c r="F3189" s="16"/>
      <c r="G3189"/>
      <c r="H3189"/>
      <c r="I3189" s="16"/>
      <c r="J3189"/>
      <c r="K3189"/>
      <c r="L3189"/>
      <c r="M3189" s="17"/>
      <c r="N3189"/>
      <c r="O3189"/>
      <c r="P3189" s="34"/>
    </row>
    <row r="3190" spans="1:16" x14ac:dyDescent="0.25">
      <c r="A3190" s="14"/>
      <c r="B3190"/>
      <c r="C3190" s="15"/>
      <c r="D3190"/>
      <c r="E3190"/>
      <c r="F3190" s="16"/>
      <c r="G3190"/>
      <c r="H3190"/>
      <c r="I3190" s="16"/>
      <c r="J3190"/>
      <c r="K3190"/>
      <c r="L3190"/>
      <c r="M3190" s="17"/>
      <c r="N3190"/>
      <c r="O3190"/>
      <c r="P3190" s="34"/>
    </row>
    <row r="3191" spans="1:16" x14ac:dyDescent="0.25">
      <c r="A3191" s="14"/>
      <c r="B3191"/>
      <c r="C3191" s="15"/>
      <c r="D3191"/>
      <c r="E3191"/>
      <c r="F3191" s="16"/>
      <c r="G3191"/>
      <c r="H3191"/>
      <c r="I3191" s="16"/>
      <c r="J3191"/>
      <c r="K3191"/>
      <c r="L3191"/>
      <c r="M3191" s="17"/>
      <c r="N3191"/>
      <c r="O3191"/>
      <c r="P3191" s="34"/>
    </row>
    <row r="3192" spans="1:16" x14ac:dyDescent="0.25">
      <c r="A3192" s="14"/>
      <c r="B3192"/>
      <c r="C3192" s="15"/>
      <c r="D3192"/>
      <c r="E3192"/>
      <c r="F3192" s="16"/>
      <c r="G3192"/>
      <c r="H3192"/>
      <c r="I3192" s="16"/>
      <c r="J3192"/>
      <c r="K3192"/>
      <c r="L3192"/>
      <c r="M3192" s="17"/>
      <c r="N3192"/>
      <c r="O3192"/>
      <c r="P3192" s="34"/>
    </row>
    <row r="3193" spans="1:16" x14ac:dyDescent="0.25">
      <c r="A3193" s="14"/>
      <c r="B3193"/>
      <c r="C3193" s="15"/>
      <c r="D3193"/>
      <c r="E3193"/>
      <c r="F3193" s="16"/>
      <c r="G3193"/>
      <c r="H3193"/>
      <c r="I3193" s="16"/>
      <c r="J3193"/>
      <c r="K3193"/>
      <c r="L3193"/>
      <c r="M3193" s="17"/>
      <c r="N3193"/>
      <c r="O3193"/>
      <c r="P3193" s="34"/>
    </row>
    <row r="3194" spans="1:16" x14ac:dyDescent="0.25">
      <c r="A3194" s="14"/>
      <c r="B3194"/>
      <c r="C3194" s="15"/>
      <c r="D3194"/>
      <c r="E3194"/>
      <c r="F3194" s="16"/>
      <c r="G3194"/>
      <c r="H3194"/>
      <c r="I3194" s="16"/>
      <c r="J3194"/>
      <c r="K3194"/>
      <c r="L3194"/>
      <c r="M3194" s="17"/>
      <c r="N3194"/>
      <c r="O3194"/>
      <c r="P3194" s="34"/>
    </row>
    <row r="3195" spans="1:16" x14ac:dyDescent="0.25">
      <c r="A3195" s="14"/>
      <c r="B3195"/>
      <c r="C3195" s="15"/>
      <c r="D3195"/>
      <c r="E3195"/>
      <c r="F3195" s="16"/>
      <c r="G3195"/>
      <c r="H3195"/>
      <c r="I3195" s="16"/>
      <c r="J3195"/>
      <c r="K3195"/>
      <c r="L3195"/>
      <c r="M3195" s="17"/>
      <c r="N3195"/>
      <c r="O3195"/>
      <c r="P3195" s="34"/>
    </row>
    <row r="3196" spans="1:16" x14ac:dyDescent="0.25">
      <c r="A3196" s="14"/>
      <c r="B3196"/>
      <c r="C3196" s="15"/>
      <c r="D3196"/>
      <c r="E3196"/>
      <c r="F3196" s="16"/>
      <c r="G3196"/>
      <c r="H3196"/>
      <c r="I3196" s="16"/>
      <c r="J3196"/>
      <c r="K3196"/>
      <c r="L3196"/>
      <c r="M3196" s="17"/>
      <c r="N3196"/>
      <c r="O3196"/>
      <c r="P3196" s="34"/>
    </row>
    <row r="3197" spans="1:16" x14ac:dyDescent="0.25">
      <c r="A3197" s="14"/>
      <c r="B3197"/>
      <c r="C3197" s="15"/>
      <c r="D3197"/>
      <c r="E3197"/>
      <c r="F3197" s="16"/>
      <c r="G3197"/>
      <c r="H3197"/>
      <c r="I3197" s="16"/>
      <c r="J3197"/>
      <c r="K3197"/>
      <c r="L3197"/>
      <c r="M3197" s="17"/>
      <c r="N3197"/>
      <c r="O3197"/>
      <c r="P3197" s="34"/>
    </row>
    <row r="3198" spans="1:16" x14ac:dyDescent="0.25">
      <c r="A3198" s="14"/>
      <c r="B3198"/>
      <c r="C3198" s="15"/>
      <c r="D3198"/>
      <c r="E3198"/>
      <c r="F3198" s="16"/>
      <c r="G3198"/>
      <c r="H3198"/>
      <c r="I3198" s="16"/>
      <c r="J3198"/>
      <c r="K3198"/>
      <c r="L3198"/>
      <c r="M3198" s="17"/>
      <c r="N3198"/>
      <c r="O3198"/>
      <c r="P3198" s="34"/>
    </row>
    <row r="3199" spans="1:16" x14ac:dyDescent="0.25">
      <c r="A3199" s="14"/>
      <c r="B3199"/>
      <c r="C3199" s="15"/>
      <c r="D3199"/>
      <c r="E3199"/>
      <c r="F3199" s="16"/>
      <c r="G3199"/>
      <c r="H3199"/>
      <c r="I3199" s="16"/>
      <c r="J3199"/>
      <c r="K3199"/>
      <c r="L3199"/>
      <c r="M3199" s="17"/>
      <c r="N3199"/>
      <c r="O3199"/>
      <c r="P3199" s="34"/>
    </row>
    <row r="3200" spans="1:16" x14ac:dyDescent="0.25">
      <c r="A3200" s="14"/>
      <c r="B3200"/>
      <c r="C3200" s="15"/>
      <c r="D3200"/>
      <c r="E3200"/>
      <c r="F3200" s="16"/>
      <c r="G3200"/>
      <c r="H3200"/>
      <c r="I3200" s="16"/>
      <c r="J3200"/>
      <c r="K3200"/>
      <c r="L3200"/>
      <c r="M3200" s="17"/>
      <c r="N3200"/>
      <c r="O3200"/>
      <c r="P3200" s="34"/>
    </row>
    <row r="3201" spans="1:16" x14ac:dyDescent="0.25">
      <c r="A3201" s="14"/>
      <c r="B3201"/>
      <c r="C3201" s="15"/>
      <c r="D3201"/>
      <c r="E3201"/>
      <c r="F3201" s="16"/>
      <c r="G3201"/>
      <c r="H3201"/>
      <c r="I3201" s="16"/>
      <c r="J3201"/>
      <c r="K3201"/>
      <c r="L3201"/>
      <c r="M3201" s="17"/>
      <c r="N3201"/>
      <c r="O3201"/>
      <c r="P3201" s="34"/>
    </row>
    <row r="3202" spans="1:16" x14ac:dyDescent="0.25">
      <c r="A3202" s="14"/>
      <c r="B3202"/>
      <c r="C3202" s="15"/>
      <c r="D3202"/>
      <c r="E3202"/>
      <c r="F3202" s="16"/>
      <c r="G3202"/>
      <c r="H3202"/>
      <c r="I3202" s="16"/>
      <c r="J3202"/>
      <c r="K3202"/>
      <c r="L3202"/>
      <c r="M3202" s="17"/>
      <c r="N3202"/>
      <c r="O3202"/>
      <c r="P3202" s="34"/>
    </row>
    <row r="3203" spans="1:16" x14ac:dyDescent="0.25">
      <c r="A3203" s="14"/>
      <c r="B3203"/>
      <c r="C3203" s="15"/>
      <c r="D3203"/>
      <c r="E3203"/>
      <c r="F3203" s="16"/>
      <c r="G3203"/>
      <c r="H3203"/>
      <c r="I3203" s="16"/>
      <c r="J3203"/>
      <c r="K3203"/>
      <c r="L3203"/>
      <c r="M3203" s="17"/>
      <c r="N3203"/>
      <c r="O3203"/>
      <c r="P3203" s="34"/>
    </row>
    <row r="3204" spans="1:16" x14ac:dyDescent="0.25">
      <c r="A3204" s="14"/>
      <c r="B3204"/>
      <c r="C3204" s="15"/>
      <c r="D3204"/>
      <c r="E3204"/>
      <c r="F3204" s="16"/>
      <c r="G3204"/>
      <c r="H3204"/>
      <c r="I3204" s="16"/>
      <c r="J3204"/>
      <c r="K3204"/>
      <c r="L3204"/>
      <c r="M3204" s="17"/>
      <c r="N3204"/>
      <c r="O3204"/>
      <c r="P3204" s="34"/>
    </row>
    <row r="3205" spans="1:16" x14ac:dyDescent="0.25">
      <c r="A3205" s="14"/>
      <c r="B3205"/>
      <c r="C3205" s="15"/>
      <c r="D3205"/>
      <c r="E3205"/>
      <c r="F3205" s="16"/>
      <c r="G3205"/>
      <c r="H3205"/>
      <c r="I3205" s="16"/>
      <c r="J3205"/>
      <c r="K3205"/>
      <c r="L3205"/>
      <c r="M3205" s="17"/>
      <c r="N3205"/>
      <c r="O3205"/>
      <c r="P3205" s="34"/>
    </row>
    <row r="3206" spans="1:16" x14ac:dyDescent="0.25">
      <c r="A3206" s="14"/>
      <c r="B3206"/>
      <c r="C3206" s="15"/>
      <c r="D3206"/>
      <c r="E3206"/>
      <c r="F3206" s="16"/>
      <c r="G3206"/>
      <c r="H3206"/>
      <c r="I3206" s="16"/>
      <c r="J3206"/>
      <c r="K3206"/>
      <c r="L3206"/>
      <c r="M3206" s="17"/>
      <c r="N3206"/>
      <c r="O3206"/>
      <c r="P3206" s="34"/>
    </row>
    <row r="3207" spans="1:16" x14ac:dyDescent="0.25">
      <c r="A3207" s="14"/>
      <c r="B3207"/>
      <c r="C3207" s="15"/>
      <c r="D3207"/>
      <c r="E3207"/>
      <c r="F3207" s="16"/>
      <c r="G3207"/>
      <c r="H3207"/>
      <c r="I3207" s="16"/>
      <c r="J3207"/>
      <c r="K3207"/>
      <c r="L3207"/>
      <c r="M3207" s="17"/>
      <c r="N3207"/>
      <c r="O3207"/>
      <c r="P3207" s="34"/>
    </row>
    <row r="3208" spans="1:16" x14ac:dyDescent="0.25">
      <c r="A3208" s="14"/>
      <c r="B3208"/>
      <c r="C3208" s="15"/>
      <c r="D3208"/>
      <c r="E3208"/>
      <c r="F3208" s="16"/>
      <c r="G3208"/>
      <c r="H3208"/>
      <c r="I3208" s="16"/>
      <c r="J3208"/>
      <c r="K3208"/>
      <c r="L3208"/>
      <c r="M3208" s="17"/>
      <c r="N3208"/>
      <c r="O3208"/>
      <c r="P3208" s="34"/>
    </row>
    <row r="3209" spans="1:16" x14ac:dyDescent="0.25">
      <c r="A3209" s="14"/>
      <c r="B3209"/>
      <c r="C3209" s="15"/>
      <c r="D3209"/>
      <c r="E3209"/>
      <c r="F3209" s="16"/>
      <c r="G3209"/>
      <c r="H3209"/>
      <c r="I3209" s="16"/>
      <c r="J3209"/>
      <c r="K3209"/>
      <c r="L3209"/>
      <c r="M3209" s="17"/>
      <c r="N3209"/>
      <c r="O3209"/>
      <c r="P3209" s="34"/>
    </row>
    <row r="3210" spans="1:16" x14ac:dyDescent="0.25">
      <c r="A3210" s="14"/>
      <c r="B3210"/>
      <c r="C3210" s="15"/>
      <c r="D3210"/>
      <c r="E3210"/>
      <c r="F3210" s="16"/>
      <c r="G3210"/>
      <c r="H3210"/>
      <c r="I3210" s="16"/>
      <c r="J3210"/>
      <c r="K3210"/>
      <c r="L3210"/>
      <c r="M3210" s="17"/>
      <c r="N3210"/>
      <c r="O3210"/>
      <c r="P3210" s="34"/>
    </row>
    <row r="3211" spans="1:16" x14ac:dyDescent="0.25">
      <c r="A3211" s="14"/>
      <c r="B3211"/>
      <c r="C3211" s="15"/>
      <c r="D3211"/>
      <c r="E3211"/>
      <c r="F3211" s="16"/>
      <c r="G3211"/>
      <c r="H3211"/>
      <c r="I3211" s="16"/>
      <c r="J3211"/>
      <c r="K3211"/>
      <c r="L3211"/>
      <c r="M3211" s="17"/>
      <c r="N3211"/>
      <c r="O3211"/>
      <c r="P3211" s="34"/>
    </row>
    <row r="3212" spans="1:16" x14ac:dyDescent="0.25">
      <c r="A3212" s="14"/>
      <c r="B3212"/>
      <c r="C3212" s="15"/>
      <c r="D3212"/>
      <c r="E3212"/>
      <c r="F3212" s="16"/>
      <c r="G3212"/>
      <c r="H3212"/>
      <c r="I3212" s="16"/>
      <c r="J3212"/>
      <c r="K3212"/>
      <c r="L3212"/>
      <c r="M3212" s="17"/>
      <c r="N3212"/>
      <c r="O3212"/>
      <c r="P3212" s="34"/>
    </row>
    <row r="3213" spans="1:16" x14ac:dyDescent="0.25">
      <c r="A3213" s="14"/>
      <c r="B3213"/>
      <c r="C3213" s="15"/>
      <c r="D3213"/>
      <c r="E3213"/>
      <c r="F3213" s="16"/>
      <c r="G3213"/>
      <c r="H3213"/>
      <c r="I3213" s="16"/>
      <c r="J3213"/>
      <c r="K3213"/>
      <c r="L3213"/>
      <c r="M3213" s="17"/>
      <c r="N3213"/>
      <c r="O3213"/>
      <c r="P3213" s="34"/>
    </row>
    <row r="3214" spans="1:16" x14ac:dyDescent="0.25">
      <c r="A3214" s="14"/>
      <c r="B3214"/>
      <c r="C3214" s="15"/>
      <c r="D3214"/>
      <c r="E3214"/>
      <c r="F3214" s="16"/>
      <c r="G3214"/>
      <c r="H3214"/>
      <c r="I3214" s="16"/>
      <c r="J3214"/>
      <c r="K3214"/>
      <c r="L3214"/>
      <c r="M3214" s="17"/>
      <c r="N3214"/>
      <c r="O3214"/>
      <c r="P3214" s="34"/>
    </row>
    <row r="3215" spans="1:16" x14ac:dyDescent="0.25">
      <c r="A3215" s="14"/>
      <c r="B3215"/>
      <c r="C3215" s="15"/>
      <c r="D3215"/>
      <c r="E3215"/>
      <c r="F3215" s="16"/>
      <c r="G3215"/>
      <c r="H3215"/>
      <c r="I3215" s="16"/>
      <c r="J3215"/>
      <c r="K3215"/>
      <c r="L3215"/>
      <c r="M3215" s="17"/>
      <c r="N3215"/>
      <c r="O3215"/>
      <c r="P3215" s="34"/>
    </row>
    <row r="3216" spans="1:16" x14ac:dyDescent="0.25">
      <c r="A3216" s="14"/>
      <c r="B3216"/>
      <c r="C3216" s="15"/>
      <c r="D3216"/>
      <c r="E3216"/>
      <c r="F3216" s="16"/>
      <c r="G3216"/>
      <c r="H3216"/>
      <c r="I3216" s="16"/>
      <c r="J3216"/>
      <c r="K3216"/>
      <c r="L3216"/>
      <c r="M3216" s="17"/>
      <c r="N3216"/>
      <c r="O3216"/>
      <c r="P3216" s="34"/>
    </row>
    <row r="3217" spans="1:16" x14ac:dyDescent="0.25">
      <c r="A3217" s="14"/>
      <c r="B3217"/>
      <c r="C3217" s="15"/>
      <c r="D3217"/>
      <c r="E3217"/>
      <c r="F3217" s="16"/>
      <c r="G3217"/>
      <c r="H3217"/>
      <c r="I3217" s="16"/>
      <c r="J3217"/>
      <c r="K3217"/>
      <c r="L3217"/>
      <c r="M3217" s="17"/>
      <c r="N3217"/>
      <c r="O3217"/>
      <c r="P3217" s="34"/>
    </row>
    <row r="3218" spans="1:16" x14ac:dyDescent="0.25">
      <c r="A3218" s="14"/>
      <c r="B3218"/>
      <c r="C3218" s="15"/>
      <c r="D3218"/>
      <c r="E3218"/>
      <c r="F3218" s="16"/>
      <c r="G3218"/>
      <c r="H3218"/>
      <c r="I3218" s="16"/>
      <c r="J3218"/>
      <c r="K3218"/>
      <c r="L3218"/>
      <c r="M3218" s="17"/>
      <c r="N3218"/>
      <c r="O3218"/>
      <c r="P3218" s="34"/>
    </row>
    <row r="3219" spans="1:16" x14ac:dyDescent="0.25">
      <c r="A3219" s="14"/>
      <c r="B3219"/>
      <c r="C3219" s="15"/>
      <c r="D3219"/>
      <c r="E3219"/>
      <c r="F3219" s="16"/>
      <c r="G3219"/>
      <c r="H3219"/>
      <c r="I3219" s="16"/>
      <c r="J3219"/>
      <c r="K3219"/>
      <c r="L3219"/>
      <c r="M3219" s="17"/>
      <c r="N3219"/>
      <c r="O3219"/>
      <c r="P3219" s="34"/>
    </row>
    <row r="3220" spans="1:16" x14ac:dyDescent="0.25">
      <c r="A3220" s="14"/>
      <c r="B3220"/>
      <c r="C3220" s="15"/>
      <c r="D3220"/>
      <c r="E3220"/>
      <c r="F3220" s="16"/>
      <c r="G3220"/>
      <c r="H3220"/>
      <c r="I3220" s="16"/>
      <c r="J3220"/>
      <c r="K3220"/>
      <c r="L3220"/>
      <c r="M3220" s="17"/>
      <c r="N3220"/>
      <c r="O3220"/>
      <c r="P3220" s="34"/>
    </row>
    <row r="3221" spans="1:16" x14ac:dyDescent="0.25">
      <c r="A3221" s="14"/>
      <c r="B3221"/>
      <c r="C3221" s="15"/>
      <c r="D3221"/>
      <c r="E3221"/>
      <c r="F3221" s="16"/>
      <c r="G3221"/>
      <c r="H3221"/>
      <c r="I3221" s="16"/>
      <c r="J3221"/>
      <c r="K3221"/>
      <c r="L3221"/>
      <c r="M3221" s="17"/>
      <c r="N3221"/>
      <c r="O3221"/>
      <c r="P3221" s="34"/>
    </row>
    <row r="3222" spans="1:16" x14ac:dyDescent="0.25">
      <c r="A3222" s="14"/>
      <c r="B3222"/>
      <c r="C3222" s="15"/>
      <c r="D3222"/>
      <c r="E3222"/>
      <c r="F3222" s="16"/>
      <c r="G3222"/>
      <c r="H3222"/>
      <c r="I3222" s="16"/>
      <c r="J3222"/>
      <c r="K3222"/>
      <c r="L3222"/>
      <c r="M3222" s="17"/>
      <c r="N3222"/>
      <c r="O3222"/>
      <c r="P3222" s="34"/>
    </row>
    <row r="3223" spans="1:16" x14ac:dyDescent="0.25">
      <c r="A3223" s="14"/>
      <c r="B3223"/>
      <c r="C3223" s="15"/>
      <c r="D3223"/>
      <c r="E3223"/>
      <c r="F3223" s="16"/>
      <c r="G3223"/>
      <c r="H3223"/>
      <c r="I3223" s="16"/>
      <c r="J3223"/>
      <c r="K3223"/>
      <c r="L3223"/>
      <c r="M3223" s="17"/>
      <c r="N3223"/>
      <c r="O3223"/>
      <c r="P3223" s="34"/>
    </row>
    <row r="3224" spans="1:16" x14ac:dyDescent="0.25">
      <c r="A3224" s="14"/>
      <c r="B3224"/>
      <c r="C3224" s="15"/>
      <c r="D3224"/>
      <c r="E3224"/>
      <c r="F3224" s="16"/>
      <c r="G3224"/>
      <c r="H3224"/>
      <c r="I3224" s="16"/>
      <c r="J3224"/>
      <c r="K3224"/>
      <c r="L3224"/>
      <c r="M3224" s="17"/>
      <c r="N3224"/>
      <c r="O3224"/>
      <c r="P3224" s="34"/>
    </row>
    <row r="3225" spans="1:16" x14ac:dyDescent="0.25">
      <c r="A3225" s="14"/>
      <c r="B3225"/>
      <c r="C3225" s="15"/>
      <c r="D3225"/>
      <c r="E3225"/>
      <c r="F3225" s="16"/>
      <c r="G3225"/>
      <c r="H3225"/>
      <c r="I3225" s="16"/>
      <c r="J3225"/>
      <c r="K3225"/>
      <c r="L3225"/>
      <c r="M3225" s="17"/>
      <c r="N3225"/>
      <c r="O3225"/>
      <c r="P3225" s="34"/>
    </row>
    <row r="3226" spans="1:16" x14ac:dyDescent="0.25">
      <c r="A3226" s="14"/>
      <c r="B3226"/>
      <c r="C3226" s="15"/>
      <c r="D3226"/>
      <c r="E3226"/>
      <c r="F3226" s="16"/>
      <c r="G3226"/>
      <c r="H3226"/>
      <c r="I3226" s="16"/>
      <c r="J3226"/>
      <c r="K3226"/>
      <c r="L3226"/>
      <c r="M3226" s="17"/>
      <c r="N3226"/>
      <c r="O3226"/>
      <c r="P3226" s="34"/>
    </row>
    <row r="3227" spans="1:16" x14ac:dyDescent="0.25">
      <c r="A3227" s="14"/>
      <c r="B3227"/>
      <c r="C3227" s="15"/>
      <c r="D3227"/>
      <c r="E3227"/>
      <c r="F3227" s="16"/>
      <c r="G3227"/>
      <c r="H3227"/>
      <c r="I3227" s="16"/>
      <c r="J3227"/>
      <c r="K3227"/>
      <c r="L3227"/>
      <c r="M3227" s="17"/>
      <c r="N3227"/>
      <c r="O3227"/>
      <c r="P3227" s="34"/>
    </row>
    <row r="3228" spans="1:16" x14ac:dyDescent="0.25">
      <c r="A3228" s="14"/>
      <c r="B3228"/>
      <c r="C3228" s="15"/>
      <c r="D3228"/>
      <c r="E3228"/>
      <c r="F3228" s="16"/>
      <c r="G3228"/>
      <c r="H3228"/>
      <c r="I3228" s="16"/>
      <c r="J3228"/>
      <c r="K3228"/>
      <c r="L3228"/>
      <c r="M3228" s="17"/>
      <c r="N3228"/>
      <c r="O3228"/>
      <c r="P3228" s="34"/>
    </row>
    <row r="3229" spans="1:16" x14ac:dyDescent="0.25">
      <c r="A3229" s="14"/>
      <c r="B3229"/>
      <c r="C3229" s="15"/>
      <c r="D3229"/>
      <c r="E3229"/>
      <c r="F3229" s="16"/>
      <c r="G3229"/>
      <c r="H3229"/>
      <c r="I3229" s="16"/>
      <c r="J3229"/>
      <c r="K3229"/>
      <c r="L3229"/>
      <c r="M3229" s="17"/>
      <c r="N3229"/>
      <c r="O3229"/>
      <c r="P3229" s="34"/>
    </row>
    <row r="3230" spans="1:16" x14ac:dyDescent="0.25">
      <c r="A3230" s="14"/>
      <c r="B3230"/>
      <c r="C3230" s="15"/>
      <c r="D3230"/>
      <c r="E3230"/>
      <c r="F3230" s="16"/>
      <c r="G3230"/>
      <c r="H3230"/>
      <c r="I3230" s="16"/>
      <c r="J3230"/>
      <c r="K3230"/>
      <c r="L3230"/>
      <c r="M3230" s="17"/>
      <c r="N3230"/>
      <c r="O3230"/>
      <c r="P3230" s="34"/>
    </row>
    <row r="3231" spans="1:16" x14ac:dyDescent="0.25">
      <c r="A3231" s="14"/>
      <c r="B3231"/>
      <c r="C3231" s="15"/>
      <c r="D3231"/>
      <c r="E3231"/>
      <c r="F3231" s="16"/>
      <c r="G3231"/>
      <c r="H3231"/>
      <c r="I3231" s="16"/>
      <c r="J3231"/>
      <c r="K3231"/>
      <c r="L3231"/>
      <c r="M3231" s="17"/>
      <c r="N3231"/>
      <c r="O3231"/>
      <c r="P3231" s="34"/>
    </row>
    <row r="3232" spans="1:16" x14ac:dyDescent="0.25">
      <c r="A3232" s="14"/>
      <c r="B3232"/>
      <c r="C3232" s="15"/>
      <c r="D3232"/>
      <c r="E3232"/>
      <c r="F3232" s="16"/>
      <c r="G3232"/>
      <c r="H3232"/>
      <c r="I3232" s="16"/>
      <c r="J3232"/>
      <c r="K3232"/>
      <c r="L3232"/>
      <c r="M3232" s="17"/>
      <c r="N3232"/>
      <c r="O3232"/>
      <c r="P3232" s="34"/>
    </row>
    <row r="3233" spans="1:16" x14ac:dyDescent="0.25">
      <c r="A3233" s="14"/>
      <c r="B3233"/>
      <c r="C3233" s="15"/>
      <c r="D3233"/>
      <c r="E3233"/>
      <c r="F3233" s="16"/>
      <c r="G3233"/>
      <c r="H3233"/>
      <c r="I3233" s="16"/>
      <c r="J3233"/>
      <c r="K3233"/>
      <c r="L3233"/>
      <c r="M3233" s="17"/>
      <c r="N3233"/>
      <c r="O3233"/>
      <c r="P3233" s="34"/>
    </row>
    <row r="3234" spans="1:16" x14ac:dyDescent="0.25">
      <c r="A3234" s="14"/>
      <c r="B3234"/>
      <c r="C3234" s="15"/>
      <c r="D3234"/>
      <c r="E3234"/>
      <c r="F3234" s="16"/>
      <c r="G3234"/>
      <c r="H3234"/>
      <c r="I3234" s="16"/>
      <c r="J3234"/>
      <c r="K3234"/>
      <c r="L3234"/>
      <c r="M3234" s="17"/>
      <c r="N3234"/>
      <c r="O3234"/>
      <c r="P3234" s="34"/>
    </row>
    <row r="3235" spans="1:16" x14ac:dyDescent="0.25">
      <c r="A3235" s="14"/>
      <c r="B3235"/>
      <c r="C3235" s="15"/>
      <c r="D3235"/>
      <c r="E3235"/>
      <c r="F3235" s="16"/>
      <c r="G3235"/>
      <c r="H3235"/>
      <c r="I3235" s="16"/>
      <c r="J3235"/>
      <c r="K3235"/>
      <c r="L3235"/>
      <c r="M3235" s="17"/>
      <c r="N3235"/>
      <c r="O3235"/>
      <c r="P3235" s="34"/>
    </row>
    <row r="3236" spans="1:16" x14ac:dyDescent="0.25">
      <c r="A3236" s="14"/>
      <c r="B3236"/>
      <c r="C3236" s="15"/>
      <c r="D3236"/>
      <c r="E3236"/>
      <c r="F3236" s="16"/>
      <c r="G3236"/>
      <c r="H3236"/>
      <c r="I3236" s="16"/>
      <c r="J3236"/>
      <c r="K3236"/>
      <c r="L3236"/>
      <c r="M3236" s="17"/>
      <c r="N3236"/>
      <c r="O3236"/>
      <c r="P3236" s="34"/>
    </row>
    <row r="3237" spans="1:16" x14ac:dyDescent="0.25">
      <c r="A3237" s="14"/>
      <c r="B3237"/>
      <c r="C3237" s="15"/>
      <c r="D3237"/>
      <c r="E3237"/>
      <c r="F3237" s="16"/>
      <c r="G3237"/>
      <c r="H3237"/>
      <c r="I3237" s="16"/>
      <c r="J3237"/>
      <c r="K3237"/>
      <c r="L3237"/>
      <c r="M3237" s="17"/>
      <c r="N3237"/>
      <c r="O3237"/>
      <c r="P3237" s="34"/>
    </row>
    <row r="3238" spans="1:16" x14ac:dyDescent="0.25">
      <c r="A3238" s="14"/>
      <c r="B3238"/>
      <c r="C3238" s="15"/>
      <c r="D3238"/>
      <c r="E3238"/>
      <c r="F3238" s="16"/>
      <c r="G3238"/>
      <c r="H3238"/>
      <c r="I3238" s="16"/>
      <c r="J3238"/>
      <c r="K3238"/>
      <c r="L3238"/>
      <c r="M3238" s="17"/>
      <c r="N3238"/>
      <c r="O3238"/>
      <c r="P3238" s="34"/>
    </row>
    <row r="3239" spans="1:16" x14ac:dyDescent="0.25">
      <c r="A3239" s="14"/>
      <c r="B3239"/>
      <c r="C3239" s="15"/>
      <c r="D3239"/>
      <c r="E3239"/>
      <c r="F3239" s="16"/>
      <c r="G3239"/>
      <c r="H3239"/>
      <c r="I3239" s="16"/>
      <c r="J3239"/>
      <c r="K3239"/>
      <c r="L3239"/>
      <c r="M3239" s="17"/>
      <c r="N3239"/>
      <c r="O3239"/>
      <c r="P3239" s="34"/>
    </row>
    <row r="3240" spans="1:16" x14ac:dyDescent="0.25">
      <c r="A3240" s="14"/>
      <c r="B3240"/>
      <c r="C3240" s="15"/>
      <c r="D3240"/>
      <c r="E3240"/>
      <c r="F3240" s="16"/>
      <c r="G3240"/>
      <c r="H3240"/>
      <c r="I3240" s="16"/>
      <c r="J3240"/>
      <c r="K3240"/>
      <c r="L3240"/>
      <c r="M3240" s="17"/>
      <c r="N3240"/>
      <c r="O3240"/>
      <c r="P3240" s="34"/>
    </row>
    <row r="3241" spans="1:16" x14ac:dyDescent="0.25">
      <c r="A3241" s="14"/>
      <c r="B3241"/>
      <c r="C3241" s="15"/>
      <c r="D3241"/>
      <c r="E3241"/>
      <c r="F3241" s="16"/>
      <c r="G3241"/>
      <c r="H3241"/>
      <c r="I3241" s="16"/>
      <c r="J3241"/>
      <c r="K3241"/>
      <c r="L3241"/>
      <c r="M3241" s="17"/>
      <c r="N3241"/>
      <c r="O3241"/>
      <c r="P3241" s="34"/>
    </row>
    <row r="3242" spans="1:16" x14ac:dyDescent="0.25">
      <c r="A3242" s="14"/>
      <c r="B3242"/>
      <c r="C3242" s="15"/>
      <c r="D3242"/>
      <c r="E3242"/>
      <c r="F3242" s="16"/>
      <c r="G3242"/>
      <c r="H3242"/>
      <c r="I3242" s="16"/>
      <c r="J3242"/>
      <c r="K3242"/>
      <c r="L3242"/>
      <c r="M3242" s="17"/>
      <c r="N3242"/>
      <c r="O3242"/>
      <c r="P3242" s="34"/>
    </row>
    <row r="3243" spans="1:16" x14ac:dyDescent="0.25">
      <c r="A3243" s="14"/>
      <c r="B3243"/>
      <c r="C3243" s="15"/>
      <c r="D3243"/>
      <c r="E3243"/>
      <c r="F3243" s="16"/>
      <c r="G3243"/>
      <c r="H3243"/>
      <c r="I3243" s="16"/>
      <c r="J3243"/>
      <c r="K3243"/>
      <c r="L3243"/>
      <c r="M3243" s="17"/>
      <c r="N3243"/>
      <c r="O3243"/>
      <c r="P3243" s="34"/>
    </row>
    <row r="3244" spans="1:16" x14ac:dyDescent="0.25">
      <c r="A3244" s="14"/>
      <c r="B3244"/>
      <c r="C3244" s="15"/>
      <c r="D3244"/>
      <c r="E3244"/>
      <c r="F3244" s="16"/>
      <c r="G3244"/>
      <c r="H3244"/>
      <c r="I3244" s="16"/>
      <c r="J3244"/>
      <c r="K3244"/>
      <c r="L3244"/>
      <c r="M3244" s="17"/>
      <c r="N3244"/>
      <c r="O3244"/>
      <c r="P3244" s="34"/>
    </row>
    <row r="3245" spans="1:16" x14ac:dyDescent="0.25">
      <c r="A3245" s="14"/>
      <c r="B3245"/>
      <c r="C3245" s="15"/>
      <c r="D3245"/>
      <c r="E3245"/>
      <c r="F3245" s="16"/>
      <c r="G3245"/>
      <c r="H3245"/>
      <c r="I3245" s="16"/>
      <c r="J3245"/>
      <c r="K3245"/>
      <c r="L3245"/>
      <c r="M3245" s="17"/>
      <c r="N3245"/>
      <c r="O3245"/>
      <c r="P3245" s="34"/>
    </row>
    <row r="3246" spans="1:16" x14ac:dyDescent="0.25">
      <c r="A3246" s="14"/>
      <c r="B3246"/>
      <c r="C3246" s="15"/>
      <c r="D3246"/>
      <c r="E3246"/>
      <c r="F3246" s="16"/>
      <c r="G3246"/>
      <c r="H3246"/>
      <c r="I3246" s="16"/>
      <c r="J3246"/>
      <c r="K3246"/>
      <c r="L3246"/>
      <c r="M3246" s="17"/>
      <c r="N3246"/>
      <c r="O3246"/>
      <c r="P3246" s="34"/>
    </row>
    <row r="3247" spans="1:16" x14ac:dyDescent="0.25">
      <c r="A3247" s="14"/>
      <c r="B3247"/>
      <c r="C3247" s="15"/>
      <c r="D3247"/>
      <c r="E3247"/>
      <c r="F3247" s="16"/>
      <c r="G3247"/>
      <c r="H3247"/>
      <c r="I3247" s="16"/>
      <c r="J3247"/>
      <c r="K3247"/>
      <c r="L3247"/>
      <c r="M3247" s="17"/>
      <c r="N3247"/>
      <c r="O3247"/>
      <c r="P3247" s="34"/>
    </row>
    <row r="3248" spans="1:16" x14ac:dyDescent="0.25">
      <c r="A3248" s="14"/>
      <c r="B3248"/>
      <c r="C3248" s="15"/>
      <c r="D3248"/>
      <c r="E3248"/>
      <c r="F3248" s="16"/>
      <c r="G3248"/>
      <c r="H3248"/>
      <c r="I3248" s="16"/>
      <c r="J3248"/>
      <c r="K3248"/>
      <c r="L3248"/>
      <c r="M3248" s="17"/>
      <c r="N3248"/>
      <c r="O3248"/>
      <c r="P3248" s="34"/>
    </row>
    <row r="3249" spans="1:16" x14ac:dyDescent="0.25">
      <c r="A3249" s="14"/>
      <c r="B3249"/>
      <c r="C3249" s="15"/>
      <c r="D3249"/>
      <c r="E3249"/>
      <c r="F3249" s="16"/>
      <c r="G3249"/>
      <c r="H3249"/>
      <c r="I3249" s="16"/>
      <c r="J3249"/>
      <c r="K3249"/>
      <c r="L3249"/>
      <c r="M3249" s="17"/>
      <c r="N3249"/>
      <c r="O3249"/>
      <c r="P3249" s="34"/>
    </row>
    <row r="3250" spans="1:16" x14ac:dyDescent="0.25">
      <c r="A3250" s="14"/>
      <c r="B3250"/>
      <c r="C3250" s="15"/>
      <c r="D3250"/>
      <c r="E3250"/>
      <c r="F3250" s="16"/>
      <c r="G3250"/>
      <c r="H3250"/>
      <c r="I3250" s="16"/>
      <c r="J3250"/>
      <c r="K3250"/>
      <c r="L3250"/>
      <c r="M3250" s="17"/>
      <c r="N3250"/>
      <c r="O3250"/>
      <c r="P3250" s="34"/>
    </row>
    <row r="3251" spans="1:16" x14ac:dyDescent="0.25">
      <c r="A3251" s="14"/>
      <c r="B3251"/>
      <c r="C3251" s="15"/>
      <c r="D3251"/>
      <c r="E3251"/>
      <c r="F3251" s="16"/>
      <c r="G3251"/>
      <c r="H3251"/>
      <c r="I3251" s="16"/>
      <c r="J3251"/>
      <c r="K3251"/>
      <c r="L3251"/>
      <c r="M3251" s="17"/>
      <c r="N3251"/>
      <c r="O3251"/>
      <c r="P3251" s="34"/>
    </row>
    <row r="3252" spans="1:16" x14ac:dyDescent="0.25">
      <c r="A3252" s="14"/>
      <c r="B3252"/>
      <c r="C3252" s="15"/>
      <c r="D3252"/>
      <c r="E3252"/>
      <c r="F3252" s="16"/>
      <c r="G3252"/>
      <c r="H3252"/>
      <c r="I3252" s="16"/>
      <c r="J3252"/>
      <c r="K3252"/>
      <c r="L3252"/>
      <c r="M3252" s="17"/>
      <c r="N3252"/>
      <c r="O3252"/>
      <c r="P3252" s="34"/>
    </row>
    <row r="3253" spans="1:16" x14ac:dyDescent="0.25">
      <c r="A3253" s="14"/>
      <c r="B3253"/>
      <c r="C3253" s="15"/>
      <c r="D3253"/>
      <c r="E3253"/>
      <c r="F3253" s="16"/>
      <c r="G3253"/>
      <c r="H3253"/>
      <c r="I3253" s="16"/>
      <c r="J3253"/>
      <c r="K3253"/>
      <c r="L3253"/>
      <c r="M3253" s="17"/>
      <c r="N3253"/>
      <c r="O3253"/>
      <c r="P3253" s="34"/>
    </row>
    <row r="3254" spans="1:16" x14ac:dyDescent="0.25">
      <c r="A3254" s="14"/>
      <c r="B3254"/>
      <c r="C3254" s="15"/>
      <c r="D3254"/>
      <c r="E3254"/>
      <c r="F3254" s="16"/>
      <c r="G3254"/>
      <c r="H3254"/>
      <c r="I3254" s="16"/>
      <c r="J3254"/>
      <c r="K3254"/>
      <c r="L3254"/>
      <c r="M3254" s="17"/>
      <c r="N3254"/>
      <c r="O3254"/>
      <c r="P3254" s="34"/>
    </row>
    <row r="3255" spans="1:16" x14ac:dyDescent="0.25">
      <c r="A3255" s="14"/>
      <c r="B3255"/>
      <c r="C3255" s="15"/>
      <c r="D3255"/>
      <c r="E3255"/>
      <c r="F3255" s="16"/>
      <c r="G3255"/>
      <c r="H3255"/>
      <c r="I3255" s="16"/>
      <c r="J3255"/>
      <c r="K3255"/>
      <c r="L3255"/>
      <c r="M3255" s="17"/>
      <c r="N3255"/>
      <c r="O3255"/>
      <c r="P3255" s="34"/>
    </row>
    <row r="3256" spans="1:16" x14ac:dyDescent="0.25">
      <c r="A3256" s="14"/>
      <c r="B3256"/>
      <c r="C3256" s="15"/>
      <c r="D3256"/>
      <c r="E3256"/>
      <c r="F3256" s="16"/>
      <c r="G3256"/>
      <c r="H3256"/>
      <c r="I3256" s="16"/>
      <c r="J3256"/>
      <c r="K3256"/>
      <c r="L3256"/>
      <c r="M3256" s="17"/>
      <c r="N3256"/>
      <c r="O3256"/>
      <c r="P3256" s="34"/>
    </row>
    <row r="3257" spans="1:16" x14ac:dyDescent="0.25">
      <c r="A3257" s="14"/>
      <c r="B3257"/>
      <c r="C3257" s="15"/>
      <c r="D3257"/>
      <c r="E3257"/>
      <c r="F3257" s="16"/>
      <c r="G3257"/>
      <c r="H3257"/>
      <c r="I3257" s="16"/>
      <c r="J3257"/>
      <c r="K3257"/>
      <c r="L3257"/>
      <c r="M3257" s="17"/>
      <c r="N3257"/>
      <c r="O3257"/>
      <c r="P3257" s="34"/>
    </row>
    <row r="3258" spans="1:16" x14ac:dyDescent="0.25">
      <c r="A3258" s="14"/>
      <c r="B3258"/>
      <c r="C3258" s="15"/>
      <c r="D3258"/>
      <c r="E3258"/>
      <c r="F3258" s="16"/>
      <c r="G3258"/>
      <c r="H3258"/>
      <c r="I3258" s="16"/>
      <c r="J3258"/>
      <c r="K3258"/>
      <c r="L3258"/>
      <c r="M3258" s="17"/>
      <c r="N3258"/>
      <c r="O3258"/>
      <c r="P3258" s="34"/>
    </row>
    <row r="3259" spans="1:16" x14ac:dyDescent="0.25">
      <c r="A3259" s="14"/>
      <c r="B3259"/>
      <c r="C3259" s="15"/>
      <c r="D3259"/>
      <c r="E3259"/>
      <c r="F3259" s="16"/>
      <c r="G3259"/>
      <c r="H3259"/>
      <c r="I3259" s="16"/>
      <c r="J3259"/>
      <c r="K3259"/>
      <c r="L3259"/>
      <c r="M3259" s="17"/>
      <c r="N3259"/>
      <c r="O3259"/>
      <c r="P3259" s="34"/>
    </row>
    <row r="3260" spans="1:16" x14ac:dyDescent="0.25">
      <c r="A3260" s="14"/>
      <c r="B3260"/>
      <c r="C3260" s="15"/>
      <c r="D3260"/>
      <c r="E3260"/>
      <c r="F3260" s="16"/>
      <c r="G3260"/>
      <c r="H3260"/>
      <c r="I3260" s="16"/>
      <c r="J3260"/>
      <c r="K3260"/>
      <c r="L3260"/>
      <c r="M3260" s="17"/>
      <c r="N3260"/>
      <c r="O3260"/>
      <c r="P3260" s="34"/>
    </row>
    <row r="3261" spans="1:16" x14ac:dyDescent="0.25">
      <c r="A3261" s="14"/>
      <c r="B3261"/>
      <c r="C3261" s="15"/>
      <c r="D3261"/>
      <c r="E3261"/>
      <c r="F3261" s="16"/>
      <c r="G3261"/>
      <c r="H3261"/>
      <c r="I3261" s="16"/>
      <c r="J3261"/>
      <c r="K3261"/>
      <c r="L3261"/>
      <c r="M3261" s="17"/>
      <c r="N3261"/>
      <c r="O3261"/>
      <c r="P3261" s="34"/>
    </row>
    <row r="3262" spans="1:16" x14ac:dyDescent="0.25">
      <c r="A3262" s="14"/>
      <c r="B3262"/>
      <c r="C3262" s="15"/>
      <c r="D3262"/>
      <c r="E3262"/>
      <c r="F3262" s="16"/>
      <c r="G3262"/>
      <c r="H3262"/>
      <c r="I3262" s="16"/>
      <c r="J3262"/>
      <c r="K3262"/>
      <c r="L3262"/>
      <c r="M3262" s="17"/>
      <c r="N3262"/>
      <c r="O3262"/>
      <c r="P3262" s="34"/>
    </row>
    <row r="3263" spans="1:16" x14ac:dyDescent="0.25">
      <c r="A3263" s="14"/>
      <c r="B3263"/>
      <c r="C3263" s="15"/>
      <c r="D3263"/>
      <c r="E3263"/>
      <c r="F3263" s="16"/>
      <c r="G3263"/>
      <c r="H3263"/>
      <c r="I3263" s="16"/>
      <c r="J3263"/>
      <c r="K3263"/>
      <c r="L3263"/>
      <c r="M3263" s="17"/>
      <c r="N3263"/>
      <c r="O3263"/>
      <c r="P3263" s="34"/>
    </row>
    <row r="3264" spans="1:16" x14ac:dyDescent="0.25">
      <c r="A3264" s="14"/>
      <c r="B3264"/>
      <c r="C3264" s="15"/>
      <c r="D3264"/>
      <c r="E3264"/>
      <c r="F3264" s="16"/>
      <c r="G3264"/>
      <c r="H3264"/>
      <c r="I3264" s="16"/>
      <c r="J3264"/>
      <c r="K3264"/>
      <c r="L3264"/>
      <c r="M3264" s="17"/>
      <c r="N3264"/>
      <c r="O3264"/>
      <c r="P3264" s="34"/>
    </row>
    <row r="3265" spans="1:16" x14ac:dyDescent="0.25">
      <c r="A3265" s="14"/>
      <c r="B3265"/>
      <c r="C3265" s="15"/>
      <c r="D3265"/>
      <c r="E3265"/>
      <c r="F3265" s="16"/>
      <c r="G3265"/>
      <c r="H3265"/>
      <c r="I3265" s="16"/>
      <c r="J3265"/>
      <c r="K3265"/>
      <c r="L3265"/>
      <c r="M3265" s="17"/>
      <c r="N3265"/>
      <c r="O3265"/>
      <c r="P3265" s="34"/>
    </row>
    <row r="3266" spans="1:16" x14ac:dyDescent="0.25">
      <c r="A3266" s="14"/>
      <c r="B3266"/>
      <c r="C3266" s="15"/>
      <c r="D3266"/>
      <c r="E3266"/>
      <c r="F3266" s="16"/>
      <c r="G3266"/>
      <c r="H3266"/>
      <c r="I3266" s="16"/>
      <c r="J3266"/>
      <c r="K3266"/>
      <c r="L3266"/>
      <c r="M3266" s="17"/>
      <c r="N3266"/>
      <c r="O3266"/>
      <c r="P3266" s="34"/>
    </row>
    <row r="3267" spans="1:16" x14ac:dyDescent="0.25">
      <c r="A3267" s="14"/>
      <c r="B3267"/>
      <c r="C3267" s="15"/>
      <c r="D3267"/>
      <c r="E3267"/>
      <c r="F3267" s="16"/>
      <c r="G3267"/>
      <c r="H3267"/>
      <c r="I3267" s="16"/>
      <c r="J3267"/>
      <c r="K3267"/>
      <c r="L3267"/>
      <c r="M3267" s="17"/>
      <c r="N3267"/>
      <c r="O3267"/>
      <c r="P3267" s="34"/>
    </row>
    <row r="3268" spans="1:16" x14ac:dyDescent="0.25">
      <c r="A3268" s="14"/>
      <c r="B3268"/>
      <c r="C3268" s="15"/>
      <c r="D3268"/>
      <c r="E3268"/>
      <c r="F3268" s="16"/>
      <c r="G3268"/>
      <c r="H3268"/>
      <c r="I3268" s="16"/>
      <c r="J3268"/>
      <c r="K3268"/>
      <c r="L3268"/>
      <c r="M3268" s="17"/>
      <c r="N3268"/>
      <c r="O3268"/>
      <c r="P3268" s="34"/>
    </row>
    <row r="3269" spans="1:16" x14ac:dyDescent="0.25">
      <c r="A3269" s="14"/>
      <c r="B3269"/>
      <c r="C3269" s="15"/>
      <c r="D3269"/>
      <c r="E3269"/>
      <c r="F3269" s="16"/>
      <c r="G3269"/>
      <c r="H3269"/>
      <c r="I3269" s="16"/>
      <c r="J3269"/>
      <c r="K3269"/>
      <c r="L3269"/>
      <c r="M3269" s="17"/>
      <c r="N3269"/>
      <c r="O3269"/>
      <c r="P3269" s="34"/>
    </row>
    <row r="3270" spans="1:16" x14ac:dyDescent="0.25">
      <c r="A3270" s="14"/>
      <c r="B3270"/>
      <c r="C3270" s="15"/>
      <c r="D3270"/>
      <c r="E3270"/>
      <c r="F3270" s="16"/>
      <c r="G3270"/>
      <c r="H3270"/>
      <c r="I3270" s="16"/>
      <c r="J3270"/>
      <c r="K3270"/>
      <c r="L3270"/>
      <c r="M3270" s="17"/>
      <c r="N3270"/>
      <c r="O3270"/>
      <c r="P3270" s="34"/>
    </row>
    <row r="3271" spans="1:16" x14ac:dyDescent="0.25">
      <c r="A3271" s="14"/>
      <c r="B3271"/>
      <c r="C3271" s="15"/>
      <c r="D3271"/>
      <c r="E3271"/>
      <c r="F3271" s="16"/>
      <c r="G3271"/>
      <c r="H3271"/>
      <c r="I3271" s="16"/>
      <c r="J3271"/>
      <c r="K3271"/>
      <c r="L3271"/>
      <c r="M3271" s="17"/>
      <c r="N3271"/>
      <c r="O3271"/>
      <c r="P3271" s="34"/>
    </row>
    <row r="3272" spans="1:16" x14ac:dyDescent="0.25">
      <c r="A3272" s="14"/>
      <c r="B3272"/>
      <c r="C3272" s="15"/>
      <c r="D3272"/>
      <c r="E3272"/>
      <c r="F3272" s="16"/>
      <c r="G3272"/>
      <c r="H3272"/>
      <c r="I3272" s="16"/>
      <c r="J3272"/>
      <c r="K3272"/>
      <c r="L3272"/>
      <c r="M3272" s="17"/>
      <c r="N3272"/>
      <c r="O3272"/>
      <c r="P3272" s="34"/>
    </row>
    <row r="3273" spans="1:16" x14ac:dyDescent="0.25">
      <c r="A3273" s="14"/>
      <c r="B3273"/>
      <c r="C3273" s="15"/>
      <c r="D3273"/>
      <c r="E3273"/>
      <c r="F3273" s="16"/>
      <c r="G3273"/>
      <c r="H3273"/>
      <c r="I3273" s="16"/>
      <c r="J3273"/>
      <c r="K3273"/>
      <c r="L3273"/>
      <c r="M3273" s="17"/>
      <c r="N3273"/>
      <c r="O3273"/>
      <c r="P3273" s="34"/>
    </row>
    <row r="3274" spans="1:16" x14ac:dyDescent="0.25">
      <c r="A3274" s="14"/>
      <c r="B3274"/>
      <c r="C3274" s="15"/>
      <c r="D3274"/>
      <c r="E3274"/>
      <c r="F3274" s="16"/>
      <c r="G3274"/>
      <c r="H3274"/>
      <c r="I3274" s="16"/>
      <c r="J3274"/>
      <c r="K3274"/>
      <c r="L3274"/>
      <c r="M3274" s="17"/>
      <c r="N3274"/>
      <c r="O3274"/>
      <c r="P3274" s="34"/>
    </row>
    <row r="3275" spans="1:16" x14ac:dyDescent="0.25">
      <c r="A3275" s="14"/>
      <c r="B3275"/>
      <c r="C3275" s="15"/>
      <c r="D3275"/>
      <c r="E3275"/>
      <c r="F3275" s="16"/>
      <c r="G3275"/>
      <c r="H3275"/>
      <c r="I3275" s="16"/>
      <c r="J3275"/>
      <c r="K3275"/>
      <c r="L3275"/>
      <c r="M3275" s="17"/>
      <c r="N3275"/>
      <c r="O3275"/>
      <c r="P3275" s="34"/>
    </row>
    <row r="3276" spans="1:16" x14ac:dyDescent="0.25">
      <c r="A3276" s="14"/>
      <c r="B3276"/>
      <c r="C3276" s="15"/>
      <c r="D3276"/>
      <c r="E3276"/>
      <c r="F3276" s="16"/>
      <c r="G3276"/>
      <c r="H3276"/>
      <c r="I3276" s="16"/>
      <c r="J3276"/>
      <c r="K3276"/>
      <c r="L3276"/>
      <c r="M3276" s="17"/>
      <c r="N3276"/>
      <c r="O3276"/>
      <c r="P3276" s="34"/>
    </row>
    <row r="3277" spans="1:16" x14ac:dyDescent="0.25">
      <c r="A3277" s="14"/>
      <c r="B3277"/>
      <c r="C3277" s="15"/>
      <c r="D3277"/>
      <c r="E3277"/>
      <c r="F3277" s="16"/>
      <c r="G3277"/>
      <c r="H3277"/>
      <c r="I3277" s="16"/>
      <c r="J3277"/>
      <c r="K3277"/>
      <c r="L3277"/>
      <c r="M3277" s="17"/>
      <c r="N3277"/>
      <c r="O3277"/>
      <c r="P3277" s="34"/>
    </row>
    <row r="3278" spans="1:16" x14ac:dyDescent="0.25">
      <c r="A3278" s="14"/>
      <c r="B3278"/>
      <c r="C3278" s="15"/>
      <c r="D3278"/>
      <c r="E3278"/>
      <c r="F3278" s="16"/>
      <c r="G3278"/>
      <c r="H3278"/>
      <c r="I3278" s="16"/>
      <c r="J3278"/>
      <c r="K3278"/>
      <c r="L3278"/>
      <c r="M3278" s="17"/>
      <c r="N3278"/>
      <c r="O3278"/>
      <c r="P3278" s="34"/>
    </row>
    <row r="3279" spans="1:16" x14ac:dyDescent="0.25">
      <c r="A3279" s="14"/>
      <c r="B3279"/>
      <c r="C3279" s="15"/>
      <c r="D3279"/>
      <c r="E3279"/>
      <c r="F3279" s="16"/>
      <c r="G3279"/>
      <c r="H3279"/>
      <c r="I3279" s="16"/>
      <c r="J3279"/>
      <c r="K3279"/>
      <c r="L3279"/>
      <c r="M3279" s="17"/>
      <c r="N3279"/>
      <c r="O3279"/>
      <c r="P3279" s="34"/>
    </row>
    <row r="3280" spans="1:16" x14ac:dyDescent="0.25">
      <c r="A3280" s="14"/>
      <c r="B3280"/>
      <c r="C3280" s="15"/>
      <c r="D3280"/>
      <c r="E3280"/>
      <c r="F3280" s="16"/>
      <c r="G3280"/>
      <c r="H3280"/>
      <c r="I3280" s="16"/>
      <c r="J3280"/>
      <c r="K3280"/>
      <c r="L3280"/>
      <c r="M3280" s="17"/>
      <c r="N3280"/>
      <c r="O3280"/>
      <c r="P3280" s="34"/>
    </row>
    <row r="3281" spans="1:16" x14ac:dyDescent="0.25">
      <c r="A3281" s="14"/>
      <c r="B3281"/>
      <c r="C3281" s="15"/>
      <c r="D3281"/>
      <c r="E3281"/>
      <c r="F3281" s="16"/>
      <c r="G3281"/>
      <c r="H3281"/>
      <c r="I3281" s="16"/>
      <c r="J3281"/>
      <c r="K3281"/>
      <c r="L3281"/>
      <c r="M3281" s="17"/>
      <c r="N3281"/>
      <c r="O3281"/>
      <c r="P3281" s="34"/>
    </row>
    <row r="3282" spans="1:16" x14ac:dyDescent="0.25">
      <c r="A3282" s="14"/>
      <c r="B3282"/>
      <c r="C3282" s="15"/>
      <c r="D3282"/>
      <c r="E3282"/>
      <c r="F3282" s="16"/>
      <c r="G3282"/>
      <c r="H3282"/>
      <c r="I3282" s="16"/>
      <c r="J3282"/>
      <c r="K3282"/>
      <c r="L3282"/>
      <c r="M3282" s="17"/>
      <c r="N3282"/>
      <c r="O3282"/>
      <c r="P3282" s="34"/>
    </row>
    <row r="3283" spans="1:16" x14ac:dyDescent="0.25">
      <c r="A3283" s="14"/>
      <c r="B3283"/>
      <c r="C3283" s="15"/>
      <c r="D3283"/>
      <c r="E3283"/>
      <c r="F3283" s="16"/>
      <c r="G3283"/>
      <c r="H3283"/>
      <c r="I3283" s="16"/>
      <c r="J3283"/>
      <c r="K3283"/>
      <c r="L3283"/>
      <c r="M3283" s="17"/>
      <c r="N3283"/>
      <c r="O3283"/>
      <c r="P3283" s="34"/>
    </row>
    <row r="3284" spans="1:16" x14ac:dyDescent="0.25">
      <c r="A3284" s="14"/>
      <c r="B3284"/>
      <c r="C3284" s="15"/>
      <c r="D3284"/>
      <c r="E3284"/>
      <c r="F3284" s="16"/>
      <c r="G3284"/>
      <c r="H3284"/>
      <c r="I3284" s="16"/>
      <c r="J3284"/>
      <c r="K3284"/>
      <c r="L3284"/>
      <c r="M3284" s="17"/>
      <c r="N3284"/>
      <c r="O3284"/>
      <c r="P3284" s="34"/>
    </row>
    <row r="3285" spans="1:16" x14ac:dyDescent="0.25">
      <c r="A3285" s="14"/>
      <c r="B3285"/>
      <c r="C3285" s="15"/>
      <c r="D3285"/>
      <c r="E3285"/>
      <c r="F3285" s="16"/>
      <c r="G3285"/>
      <c r="H3285"/>
      <c r="I3285" s="16"/>
      <c r="J3285"/>
      <c r="K3285"/>
      <c r="L3285"/>
      <c r="M3285" s="17"/>
      <c r="N3285"/>
      <c r="O3285"/>
      <c r="P3285" s="34"/>
    </row>
    <row r="3286" spans="1:16" x14ac:dyDescent="0.25">
      <c r="A3286" s="14"/>
      <c r="B3286"/>
      <c r="C3286" s="15"/>
      <c r="D3286"/>
      <c r="E3286"/>
      <c r="F3286" s="16"/>
      <c r="G3286"/>
      <c r="H3286"/>
      <c r="I3286" s="16"/>
      <c r="J3286"/>
      <c r="K3286"/>
      <c r="L3286"/>
      <c r="M3286" s="17"/>
      <c r="N3286"/>
      <c r="O3286"/>
      <c r="P3286" s="34"/>
    </row>
    <row r="3287" spans="1:16" x14ac:dyDescent="0.25">
      <c r="A3287" s="14"/>
      <c r="B3287"/>
      <c r="C3287" s="15"/>
      <c r="D3287"/>
      <c r="E3287"/>
      <c r="F3287" s="16"/>
      <c r="G3287"/>
      <c r="H3287"/>
      <c r="I3287" s="16"/>
      <c r="J3287"/>
      <c r="K3287"/>
      <c r="L3287"/>
      <c r="M3287" s="17"/>
      <c r="N3287"/>
      <c r="O3287"/>
      <c r="P3287" s="34"/>
    </row>
    <row r="3288" spans="1:16" x14ac:dyDescent="0.25">
      <c r="A3288" s="14"/>
      <c r="B3288"/>
      <c r="C3288" s="15"/>
      <c r="D3288"/>
      <c r="E3288"/>
      <c r="F3288" s="16"/>
      <c r="G3288"/>
      <c r="H3288"/>
      <c r="I3288" s="16"/>
      <c r="J3288"/>
      <c r="K3288"/>
      <c r="L3288"/>
      <c r="M3288" s="17"/>
      <c r="N3288"/>
      <c r="O3288"/>
      <c r="P3288" s="34"/>
    </row>
    <row r="3289" spans="1:16" x14ac:dyDescent="0.25">
      <c r="A3289" s="14"/>
      <c r="B3289"/>
      <c r="C3289" s="15"/>
      <c r="D3289"/>
      <c r="E3289"/>
      <c r="F3289" s="16"/>
      <c r="G3289"/>
      <c r="H3289"/>
      <c r="I3289" s="16"/>
      <c r="J3289"/>
      <c r="K3289"/>
      <c r="L3289"/>
      <c r="M3289" s="17"/>
      <c r="N3289"/>
      <c r="O3289"/>
      <c r="P3289" s="34"/>
    </row>
    <row r="3290" spans="1:16" x14ac:dyDescent="0.25">
      <c r="A3290" s="14"/>
      <c r="B3290"/>
      <c r="C3290" s="15"/>
      <c r="D3290"/>
      <c r="E3290"/>
      <c r="F3290" s="16"/>
      <c r="G3290"/>
      <c r="H3290"/>
      <c r="I3290" s="16"/>
      <c r="J3290"/>
      <c r="K3290"/>
      <c r="L3290"/>
      <c r="M3290" s="17"/>
      <c r="N3290"/>
      <c r="O3290"/>
      <c r="P3290" s="34"/>
    </row>
    <row r="3291" spans="1:16" x14ac:dyDescent="0.25">
      <c r="A3291" s="14"/>
      <c r="B3291"/>
      <c r="C3291" s="15"/>
      <c r="D3291"/>
      <c r="E3291"/>
      <c r="F3291" s="16"/>
      <c r="G3291"/>
      <c r="H3291"/>
      <c r="I3291" s="16"/>
      <c r="J3291"/>
      <c r="K3291"/>
      <c r="L3291"/>
      <c r="M3291" s="17"/>
      <c r="N3291"/>
      <c r="O3291"/>
      <c r="P3291" s="34"/>
    </row>
    <row r="3292" spans="1:16" x14ac:dyDescent="0.25">
      <c r="A3292" s="14"/>
      <c r="B3292"/>
      <c r="C3292" s="15"/>
      <c r="D3292"/>
      <c r="E3292"/>
      <c r="F3292" s="16"/>
      <c r="G3292"/>
      <c r="H3292"/>
      <c r="I3292" s="16"/>
      <c r="J3292"/>
      <c r="K3292"/>
      <c r="L3292"/>
      <c r="M3292" s="17"/>
      <c r="N3292"/>
      <c r="O3292"/>
      <c r="P3292" s="34"/>
    </row>
    <row r="3293" spans="1:16" x14ac:dyDescent="0.25">
      <c r="A3293" s="14"/>
      <c r="B3293"/>
      <c r="C3293" s="15"/>
      <c r="D3293"/>
      <c r="E3293"/>
      <c r="F3293" s="16"/>
      <c r="G3293"/>
      <c r="H3293"/>
      <c r="I3293" s="16"/>
      <c r="J3293"/>
      <c r="K3293"/>
      <c r="L3293"/>
      <c r="M3293" s="17"/>
      <c r="N3293"/>
      <c r="O3293"/>
      <c r="P3293" s="34"/>
    </row>
    <row r="3294" spans="1:16" x14ac:dyDescent="0.25">
      <c r="A3294" s="14"/>
      <c r="B3294"/>
      <c r="C3294" s="15"/>
      <c r="D3294"/>
      <c r="E3294"/>
      <c r="F3294" s="16"/>
      <c r="G3294"/>
      <c r="H3294"/>
      <c r="I3294" s="16"/>
      <c r="J3294"/>
      <c r="K3294"/>
      <c r="L3294"/>
      <c r="M3294" s="17"/>
      <c r="N3294"/>
      <c r="O3294"/>
      <c r="P3294" s="34"/>
    </row>
    <row r="3295" spans="1:16" x14ac:dyDescent="0.25">
      <c r="A3295" s="14"/>
      <c r="B3295"/>
      <c r="C3295" s="15"/>
      <c r="D3295"/>
      <c r="E3295"/>
      <c r="F3295" s="16"/>
      <c r="G3295"/>
      <c r="H3295"/>
      <c r="I3295" s="16"/>
      <c r="J3295"/>
      <c r="K3295"/>
      <c r="L3295"/>
      <c r="M3295" s="17"/>
      <c r="N3295"/>
      <c r="O3295"/>
      <c r="P3295" s="34"/>
    </row>
    <row r="3296" spans="1:16" x14ac:dyDescent="0.25">
      <c r="A3296" s="14"/>
      <c r="B3296"/>
      <c r="C3296" s="15"/>
      <c r="D3296"/>
      <c r="E3296"/>
      <c r="F3296" s="16"/>
      <c r="G3296"/>
      <c r="H3296"/>
      <c r="I3296" s="16"/>
      <c r="J3296"/>
      <c r="K3296"/>
      <c r="L3296"/>
      <c r="M3296" s="17"/>
      <c r="N3296"/>
      <c r="O3296"/>
      <c r="P3296" s="34"/>
    </row>
    <row r="3297" spans="1:16" x14ac:dyDescent="0.25">
      <c r="A3297" s="14"/>
      <c r="B3297"/>
      <c r="C3297" s="15"/>
      <c r="D3297"/>
      <c r="E3297"/>
      <c r="F3297" s="16"/>
      <c r="G3297"/>
      <c r="H3297"/>
      <c r="I3297" s="16"/>
      <c r="J3297"/>
      <c r="K3297"/>
      <c r="L3297"/>
      <c r="M3297" s="17"/>
      <c r="N3297"/>
      <c r="O3297"/>
      <c r="P3297" s="34"/>
    </row>
    <row r="3298" spans="1:16" x14ac:dyDescent="0.25">
      <c r="A3298" s="14"/>
      <c r="B3298"/>
      <c r="C3298" s="15"/>
      <c r="D3298"/>
      <c r="E3298"/>
      <c r="F3298" s="16"/>
      <c r="G3298"/>
      <c r="H3298"/>
      <c r="I3298" s="16"/>
      <c r="J3298"/>
      <c r="K3298"/>
      <c r="L3298"/>
      <c r="M3298" s="17"/>
      <c r="N3298"/>
      <c r="O3298"/>
      <c r="P3298" s="34"/>
    </row>
    <row r="3299" spans="1:16" x14ac:dyDescent="0.25">
      <c r="A3299" s="14"/>
      <c r="B3299"/>
      <c r="C3299" s="15"/>
      <c r="D3299"/>
      <c r="E3299"/>
      <c r="F3299" s="16"/>
      <c r="G3299"/>
      <c r="H3299"/>
      <c r="I3299" s="16"/>
      <c r="J3299"/>
      <c r="K3299"/>
      <c r="L3299"/>
      <c r="M3299" s="17"/>
      <c r="N3299"/>
      <c r="O3299"/>
      <c r="P3299" s="34"/>
    </row>
    <row r="3300" spans="1:16" x14ac:dyDescent="0.25">
      <c r="A3300" s="14"/>
      <c r="B3300"/>
      <c r="C3300" s="15"/>
      <c r="D3300"/>
      <c r="E3300"/>
      <c r="F3300" s="16"/>
      <c r="G3300"/>
      <c r="H3300"/>
      <c r="I3300" s="16"/>
      <c r="J3300"/>
      <c r="K3300"/>
      <c r="L3300"/>
      <c r="M3300" s="17"/>
      <c r="N3300"/>
      <c r="O3300"/>
      <c r="P3300" s="34"/>
    </row>
    <row r="3301" spans="1:16" x14ac:dyDescent="0.25">
      <c r="A3301" s="14"/>
      <c r="B3301"/>
      <c r="C3301" s="15"/>
      <c r="D3301"/>
      <c r="E3301"/>
      <c r="F3301" s="16"/>
      <c r="G3301"/>
      <c r="H3301"/>
      <c r="I3301" s="16"/>
      <c r="J3301"/>
      <c r="K3301"/>
      <c r="L3301"/>
      <c r="M3301" s="17"/>
      <c r="N3301"/>
      <c r="O3301"/>
      <c r="P3301" s="34"/>
    </row>
    <row r="3302" spans="1:16" x14ac:dyDescent="0.25">
      <c r="A3302" s="14"/>
      <c r="B3302"/>
      <c r="C3302" s="15"/>
      <c r="D3302"/>
      <c r="E3302"/>
      <c r="F3302" s="16"/>
      <c r="G3302"/>
      <c r="H3302"/>
      <c r="I3302" s="16"/>
      <c r="J3302"/>
      <c r="K3302"/>
      <c r="L3302"/>
      <c r="M3302" s="17"/>
      <c r="N3302"/>
      <c r="O3302"/>
      <c r="P3302" s="34"/>
    </row>
    <row r="3303" spans="1:16" x14ac:dyDescent="0.25">
      <c r="A3303" s="14"/>
      <c r="B3303"/>
      <c r="C3303" s="15"/>
      <c r="D3303"/>
      <c r="E3303"/>
      <c r="F3303" s="16"/>
      <c r="G3303"/>
      <c r="H3303"/>
      <c r="I3303" s="16"/>
      <c r="J3303"/>
      <c r="K3303"/>
      <c r="L3303"/>
      <c r="M3303" s="17"/>
      <c r="N3303"/>
      <c r="O3303"/>
      <c r="P3303" s="34"/>
    </row>
    <row r="3304" spans="1:16" x14ac:dyDescent="0.25">
      <c r="A3304" s="14"/>
      <c r="B3304"/>
      <c r="C3304" s="15"/>
      <c r="D3304"/>
      <c r="E3304"/>
      <c r="F3304" s="16"/>
      <c r="G3304"/>
      <c r="H3304"/>
      <c r="I3304" s="16"/>
      <c r="J3304"/>
      <c r="K3304"/>
      <c r="L3304"/>
      <c r="M3304" s="17"/>
      <c r="N3304"/>
      <c r="O3304"/>
      <c r="P3304" s="34"/>
    </row>
    <row r="3305" spans="1:16" x14ac:dyDescent="0.25">
      <c r="A3305" s="14"/>
      <c r="B3305"/>
      <c r="C3305" s="15"/>
      <c r="D3305"/>
      <c r="E3305"/>
      <c r="F3305" s="16"/>
      <c r="G3305"/>
      <c r="H3305"/>
      <c r="I3305" s="16"/>
      <c r="J3305"/>
      <c r="K3305"/>
      <c r="L3305"/>
      <c r="M3305" s="17"/>
      <c r="N3305"/>
      <c r="O3305"/>
      <c r="P3305" s="34"/>
    </row>
    <row r="3306" spans="1:16" x14ac:dyDescent="0.25">
      <c r="A3306" s="14"/>
      <c r="B3306"/>
      <c r="C3306" s="15"/>
      <c r="D3306"/>
      <c r="E3306"/>
      <c r="F3306" s="16"/>
      <c r="G3306"/>
      <c r="H3306"/>
      <c r="I3306" s="16"/>
      <c r="J3306"/>
      <c r="K3306"/>
      <c r="L3306"/>
      <c r="M3306" s="17"/>
      <c r="N3306"/>
      <c r="O3306"/>
      <c r="P3306" s="34"/>
    </row>
    <row r="3307" spans="1:16" x14ac:dyDescent="0.25">
      <c r="A3307" s="14"/>
      <c r="B3307"/>
      <c r="C3307" s="15"/>
      <c r="D3307"/>
      <c r="E3307"/>
      <c r="F3307" s="16"/>
      <c r="G3307"/>
      <c r="H3307"/>
      <c r="I3307" s="16"/>
      <c r="J3307"/>
      <c r="K3307"/>
      <c r="L3307"/>
      <c r="M3307" s="17"/>
      <c r="N3307"/>
      <c r="O3307"/>
      <c r="P3307" s="34"/>
    </row>
    <row r="3308" spans="1:16" x14ac:dyDescent="0.25">
      <c r="A3308" s="14"/>
      <c r="B3308"/>
      <c r="C3308" s="15"/>
      <c r="D3308"/>
      <c r="E3308"/>
      <c r="F3308" s="16"/>
      <c r="G3308"/>
      <c r="H3308"/>
      <c r="I3308" s="16"/>
      <c r="J3308"/>
      <c r="K3308"/>
      <c r="L3308"/>
      <c r="M3308" s="17"/>
      <c r="N3308"/>
      <c r="O3308"/>
      <c r="P3308" s="34"/>
    </row>
    <row r="3309" spans="1:16" x14ac:dyDescent="0.25">
      <c r="A3309" s="14"/>
      <c r="B3309"/>
      <c r="C3309" s="15"/>
      <c r="D3309"/>
      <c r="E3309"/>
      <c r="F3309" s="16"/>
      <c r="G3309"/>
      <c r="H3309"/>
      <c r="I3309" s="16"/>
      <c r="J3309"/>
      <c r="K3309"/>
      <c r="L3309"/>
      <c r="M3309" s="17"/>
      <c r="N3309"/>
      <c r="O3309"/>
      <c r="P3309" s="34"/>
    </row>
    <row r="3310" spans="1:16" x14ac:dyDescent="0.25">
      <c r="A3310" s="14"/>
      <c r="B3310"/>
      <c r="C3310" s="15"/>
      <c r="D3310"/>
      <c r="E3310"/>
      <c r="F3310" s="16"/>
      <c r="G3310"/>
      <c r="H3310"/>
      <c r="I3310" s="16"/>
      <c r="J3310"/>
      <c r="K3310"/>
      <c r="L3310"/>
      <c r="M3310" s="17"/>
      <c r="N3310"/>
      <c r="O3310"/>
      <c r="P3310" s="34"/>
    </row>
    <row r="3311" spans="1:16" x14ac:dyDescent="0.25">
      <c r="A3311" s="14"/>
      <c r="B3311"/>
      <c r="C3311" s="15"/>
      <c r="D3311"/>
      <c r="E3311"/>
      <c r="F3311" s="16"/>
      <c r="G3311"/>
      <c r="H3311"/>
      <c r="I3311" s="16"/>
      <c r="J3311"/>
      <c r="K3311"/>
      <c r="L3311"/>
      <c r="M3311" s="17"/>
      <c r="N3311"/>
      <c r="O3311"/>
      <c r="P3311" s="34"/>
    </row>
    <row r="3312" spans="1:16" x14ac:dyDescent="0.25">
      <c r="A3312" s="14"/>
      <c r="B3312"/>
      <c r="C3312" s="15"/>
      <c r="D3312"/>
      <c r="E3312"/>
      <c r="F3312" s="16"/>
      <c r="G3312"/>
      <c r="H3312"/>
      <c r="I3312" s="16"/>
      <c r="J3312"/>
      <c r="K3312"/>
      <c r="L3312"/>
      <c r="M3312" s="17"/>
      <c r="N3312"/>
      <c r="O3312"/>
      <c r="P3312" s="34"/>
    </row>
    <row r="3313" spans="1:16" x14ac:dyDescent="0.25">
      <c r="A3313" s="14"/>
      <c r="B3313"/>
      <c r="C3313" s="15"/>
      <c r="D3313"/>
      <c r="E3313"/>
      <c r="F3313" s="16"/>
      <c r="G3313"/>
      <c r="H3313"/>
      <c r="I3313" s="16"/>
      <c r="J3313"/>
      <c r="K3313"/>
      <c r="L3313"/>
      <c r="M3313" s="17"/>
      <c r="N3313"/>
      <c r="O3313"/>
      <c r="P3313" s="34"/>
    </row>
    <row r="3314" spans="1:16" x14ac:dyDescent="0.25">
      <c r="A3314" s="14"/>
      <c r="B3314"/>
      <c r="C3314" s="15"/>
      <c r="D3314"/>
      <c r="E3314"/>
      <c r="F3314" s="16"/>
      <c r="G3314"/>
      <c r="H3314"/>
      <c r="I3314" s="16"/>
      <c r="J3314"/>
      <c r="K3314"/>
      <c r="L3314"/>
      <c r="M3314" s="17"/>
      <c r="N3314"/>
      <c r="O3314"/>
      <c r="P3314" s="34"/>
    </row>
    <row r="3315" spans="1:16" x14ac:dyDescent="0.25">
      <c r="A3315" s="14"/>
      <c r="B3315"/>
      <c r="C3315" s="15"/>
      <c r="D3315"/>
      <c r="E3315"/>
      <c r="F3315" s="16"/>
      <c r="G3315"/>
      <c r="H3315"/>
      <c r="I3315" s="16"/>
      <c r="J3315"/>
      <c r="K3315"/>
      <c r="L3315"/>
      <c r="M3315" s="17"/>
      <c r="N3315"/>
      <c r="O3315"/>
      <c r="P3315" s="34"/>
    </row>
    <row r="3316" spans="1:16" x14ac:dyDescent="0.25">
      <c r="A3316" s="14"/>
      <c r="B3316"/>
      <c r="C3316" s="15"/>
      <c r="D3316"/>
      <c r="E3316"/>
      <c r="F3316" s="16"/>
      <c r="G3316"/>
      <c r="H3316"/>
      <c r="I3316" s="16"/>
      <c r="J3316"/>
      <c r="K3316"/>
      <c r="L3316"/>
      <c r="M3316" s="17"/>
      <c r="N3316"/>
      <c r="O3316"/>
      <c r="P3316" s="34"/>
    </row>
    <row r="3317" spans="1:16" x14ac:dyDescent="0.25">
      <c r="A3317" s="14"/>
      <c r="B3317"/>
      <c r="C3317" s="15"/>
      <c r="D3317"/>
      <c r="E3317"/>
      <c r="F3317" s="16"/>
      <c r="G3317"/>
      <c r="H3317"/>
      <c r="I3317" s="16"/>
      <c r="J3317"/>
      <c r="K3317"/>
      <c r="L3317"/>
      <c r="M3317" s="17"/>
      <c r="N3317"/>
      <c r="O3317"/>
      <c r="P3317" s="34"/>
    </row>
    <row r="3318" spans="1:16" x14ac:dyDescent="0.25">
      <c r="A3318" s="14"/>
      <c r="B3318"/>
      <c r="C3318" s="15"/>
      <c r="D3318"/>
      <c r="E3318"/>
      <c r="F3318" s="16"/>
      <c r="G3318"/>
      <c r="H3318"/>
      <c r="I3318" s="16"/>
      <c r="J3318"/>
      <c r="K3318"/>
      <c r="L3318"/>
      <c r="M3318" s="17"/>
      <c r="N3318"/>
      <c r="O3318"/>
      <c r="P3318" s="34"/>
    </row>
    <row r="3319" spans="1:16" x14ac:dyDescent="0.25">
      <c r="A3319" s="14"/>
      <c r="B3319"/>
      <c r="C3319" s="15"/>
      <c r="D3319"/>
      <c r="E3319"/>
      <c r="F3319" s="16"/>
      <c r="G3319"/>
      <c r="H3319"/>
      <c r="I3319" s="16"/>
      <c r="J3319"/>
      <c r="K3319"/>
      <c r="L3319"/>
      <c r="M3319" s="17"/>
      <c r="N3319"/>
      <c r="O3319"/>
      <c r="P3319" s="34"/>
    </row>
    <row r="3320" spans="1:16" x14ac:dyDescent="0.25">
      <c r="A3320" s="14"/>
      <c r="B3320"/>
      <c r="C3320" s="15"/>
      <c r="D3320"/>
      <c r="E3320"/>
      <c r="F3320" s="16"/>
      <c r="G3320"/>
      <c r="H3320"/>
      <c r="I3320" s="16"/>
      <c r="J3320"/>
      <c r="K3320"/>
      <c r="L3320"/>
      <c r="M3320" s="17"/>
      <c r="N3320"/>
      <c r="O3320"/>
      <c r="P3320" s="34"/>
    </row>
    <row r="3321" spans="1:16" x14ac:dyDescent="0.25">
      <c r="A3321" s="14"/>
      <c r="B3321"/>
      <c r="C3321" s="15"/>
      <c r="D3321"/>
      <c r="E3321"/>
      <c r="F3321" s="16"/>
      <c r="G3321"/>
      <c r="H3321"/>
      <c r="I3321" s="16"/>
      <c r="J3321"/>
      <c r="K3321"/>
      <c r="L3321"/>
      <c r="M3321" s="17"/>
      <c r="N3321"/>
      <c r="O3321"/>
      <c r="P3321" s="34"/>
    </row>
    <row r="3322" spans="1:16" x14ac:dyDescent="0.25">
      <c r="A3322" s="14"/>
      <c r="B3322"/>
      <c r="C3322" s="15"/>
      <c r="D3322"/>
      <c r="E3322"/>
      <c r="F3322" s="16"/>
      <c r="G3322"/>
      <c r="H3322"/>
      <c r="I3322" s="16"/>
      <c r="J3322"/>
      <c r="K3322"/>
      <c r="L3322"/>
      <c r="M3322" s="17"/>
      <c r="N3322"/>
      <c r="O3322"/>
      <c r="P3322" s="34"/>
    </row>
    <row r="3323" spans="1:16" x14ac:dyDescent="0.25">
      <c r="A3323" s="14"/>
      <c r="B3323"/>
      <c r="C3323" s="15"/>
      <c r="D3323"/>
      <c r="E3323"/>
      <c r="F3323" s="16"/>
      <c r="G3323"/>
      <c r="H3323"/>
      <c r="I3323" s="16"/>
      <c r="J3323"/>
      <c r="K3323"/>
      <c r="L3323"/>
      <c r="M3323" s="17"/>
      <c r="N3323"/>
      <c r="O3323"/>
      <c r="P3323" s="34"/>
    </row>
    <row r="3324" spans="1:16" x14ac:dyDescent="0.25">
      <c r="A3324" s="14"/>
      <c r="B3324"/>
      <c r="C3324" s="15"/>
      <c r="D3324"/>
      <c r="E3324"/>
      <c r="F3324" s="16"/>
      <c r="G3324"/>
      <c r="H3324"/>
      <c r="I3324" s="16"/>
      <c r="J3324"/>
      <c r="K3324"/>
      <c r="L3324"/>
      <c r="M3324" s="17"/>
      <c r="N3324"/>
      <c r="O3324"/>
      <c r="P3324" s="34"/>
    </row>
    <row r="3325" spans="1:16" x14ac:dyDescent="0.25">
      <c r="A3325" s="14"/>
      <c r="B3325"/>
      <c r="C3325" s="15"/>
      <c r="D3325"/>
      <c r="E3325"/>
      <c r="F3325" s="16"/>
      <c r="G3325"/>
      <c r="H3325"/>
      <c r="I3325" s="16"/>
      <c r="J3325"/>
      <c r="K3325"/>
      <c r="L3325"/>
      <c r="M3325" s="17"/>
      <c r="N3325"/>
      <c r="O3325"/>
      <c r="P3325" s="34"/>
    </row>
    <row r="3326" spans="1:16" x14ac:dyDescent="0.25">
      <c r="A3326" s="14"/>
      <c r="B3326"/>
      <c r="C3326" s="15"/>
      <c r="D3326"/>
      <c r="E3326"/>
      <c r="F3326" s="16"/>
      <c r="G3326"/>
      <c r="H3326"/>
      <c r="I3326" s="16"/>
      <c r="J3326"/>
      <c r="K3326"/>
      <c r="L3326"/>
      <c r="M3326" s="17"/>
      <c r="N3326"/>
      <c r="O3326"/>
      <c r="P3326" s="34"/>
    </row>
    <row r="3327" spans="1:16" x14ac:dyDescent="0.25">
      <c r="A3327" s="14"/>
      <c r="B3327"/>
      <c r="C3327" s="15"/>
      <c r="D3327"/>
      <c r="E3327"/>
      <c r="F3327" s="16"/>
      <c r="G3327"/>
      <c r="H3327"/>
      <c r="I3327" s="16"/>
      <c r="J3327"/>
      <c r="K3327"/>
      <c r="L3327"/>
      <c r="M3327" s="17"/>
      <c r="N3327"/>
      <c r="O3327"/>
      <c r="P3327" s="34"/>
    </row>
    <row r="3328" spans="1:16" x14ac:dyDescent="0.25">
      <c r="A3328" s="14"/>
      <c r="B3328"/>
      <c r="C3328" s="15"/>
      <c r="D3328"/>
      <c r="E3328"/>
      <c r="F3328" s="16"/>
      <c r="G3328"/>
      <c r="H3328"/>
      <c r="I3328" s="16"/>
      <c r="J3328"/>
      <c r="K3328"/>
      <c r="L3328"/>
      <c r="M3328" s="17"/>
      <c r="N3328"/>
      <c r="O3328"/>
      <c r="P3328" s="34"/>
    </row>
    <row r="3329" spans="1:16" x14ac:dyDescent="0.25">
      <c r="A3329" s="14"/>
      <c r="B3329"/>
      <c r="C3329" s="15"/>
      <c r="D3329"/>
      <c r="E3329"/>
      <c r="F3329" s="16"/>
      <c r="G3329"/>
      <c r="H3329"/>
      <c r="I3329" s="16"/>
      <c r="J3329"/>
      <c r="K3329"/>
      <c r="L3329"/>
      <c r="M3329" s="17"/>
      <c r="N3329"/>
      <c r="O3329"/>
      <c r="P3329" s="34"/>
    </row>
    <row r="3330" spans="1:16" x14ac:dyDescent="0.25">
      <c r="A3330" s="14"/>
      <c r="B3330"/>
      <c r="C3330" s="15"/>
      <c r="D3330"/>
      <c r="E3330"/>
      <c r="F3330" s="16"/>
      <c r="G3330"/>
      <c r="H3330"/>
      <c r="I3330" s="16"/>
      <c r="J3330"/>
      <c r="K3330"/>
      <c r="L3330"/>
      <c r="M3330" s="17"/>
      <c r="N3330"/>
      <c r="O3330"/>
      <c r="P3330" s="34"/>
    </row>
    <row r="3331" spans="1:16" x14ac:dyDescent="0.25">
      <c r="A3331" s="14"/>
      <c r="B3331"/>
      <c r="C3331" s="15"/>
      <c r="D3331"/>
      <c r="E3331"/>
      <c r="F3331" s="16"/>
      <c r="G3331"/>
      <c r="H3331"/>
      <c r="I3331" s="16"/>
      <c r="J3331"/>
      <c r="K3331"/>
      <c r="L3331"/>
      <c r="M3331" s="17"/>
      <c r="N3331"/>
      <c r="O3331"/>
      <c r="P3331" s="34"/>
    </row>
    <row r="3332" spans="1:16" x14ac:dyDescent="0.25">
      <c r="A3332" s="14"/>
      <c r="B3332"/>
      <c r="C3332" s="15"/>
      <c r="D3332"/>
      <c r="E3332"/>
      <c r="F3332" s="16"/>
      <c r="G3332"/>
      <c r="H3332"/>
      <c r="I3332" s="16"/>
      <c r="J3332"/>
      <c r="K3332"/>
      <c r="L3332"/>
      <c r="M3332" s="17"/>
      <c r="N3332"/>
      <c r="O3332"/>
      <c r="P3332" s="34"/>
    </row>
    <row r="3333" spans="1:16" x14ac:dyDescent="0.25">
      <c r="A3333" s="14"/>
      <c r="B3333"/>
      <c r="C3333" s="15"/>
      <c r="D3333"/>
      <c r="E3333"/>
      <c r="F3333" s="16"/>
      <c r="G3333"/>
      <c r="H3333"/>
      <c r="I3333" s="16"/>
      <c r="J3333"/>
      <c r="K3333"/>
      <c r="L3333"/>
      <c r="M3333" s="17"/>
      <c r="N3333"/>
      <c r="O3333"/>
      <c r="P3333" s="34"/>
    </row>
    <row r="3334" spans="1:16" x14ac:dyDescent="0.25">
      <c r="A3334" s="14"/>
      <c r="B3334"/>
      <c r="C3334" s="15"/>
      <c r="D3334"/>
      <c r="E3334"/>
      <c r="F3334" s="16"/>
      <c r="G3334"/>
      <c r="H3334"/>
      <c r="I3334" s="16"/>
      <c r="J3334"/>
      <c r="K3334"/>
      <c r="L3334"/>
      <c r="M3334" s="17"/>
      <c r="N3334"/>
      <c r="O3334"/>
      <c r="P3334" s="34"/>
    </row>
    <row r="3335" spans="1:16" x14ac:dyDescent="0.25">
      <c r="A3335" s="14"/>
      <c r="B3335"/>
      <c r="C3335" s="15"/>
      <c r="D3335"/>
      <c r="E3335"/>
      <c r="F3335" s="16"/>
      <c r="G3335"/>
      <c r="H3335"/>
      <c r="I3335" s="16"/>
      <c r="J3335"/>
      <c r="K3335"/>
      <c r="L3335"/>
      <c r="M3335" s="17"/>
      <c r="N3335"/>
      <c r="O3335"/>
      <c r="P3335" s="34"/>
    </row>
    <row r="3336" spans="1:16" x14ac:dyDescent="0.25">
      <c r="A3336" s="14"/>
      <c r="B3336"/>
      <c r="C3336" s="15"/>
      <c r="D3336"/>
      <c r="E3336"/>
      <c r="F3336" s="16"/>
      <c r="G3336"/>
      <c r="H3336"/>
      <c r="I3336" s="16"/>
      <c r="J3336"/>
      <c r="K3336"/>
      <c r="L3336"/>
      <c r="M3336" s="17"/>
      <c r="N3336"/>
      <c r="O3336"/>
      <c r="P3336" s="34"/>
    </row>
    <row r="3337" spans="1:16" x14ac:dyDescent="0.25">
      <c r="A3337" s="14"/>
      <c r="B3337"/>
      <c r="C3337" s="15"/>
      <c r="D3337"/>
      <c r="E3337"/>
      <c r="F3337" s="16"/>
      <c r="G3337"/>
      <c r="H3337"/>
      <c r="I3337" s="16"/>
      <c r="J3337"/>
      <c r="K3337"/>
      <c r="L3337"/>
      <c r="M3337" s="17"/>
      <c r="N3337"/>
      <c r="O3337"/>
      <c r="P3337" s="34"/>
    </row>
    <row r="3338" spans="1:16" x14ac:dyDescent="0.25">
      <c r="A3338" s="14"/>
      <c r="B3338"/>
      <c r="C3338" s="15"/>
      <c r="D3338"/>
      <c r="E3338"/>
      <c r="F3338" s="16"/>
      <c r="G3338"/>
      <c r="H3338"/>
      <c r="I3338" s="16"/>
      <c r="J3338"/>
      <c r="K3338"/>
      <c r="L3338"/>
      <c r="M3338" s="17"/>
      <c r="N3338"/>
      <c r="O3338"/>
      <c r="P3338" s="34"/>
    </row>
    <row r="3339" spans="1:16" x14ac:dyDescent="0.25">
      <c r="A3339" s="14"/>
      <c r="B3339"/>
      <c r="C3339" s="15"/>
      <c r="D3339"/>
      <c r="E3339"/>
      <c r="F3339" s="16"/>
      <c r="G3339"/>
      <c r="H3339"/>
      <c r="I3339" s="16"/>
      <c r="J3339"/>
      <c r="K3339"/>
      <c r="L3339"/>
      <c r="M3339" s="17"/>
      <c r="N3339"/>
      <c r="O3339"/>
      <c r="P3339" s="34"/>
    </row>
    <row r="3340" spans="1:16" x14ac:dyDescent="0.25">
      <c r="A3340" s="14"/>
      <c r="B3340"/>
      <c r="C3340" s="15"/>
      <c r="D3340"/>
      <c r="E3340"/>
      <c r="F3340" s="16"/>
      <c r="G3340"/>
      <c r="H3340"/>
      <c r="I3340" s="16"/>
      <c r="J3340"/>
      <c r="K3340"/>
      <c r="L3340"/>
      <c r="M3340" s="17"/>
      <c r="N3340"/>
      <c r="O3340"/>
      <c r="P3340" s="34"/>
    </row>
    <row r="3341" spans="1:16" x14ac:dyDescent="0.25">
      <c r="A3341" s="14"/>
      <c r="B3341"/>
      <c r="C3341" s="15"/>
      <c r="D3341"/>
      <c r="E3341"/>
      <c r="F3341" s="16"/>
      <c r="G3341"/>
      <c r="H3341"/>
      <c r="I3341" s="16"/>
      <c r="J3341"/>
      <c r="K3341"/>
      <c r="L3341"/>
      <c r="M3341" s="17"/>
      <c r="N3341"/>
      <c r="O3341"/>
      <c r="P3341" s="34"/>
    </row>
    <row r="3342" spans="1:16" x14ac:dyDescent="0.25">
      <c r="A3342" s="14"/>
      <c r="B3342"/>
      <c r="C3342" s="15"/>
      <c r="D3342"/>
      <c r="E3342"/>
      <c r="F3342" s="16"/>
      <c r="G3342"/>
      <c r="H3342"/>
      <c r="I3342" s="16"/>
      <c r="J3342"/>
      <c r="K3342"/>
      <c r="L3342"/>
      <c r="M3342" s="17"/>
      <c r="N3342"/>
      <c r="O3342"/>
      <c r="P3342" s="34"/>
    </row>
    <row r="3343" spans="1:16" x14ac:dyDescent="0.25">
      <c r="A3343" s="14"/>
      <c r="B3343"/>
      <c r="C3343" s="15"/>
      <c r="D3343"/>
      <c r="E3343"/>
      <c r="F3343" s="16"/>
      <c r="G3343"/>
      <c r="H3343"/>
      <c r="I3343" s="16"/>
      <c r="J3343"/>
      <c r="K3343"/>
      <c r="L3343"/>
      <c r="M3343" s="17"/>
      <c r="N3343"/>
      <c r="O3343"/>
      <c r="P3343" s="34"/>
    </row>
    <row r="3344" spans="1:16" x14ac:dyDescent="0.25">
      <c r="A3344" s="14"/>
      <c r="B3344"/>
      <c r="C3344" s="15"/>
      <c r="D3344"/>
      <c r="E3344"/>
      <c r="F3344" s="16"/>
      <c r="G3344"/>
      <c r="H3344"/>
      <c r="I3344" s="16"/>
      <c r="J3344"/>
      <c r="K3344"/>
      <c r="L3344"/>
      <c r="M3344" s="17"/>
      <c r="N3344"/>
      <c r="O3344"/>
      <c r="P3344" s="34"/>
    </row>
    <row r="3345" spans="1:16" x14ac:dyDescent="0.25">
      <c r="A3345" s="14"/>
      <c r="B3345"/>
      <c r="C3345" s="15"/>
      <c r="D3345"/>
      <c r="E3345"/>
      <c r="F3345" s="16"/>
      <c r="G3345"/>
      <c r="H3345"/>
      <c r="I3345" s="16"/>
      <c r="J3345"/>
      <c r="K3345"/>
      <c r="L3345"/>
      <c r="M3345" s="17"/>
      <c r="N3345"/>
      <c r="O3345"/>
      <c r="P3345" s="34"/>
    </row>
    <row r="3346" spans="1:16" x14ac:dyDescent="0.25">
      <c r="A3346" s="14"/>
      <c r="B3346"/>
      <c r="C3346" s="15"/>
      <c r="D3346"/>
      <c r="E3346"/>
      <c r="F3346" s="16"/>
      <c r="G3346"/>
      <c r="H3346"/>
      <c r="I3346" s="16"/>
      <c r="J3346"/>
      <c r="K3346"/>
      <c r="L3346"/>
      <c r="M3346" s="17"/>
      <c r="N3346"/>
      <c r="O3346"/>
      <c r="P3346" s="34"/>
    </row>
    <row r="3347" spans="1:16" x14ac:dyDescent="0.25">
      <c r="A3347" s="14"/>
      <c r="B3347"/>
      <c r="C3347" s="15"/>
      <c r="D3347"/>
      <c r="E3347"/>
      <c r="F3347" s="16"/>
      <c r="G3347"/>
      <c r="H3347"/>
      <c r="I3347" s="16"/>
      <c r="J3347"/>
      <c r="K3347"/>
      <c r="L3347"/>
      <c r="M3347" s="17"/>
      <c r="N3347"/>
      <c r="O3347"/>
      <c r="P3347" s="34"/>
    </row>
    <row r="3348" spans="1:16" x14ac:dyDescent="0.25">
      <c r="A3348" s="14"/>
      <c r="B3348"/>
      <c r="C3348" s="15"/>
      <c r="D3348"/>
      <c r="E3348"/>
      <c r="F3348" s="16"/>
      <c r="G3348"/>
      <c r="H3348"/>
      <c r="I3348" s="16"/>
      <c r="J3348"/>
      <c r="K3348"/>
      <c r="L3348"/>
      <c r="M3348" s="17"/>
      <c r="N3348"/>
      <c r="O3348"/>
      <c r="P3348" s="34"/>
    </row>
    <row r="3349" spans="1:16" x14ac:dyDescent="0.25">
      <c r="A3349" s="14"/>
      <c r="B3349"/>
      <c r="C3349" s="15"/>
      <c r="D3349"/>
      <c r="E3349"/>
      <c r="F3349" s="16"/>
      <c r="G3349"/>
      <c r="H3349"/>
      <c r="I3349" s="16"/>
      <c r="J3349"/>
      <c r="K3349"/>
      <c r="L3349"/>
      <c r="M3349" s="17"/>
      <c r="N3349"/>
      <c r="O3349"/>
      <c r="P3349" s="34"/>
    </row>
    <row r="3350" spans="1:16" x14ac:dyDescent="0.25">
      <c r="A3350" s="14"/>
      <c r="B3350"/>
      <c r="C3350" s="15"/>
      <c r="D3350"/>
      <c r="E3350"/>
      <c r="F3350" s="16"/>
      <c r="G3350"/>
      <c r="H3350"/>
      <c r="I3350" s="16"/>
      <c r="J3350"/>
      <c r="K3350"/>
      <c r="L3350"/>
      <c r="M3350" s="17"/>
      <c r="N3350"/>
      <c r="O3350"/>
      <c r="P3350" s="34"/>
    </row>
    <row r="3351" spans="1:16" x14ac:dyDescent="0.25">
      <c r="A3351" s="14"/>
      <c r="B3351"/>
      <c r="C3351" s="15"/>
      <c r="D3351"/>
      <c r="E3351"/>
      <c r="F3351" s="16"/>
      <c r="G3351"/>
      <c r="H3351"/>
      <c r="I3351" s="16"/>
      <c r="J3351"/>
      <c r="K3351"/>
      <c r="L3351"/>
      <c r="M3351" s="17"/>
      <c r="N3351"/>
      <c r="O3351"/>
      <c r="P3351" s="34"/>
    </row>
    <row r="3352" spans="1:16" x14ac:dyDescent="0.25">
      <c r="A3352" s="14"/>
      <c r="B3352"/>
      <c r="C3352" s="15"/>
      <c r="D3352"/>
      <c r="E3352"/>
      <c r="F3352" s="16"/>
      <c r="G3352"/>
      <c r="H3352"/>
      <c r="I3352" s="16"/>
      <c r="J3352"/>
      <c r="K3352"/>
      <c r="L3352"/>
      <c r="M3352" s="17"/>
      <c r="N3352"/>
      <c r="O3352"/>
      <c r="P3352" s="34"/>
    </row>
    <row r="3353" spans="1:16" x14ac:dyDescent="0.25">
      <c r="A3353" s="14"/>
      <c r="B3353"/>
      <c r="C3353" s="15"/>
      <c r="D3353"/>
      <c r="E3353"/>
      <c r="F3353" s="16"/>
      <c r="G3353"/>
      <c r="H3353"/>
      <c r="I3353" s="16"/>
      <c r="J3353"/>
      <c r="K3353"/>
      <c r="L3353"/>
      <c r="M3353" s="17"/>
      <c r="N3353"/>
      <c r="O3353"/>
      <c r="P3353" s="34"/>
    </row>
    <row r="3354" spans="1:16" x14ac:dyDescent="0.25">
      <c r="A3354" s="14"/>
      <c r="B3354"/>
      <c r="C3354" s="15"/>
      <c r="D3354"/>
      <c r="E3354"/>
      <c r="F3354" s="16"/>
      <c r="G3354"/>
      <c r="H3354"/>
      <c r="I3354" s="16"/>
      <c r="J3354"/>
      <c r="K3354"/>
      <c r="L3354"/>
      <c r="M3354" s="17"/>
      <c r="N3354"/>
      <c r="O3354"/>
      <c r="P3354" s="34"/>
    </row>
    <row r="3355" spans="1:16" x14ac:dyDescent="0.25">
      <c r="A3355" s="14"/>
      <c r="B3355"/>
      <c r="C3355" s="15"/>
      <c r="D3355"/>
      <c r="E3355"/>
      <c r="F3355" s="16"/>
      <c r="G3355"/>
      <c r="H3355"/>
      <c r="I3355" s="16"/>
      <c r="J3355"/>
      <c r="K3355"/>
      <c r="L3355"/>
      <c r="M3355" s="17"/>
      <c r="N3355"/>
      <c r="O3355"/>
      <c r="P3355" s="34"/>
    </row>
    <row r="3356" spans="1:16" x14ac:dyDescent="0.25">
      <c r="A3356" s="14"/>
      <c r="B3356"/>
      <c r="C3356" s="15"/>
      <c r="D3356"/>
      <c r="E3356"/>
      <c r="F3356" s="16"/>
      <c r="G3356"/>
      <c r="H3356"/>
      <c r="I3356" s="16"/>
      <c r="J3356"/>
      <c r="K3356"/>
      <c r="L3356"/>
      <c r="M3356" s="17"/>
      <c r="N3356"/>
      <c r="O3356"/>
      <c r="P3356" s="34"/>
    </row>
    <row r="3357" spans="1:16" x14ac:dyDescent="0.25">
      <c r="A3357" s="14"/>
      <c r="B3357"/>
      <c r="C3357" s="15"/>
      <c r="D3357"/>
      <c r="E3357"/>
      <c r="F3357" s="16"/>
      <c r="G3357"/>
      <c r="H3357"/>
      <c r="I3357" s="16"/>
      <c r="J3357"/>
      <c r="K3357"/>
      <c r="L3357"/>
      <c r="M3357" s="17"/>
      <c r="N3357"/>
      <c r="O3357"/>
      <c r="P3357" s="34"/>
    </row>
    <row r="3358" spans="1:16" x14ac:dyDescent="0.25">
      <c r="A3358" s="14"/>
      <c r="B3358"/>
      <c r="C3358" s="15"/>
      <c r="D3358"/>
      <c r="E3358"/>
      <c r="F3358" s="16"/>
      <c r="G3358"/>
      <c r="H3358"/>
      <c r="I3358" s="16"/>
      <c r="J3358"/>
      <c r="K3358"/>
      <c r="L3358"/>
      <c r="M3358" s="17"/>
      <c r="N3358"/>
      <c r="O3358"/>
      <c r="P3358" s="34"/>
    </row>
    <row r="3359" spans="1:16" x14ac:dyDescent="0.25">
      <c r="A3359" s="14"/>
      <c r="B3359"/>
      <c r="C3359" s="15"/>
      <c r="D3359"/>
      <c r="E3359"/>
      <c r="F3359" s="16"/>
      <c r="G3359"/>
      <c r="H3359"/>
      <c r="I3359" s="16"/>
      <c r="J3359"/>
      <c r="K3359"/>
      <c r="L3359"/>
      <c r="M3359" s="17"/>
      <c r="N3359"/>
      <c r="O3359"/>
      <c r="P3359" s="34"/>
    </row>
    <row r="3360" spans="1:16" x14ac:dyDescent="0.25">
      <c r="A3360" s="14"/>
      <c r="B3360"/>
      <c r="C3360" s="15"/>
      <c r="D3360"/>
      <c r="E3360"/>
      <c r="F3360" s="16"/>
      <c r="G3360"/>
      <c r="H3360"/>
      <c r="I3360" s="16"/>
      <c r="J3360"/>
      <c r="K3360"/>
      <c r="L3360"/>
      <c r="M3360" s="17"/>
      <c r="N3360"/>
      <c r="O3360"/>
      <c r="P3360" s="34"/>
    </row>
    <row r="3361" spans="1:16" x14ac:dyDescent="0.25">
      <c r="A3361" s="14"/>
      <c r="B3361"/>
      <c r="C3361" s="15"/>
      <c r="D3361"/>
      <c r="E3361"/>
      <c r="F3361" s="16"/>
      <c r="G3361"/>
      <c r="H3361"/>
      <c r="I3361" s="16"/>
      <c r="J3361"/>
      <c r="K3361"/>
      <c r="L3361"/>
      <c r="M3361" s="17"/>
      <c r="N3361"/>
      <c r="O3361"/>
      <c r="P3361" s="34"/>
    </row>
    <row r="3362" spans="1:16" x14ac:dyDescent="0.25">
      <c r="A3362" s="14"/>
      <c r="B3362"/>
      <c r="C3362" s="15"/>
      <c r="D3362"/>
      <c r="E3362"/>
      <c r="F3362" s="16"/>
      <c r="G3362"/>
      <c r="H3362"/>
      <c r="I3362" s="16"/>
      <c r="J3362"/>
      <c r="K3362"/>
      <c r="L3362"/>
      <c r="M3362" s="17"/>
      <c r="N3362"/>
      <c r="O3362"/>
      <c r="P3362" s="34"/>
    </row>
    <row r="3363" spans="1:16" x14ac:dyDescent="0.25">
      <c r="A3363" s="14"/>
      <c r="B3363"/>
      <c r="C3363" s="15"/>
      <c r="D3363"/>
      <c r="E3363"/>
      <c r="F3363" s="16"/>
      <c r="G3363"/>
      <c r="H3363"/>
      <c r="I3363" s="16"/>
      <c r="J3363"/>
      <c r="K3363"/>
      <c r="L3363"/>
      <c r="M3363" s="17"/>
      <c r="N3363"/>
      <c r="O3363"/>
      <c r="P3363" s="34"/>
    </row>
    <row r="3364" spans="1:16" x14ac:dyDescent="0.25">
      <c r="A3364" s="14"/>
      <c r="B3364"/>
      <c r="C3364" s="15"/>
      <c r="D3364"/>
      <c r="E3364"/>
      <c r="F3364" s="16"/>
      <c r="G3364"/>
      <c r="H3364"/>
      <c r="I3364" s="16"/>
      <c r="J3364"/>
      <c r="K3364"/>
      <c r="L3364"/>
      <c r="M3364" s="17"/>
      <c r="N3364"/>
      <c r="O3364"/>
      <c r="P3364" s="34"/>
    </row>
    <row r="3365" spans="1:16" x14ac:dyDescent="0.25">
      <c r="A3365" s="14"/>
      <c r="B3365"/>
      <c r="C3365" s="15"/>
      <c r="D3365"/>
      <c r="E3365"/>
      <c r="F3365" s="16"/>
      <c r="G3365"/>
      <c r="H3365"/>
      <c r="I3365" s="16"/>
      <c r="J3365"/>
      <c r="K3365"/>
      <c r="L3365"/>
      <c r="M3365" s="17"/>
      <c r="N3365"/>
      <c r="O3365"/>
      <c r="P3365" s="34"/>
    </row>
    <row r="3366" spans="1:16" x14ac:dyDescent="0.25">
      <c r="A3366" s="14"/>
      <c r="B3366"/>
      <c r="C3366" s="15"/>
      <c r="D3366"/>
      <c r="E3366"/>
      <c r="F3366" s="16"/>
      <c r="G3366"/>
      <c r="H3366"/>
      <c r="I3366" s="16"/>
      <c r="J3366"/>
      <c r="K3366"/>
      <c r="L3366"/>
      <c r="M3366" s="17"/>
      <c r="N3366"/>
      <c r="O3366"/>
      <c r="P3366" s="34"/>
    </row>
    <row r="3367" spans="1:16" x14ac:dyDescent="0.25">
      <c r="A3367" s="14"/>
      <c r="B3367"/>
      <c r="C3367" s="15"/>
      <c r="D3367"/>
      <c r="E3367"/>
      <c r="F3367" s="16"/>
      <c r="G3367"/>
      <c r="H3367"/>
      <c r="I3367" s="16"/>
      <c r="J3367"/>
      <c r="K3367"/>
      <c r="L3367"/>
      <c r="M3367" s="17"/>
      <c r="N3367"/>
      <c r="O3367"/>
      <c r="P3367" s="34"/>
    </row>
    <row r="3368" spans="1:16" x14ac:dyDescent="0.25">
      <c r="A3368" s="14"/>
      <c r="B3368"/>
      <c r="C3368" s="15"/>
      <c r="D3368"/>
      <c r="E3368"/>
      <c r="F3368" s="16"/>
      <c r="G3368"/>
      <c r="H3368"/>
      <c r="I3368" s="16"/>
      <c r="J3368"/>
      <c r="K3368"/>
      <c r="L3368"/>
      <c r="M3368" s="17"/>
      <c r="N3368"/>
      <c r="O3368"/>
      <c r="P3368" s="34"/>
    </row>
    <row r="3369" spans="1:16" x14ac:dyDescent="0.25">
      <c r="A3369" s="14"/>
      <c r="B3369"/>
      <c r="C3369" s="15"/>
      <c r="D3369"/>
      <c r="E3369"/>
      <c r="F3369" s="16"/>
      <c r="G3369"/>
      <c r="H3369"/>
      <c r="I3369" s="16"/>
      <c r="J3369"/>
      <c r="K3369"/>
      <c r="L3369"/>
      <c r="M3369" s="17"/>
      <c r="N3369"/>
      <c r="O3369"/>
      <c r="P3369" s="34"/>
    </row>
    <row r="3370" spans="1:16" x14ac:dyDescent="0.25">
      <c r="A3370" s="14"/>
      <c r="B3370"/>
      <c r="C3370" s="15"/>
      <c r="D3370"/>
      <c r="E3370"/>
      <c r="F3370" s="16"/>
      <c r="G3370"/>
      <c r="H3370"/>
      <c r="I3370" s="16"/>
      <c r="J3370"/>
      <c r="K3370"/>
      <c r="L3370"/>
      <c r="M3370" s="17"/>
      <c r="N3370"/>
      <c r="O3370"/>
      <c r="P3370" s="34"/>
    </row>
    <row r="3371" spans="1:16" x14ac:dyDescent="0.25">
      <c r="A3371" s="14"/>
      <c r="B3371"/>
      <c r="C3371" s="15"/>
      <c r="D3371"/>
      <c r="E3371"/>
      <c r="F3371" s="16"/>
      <c r="G3371"/>
      <c r="H3371"/>
      <c r="I3371" s="16"/>
      <c r="J3371"/>
      <c r="K3371"/>
      <c r="L3371"/>
      <c r="M3371" s="17"/>
      <c r="N3371"/>
      <c r="O3371"/>
      <c r="P3371" s="34"/>
    </row>
    <row r="3372" spans="1:16" x14ac:dyDescent="0.25">
      <c r="A3372" s="14"/>
      <c r="B3372"/>
      <c r="C3372" s="15"/>
      <c r="D3372"/>
      <c r="E3372"/>
      <c r="F3372" s="16"/>
      <c r="G3372"/>
      <c r="H3372"/>
      <c r="I3372" s="16"/>
      <c r="J3372"/>
      <c r="K3372"/>
      <c r="L3372"/>
      <c r="M3372" s="17"/>
      <c r="N3372"/>
      <c r="O3372"/>
      <c r="P3372" s="34"/>
    </row>
    <row r="3373" spans="1:16" x14ac:dyDescent="0.25">
      <c r="A3373" s="14"/>
      <c r="B3373"/>
      <c r="C3373" s="15"/>
      <c r="D3373"/>
      <c r="E3373"/>
      <c r="F3373" s="16"/>
      <c r="G3373"/>
      <c r="H3373"/>
      <c r="I3373" s="16"/>
      <c r="J3373"/>
      <c r="K3373"/>
      <c r="L3373"/>
      <c r="M3373" s="17"/>
      <c r="N3373"/>
      <c r="O3373"/>
      <c r="P3373" s="34"/>
    </row>
    <row r="3374" spans="1:16" x14ac:dyDescent="0.25">
      <c r="A3374" s="14"/>
      <c r="B3374"/>
      <c r="C3374" s="15"/>
      <c r="D3374"/>
      <c r="E3374"/>
      <c r="F3374" s="16"/>
      <c r="G3374"/>
      <c r="H3374"/>
      <c r="I3374" s="16"/>
      <c r="J3374"/>
      <c r="K3374"/>
      <c r="L3374"/>
      <c r="M3374" s="17"/>
      <c r="N3374"/>
      <c r="O3374"/>
      <c r="P3374" s="34"/>
    </row>
    <row r="3375" spans="1:16" x14ac:dyDescent="0.25">
      <c r="A3375" s="14"/>
      <c r="B3375"/>
      <c r="C3375" s="15"/>
      <c r="D3375"/>
      <c r="E3375"/>
      <c r="F3375" s="16"/>
      <c r="G3375"/>
      <c r="H3375"/>
      <c r="I3375" s="16"/>
      <c r="J3375"/>
      <c r="K3375"/>
      <c r="L3375"/>
      <c r="M3375" s="17"/>
      <c r="N3375"/>
      <c r="O3375"/>
      <c r="P3375" s="34"/>
    </row>
    <row r="3376" spans="1:16" x14ac:dyDescent="0.25">
      <c r="A3376" s="14"/>
      <c r="B3376"/>
      <c r="C3376" s="15"/>
      <c r="D3376"/>
      <c r="E3376"/>
      <c r="F3376" s="16"/>
      <c r="G3376"/>
      <c r="H3376"/>
      <c r="I3376" s="16"/>
      <c r="J3376"/>
      <c r="K3376"/>
      <c r="L3376"/>
      <c r="M3376" s="17"/>
      <c r="N3376"/>
      <c r="O3376"/>
      <c r="P3376" s="34"/>
    </row>
    <row r="3377" spans="1:16" x14ac:dyDescent="0.25">
      <c r="A3377" s="14"/>
      <c r="B3377"/>
      <c r="C3377" s="15"/>
      <c r="D3377"/>
      <c r="E3377"/>
      <c r="F3377" s="16"/>
      <c r="G3377"/>
      <c r="H3377"/>
      <c r="I3377" s="16"/>
      <c r="J3377"/>
      <c r="K3377"/>
      <c r="L3377"/>
      <c r="M3377" s="17"/>
      <c r="N3377"/>
      <c r="O3377"/>
      <c r="P3377" s="34"/>
    </row>
    <row r="3378" spans="1:16" x14ac:dyDescent="0.25">
      <c r="A3378" s="14"/>
      <c r="B3378"/>
      <c r="C3378" s="15"/>
      <c r="D3378"/>
      <c r="E3378"/>
      <c r="F3378" s="16"/>
      <c r="G3378"/>
      <c r="H3378"/>
      <c r="I3378" s="16"/>
      <c r="J3378"/>
      <c r="K3378"/>
      <c r="L3378"/>
      <c r="M3378" s="17"/>
      <c r="N3378"/>
      <c r="O3378"/>
      <c r="P3378" s="34"/>
    </row>
    <row r="3379" spans="1:16" x14ac:dyDescent="0.25">
      <c r="A3379" s="14"/>
      <c r="B3379"/>
      <c r="C3379" s="15"/>
      <c r="D3379"/>
      <c r="E3379"/>
      <c r="F3379" s="16"/>
      <c r="G3379"/>
      <c r="H3379"/>
      <c r="I3379" s="16"/>
      <c r="J3379"/>
      <c r="K3379"/>
      <c r="L3379"/>
      <c r="M3379" s="17"/>
      <c r="N3379"/>
      <c r="O3379"/>
      <c r="P3379" s="34"/>
    </row>
    <row r="3380" spans="1:16" x14ac:dyDescent="0.25">
      <c r="A3380" s="14"/>
      <c r="B3380"/>
      <c r="C3380" s="15"/>
      <c r="D3380"/>
      <c r="E3380"/>
      <c r="F3380" s="16"/>
      <c r="G3380"/>
      <c r="H3380"/>
      <c r="I3380" s="16"/>
      <c r="J3380"/>
      <c r="K3380"/>
      <c r="L3380"/>
      <c r="M3380" s="17"/>
      <c r="N3380"/>
      <c r="O3380"/>
      <c r="P3380" s="34"/>
    </row>
    <row r="3381" spans="1:16" x14ac:dyDescent="0.25">
      <c r="A3381" s="14"/>
      <c r="B3381"/>
      <c r="C3381" s="15"/>
      <c r="D3381"/>
      <c r="E3381"/>
      <c r="F3381" s="16"/>
      <c r="G3381"/>
      <c r="H3381"/>
      <c r="I3381" s="16"/>
      <c r="J3381"/>
      <c r="K3381"/>
      <c r="L3381"/>
      <c r="M3381" s="17"/>
      <c r="N3381"/>
      <c r="O3381"/>
      <c r="P3381" s="34"/>
    </row>
    <row r="3382" spans="1:16" x14ac:dyDescent="0.25">
      <c r="A3382" s="14"/>
      <c r="B3382"/>
      <c r="C3382" s="15"/>
      <c r="D3382"/>
      <c r="E3382"/>
      <c r="F3382" s="16"/>
      <c r="G3382"/>
      <c r="H3382"/>
      <c r="I3382" s="16"/>
      <c r="J3382"/>
      <c r="K3382"/>
      <c r="L3382"/>
      <c r="M3382" s="17"/>
      <c r="N3382"/>
      <c r="O3382"/>
      <c r="P3382" s="34"/>
    </row>
    <row r="3383" spans="1:16" x14ac:dyDescent="0.25">
      <c r="A3383" s="14"/>
      <c r="B3383"/>
      <c r="C3383" s="15"/>
      <c r="D3383"/>
      <c r="E3383"/>
      <c r="F3383" s="16"/>
      <c r="G3383"/>
      <c r="H3383"/>
      <c r="I3383" s="16"/>
      <c r="J3383"/>
      <c r="K3383"/>
      <c r="L3383"/>
      <c r="M3383" s="17"/>
      <c r="N3383"/>
      <c r="O3383"/>
      <c r="P3383" s="34"/>
    </row>
    <row r="3384" spans="1:16" x14ac:dyDescent="0.25">
      <c r="A3384" s="14"/>
      <c r="B3384"/>
      <c r="C3384" s="15"/>
      <c r="D3384"/>
      <c r="E3384"/>
      <c r="F3384" s="16"/>
      <c r="G3384"/>
      <c r="H3384"/>
      <c r="I3384" s="16"/>
      <c r="J3384"/>
      <c r="K3384"/>
      <c r="L3384"/>
      <c r="M3384" s="17"/>
      <c r="N3384"/>
      <c r="O3384"/>
      <c r="P3384" s="34"/>
    </row>
    <row r="3385" spans="1:16" x14ac:dyDescent="0.25">
      <c r="A3385" s="14"/>
      <c r="B3385"/>
      <c r="C3385" s="15"/>
      <c r="D3385"/>
      <c r="E3385"/>
      <c r="F3385" s="16"/>
      <c r="G3385"/>
      <c r="H3385"/>
      <c r="I3385" s="16"/>
      <c r="J3385"/>
      <c r="K3385"/>
      <c r="L3385"/>
      <c r="M3385" s="17"/>
      <c r="N3385"/>
      <c r="O3385"/>
      <c r="P3385" s="34"/>
    </row>
    <row r="3386" spans="1:16" x14ac:dyDescent="0.25">
      <c r="A3386" s="14"/>
      <c r="B3386"/>
      <c r="C3386" s="15"/>
      <c r="D3386"/>
      <c r="E3386"/>
      <c r="F3386" s="16"/>
      <c r="G3386"/>
      <c r="H3386"/>
      <c r="I3386" s="16"/>
      <c r="J3386"/>
      <c r="K3386"/>
      <c r="L3386"/>
      <c r="M3386" s="17"/>
      <c r="N3386"/>
      <c r="O3386"/>
      <c r="P3386" s="34"/>
    </row>
    <row r="3387" spans="1:16" x14ac:dyDescent="0.25">
      <c r="A3387" s="14"/>
      <c r="B3387"/>
      <c r="C3387" s="15"/>
      <c r="D3387"/>
      <c r="E3387"/>
      <c r="F3387" s="16"/>
      <c r="G3387"/>
      <c r="H3387"/>
      <c r="I3387" s="16"/>
      <c r="J3387"/>
      <c r="K3387"/>
      <c r="L3387"/>
      <c r="M3387" s="17"/>
      <c r="N3387"/>
      <c r="O3387"/>
      <c r="P3387" s="34"/>
    </row>
    <row r="3388" spans="1:16" x14ac:dyDescent="0.25">
      <c r="A3388" s="14"/>
      <c r="B3388"/>
      <c r="C3388" s="15"/>
      <c r="D3388"/>
      <c r="E3388"/>
      <c r="F3388" s="16"/>
      <c r="G3388"/>
      <c r="H3388"/>
      <c r="I3388" s="16"/>
      <c r="J3388"/>
      <c r="K3388"/>
      <c r="L3388"/>
      <c r="M3388" s="17"/>
      <c r="N3388"/>
      <c r="O3388"/>
      <c r="P3388" s="34"/>
    </row>
    <row r="3389" spans="1:16" x14ac:dyDescent="0.25">
      <c r="A3389" s="14"/>
      <c r="B3389"/>
      <c r="C3389" s="15"/>
      <c r="D3389"/>
      <c r="E3389"/>
      <c r="F3389" s="16"/>
      <c r="G3389"/>
      <c r="H3389"/>
      <c r="I3389" s="16"/>
      <c r="J3389"/>
      <c r="K3389"/>
      <c r="L3389"/>
      <c r="M3389" s="17"/>
      <c r="N3389"/>
      <c r="O3389"/>
      <c r="P3389" s="34"/>
    </row>
    <row r="3390" spans="1:16" x14ac:dyDescent="0.25">
      <c r="A3390" s="14"/>
      <c r="B3390"/>
      <c r="C3390" s="15"/>
      <c r="D3390"/>
      <c r="E3390"/>
      <c r="F3390" s="16"/>
      <c r="G3390"/>
      <c r="H3390"/>
      <c r="I3390" s="16"/>
      <c r="J3390"/>
      <c r="K3390"/>
      <c r="L3390"/>
      <c r="M3390" s="17"/>
      <c r="N3390"/>
      <c r="O3390"/>
      <c r="P3390" s="34"/>
    </row>
    <row r="3391" spans="1:16" x14ac:dyDescent="0.25">
      <c r="A3391" s="14"/>
      <c r="B3391"/>
      <c r="C3391" s="15"/>
      <c r="D3391"/>
      <c r="E3391"/>
      <c r="F3391" s="16"/>
      <c r="G3391"/>
      <c r="H3391"/>
      <c r="I3391" s="16"/>
      <c r="J3391"/>
      <c r="K3391"/>
      <c r="L3391"/>
      <c r="M3391" s="17"/>
      <c r="N3391"/>
      <c r="O3391"/>
      <c r="P3391" s="34"/>
    </row>
    <row r="3392" spans="1:16" x14ac:dyDescent="0.25">
      <c r="A3392" s="14"/>
      <c r="B3392"/>
      <c r="C3392" s="15"/>
      <c r="D3392"/>
      <c r="E3392"/>
      <c r="F3392" s="16"/>
      <c r="G3392"/>
      <c r="H3392"/>
      <c r="I3392" s="16"/>
      <c r="J3392"/>
      <c r="K3392"/>
      <c r="L3392"/>
      <c r="M3392" s="17"/>
      <c r="N3392"/>
      <c r="O3392"/>
      <c r="P3392" s="34"/>
    </row>
    <row r="3393" spans="1:16" x14ac:dyDescent="0.25">
      <c r="A3393" s="14"/>
      <c r="B3393"/>
      <c r="C3393" s="15"/>
      <c r="D3393"/>
      <c r="E3393"/>
      <c r="F3393" s="16"/>
      <c r="G3393"/>
      <c r="H3393"/>
      <c r="I3393" s="16"/>
      <c r="J3393"/>
      <c r="K3393"/>
      <c r="L3393"/>
      <c r="M3393" s="17"/>
      <c r="N3393"/>
      <c r="O3393"/>
      <c r="P3393" s="34"/>
    </row>
    <row r="3394" spans="1:16" x14ac:dyDescent="0.25">
      <c r="A3394" s="14"/>
      <c r="B3394"/>
      <c r="C3394" s="15"/>
      <c r="D3394"/>
      <c r="E3394"/>
      <c r="F3394" s="16"/>
      <c r="G3394"/>
      <c r="H3394"/>
      <c r="I3394" s="16"/>
      <c r="J3394"/>
      <c r="K3394"/>
      <c r="L3394"/>
      <c r="M3394" s="17"/>
      <c r="N3394"/>
      <c r="O3394"/>
      <c r="P3394" s="34"/>
    </row>
    <row r="3395" spans="1:16" x14ac:dyDescent="0.25">
      <c r="A3395" s="14"/>
      <c r="B3395"/>
      <c r="C3395" s="15"/>
      <c r="D3395"/>
      <c r="E3395"/>
      <c r="F3395" s="16"/>
      <c r="G3395"/>
      <c r="H3395"/>
      <c r="I3395" s="16"/>
      <c r="J3395"/>
      <c r="K3395"/>
      <c r="L3395"/>
      <c r="M3395" s="17"/>
      <c r="N3395"/>
      <c r="O3395"/>
      <c r="P3395" s="34"/>
    </row>
    <row r="3396" spans="1:16" x14ac:dyDescent="0.25">
      <c r="A3396" s="14"/>
      <c r="B3396"/>
      <c r="C3396" s="15"/>
      <c r="D3396"/>
      <c r="E3396"/>
      <c r="F3396" s="16"/>
      <c r="G3396"/>
      <c r="H3396"/>
      <c r="I3396" s="16"/>
      <c r="J3396"/>
      <c r="K3396"/>
      <c r="L3396"/>
      <c r="M3396" s="17"/>
      <c r="N3396"/>
      <c r="O3396"/>
      <c r="P3396" s="34"/>
    </row>
    <row r="3397" spans="1:16" x14ac:dyDescent="0.25">
      <c r="A3397" s="14"/>
      <c r="B3397"/>
      <c r="C3397" s="15"/>
      <c r="D3397"/>
      <c r="E3397"/>
      <c r="F3397" s="16"/>
      <c r="G3397"/>
      <c r="H3397"/>
      <c r="I3397" s="16"/>
      <c r="J3397"/>
      <c r="K3397"/>
      <c r="L3397"/>
      <c r="M3397" s="17"/>
      <c r="N3397"/>
      <c r="O3397"/>
      <c r="P3397" s="34"/>
    </row>
    <row r="3398" spans="1:16" x14ac:dyDescent="0.25">
      <c r="A3398" s="14"/>
      <c r="B3398"/>
      <c r="C3398" s="15"/>
      <c r="D3398"/>
      <c r="E3398"/>
      <c r="F3398" s="16"/>
      <c r="G3398"/>
      <c r="H3398"/>
      <c r="I3398" s="16"/>
      <c r="J3398"/>
      <c r="K3398"/>
      <c r="L3398"/>
      <c r="M3398" s="17"/>
      <c r="N3398"/>
      <c r="O3398"/>
      <c r="P3398" s="34"/>
    </row>
    <row r="3399" spans="1:16" x14ac:dyDescent="0.25">
      <c r="A3399" s="14"/>
      <c r="B3399"/>
      <c r="C3399" s="15"/>
      <c r="D3399"/>
      <c r="E3399"/>
      <c r="F3399" s="16"/>
      <c r="G3399"/>
      <c r="H3399"/>
      <c r="I3399" s="16"/>
      <c r="J3399"/>
      <c r="K3399"/>
      <c r="L3399"/>
      <c r="M3399" s="17"/>
      <c r="N3399"/>
      <c r="O3399"/>
      <c r="P3399" s="34"/>
    </row>
    <row r="3400" spans="1:16" x14ac:dyDescent="0.25">
      <c r="A3400" s="14"/>
      <c r="B3400"/>
      <c r="C3400" s="15"/>
      <c r="D3400"/>
      <c r="E3400"/>
      <c r="F3400" s="16"/>
      <c r="G3400"/>
      <c r="H3400"/>
      <c r="I3400" s="16"/>
      <c r="J3400"/>
      <c r="K3400"/>
      <c r="L3400"/>
      <c r="M3400" s="17"/>
      <c r="N3400"/>
      <c r="O3400"/>
      <c r="P3400" s="34"/>
    </row>
    <row r="3401" spans="1:16" x14ac:dyDescent="0.25">
      <c r="A3401" s="14"/>
      <c r="B3401"/>
      <c r="C3401" s="15"/>
      <c r="D3401"/>
      <c r="E3401"/>
      <c r="F3401" s="16"/>
      <c r="G3401"/>
      <c r="H3401"/>
      <c r="I3401" s="16"/>
      <c r="J3401"/>
      <c r="K3401"/>
      <c r="L3401"/>
      <c r="M3401" s="17"/>
      <c r="N3401"/>
      <c r="O3401"/>
      <c r="P3401" s="34"/>
    </row>
    <row r="3402" spans="1:16" x14ac:dyDescent="0.25">
      <c r="A3402" s="14"/>
      <c r="B3402"/>
      <c r="C3402" s="15"/>
      <c r="D3402"/>
      <c r="E3402"/>
      <c r="F3402" s="16"/>
      <c r="G3402"/>
      <c r="H3402"/>
      <c r="I3402" s="16"/>
      <c r="J3402"/>
      <c r="K3402"/>
      <c r="L3402"/>
      <c r="M3402" s="17"/>
      <c r="N3402"/>
      <c r="O3402"/>
      <c r="P3402" s="34"/>
    </row>
    <row r="3403" spans="1:16" x14ac:dyDescent="0.25">
      <c r="A3403" s="14"/>
      <c r="B3403"/>
      <c r="C3403" s="15"/>
      <c r="D3403"/>
      <c r="E3403"/>
      <c r="F3403" s="16"/>
      <c r="G3403"/>
      <c r="H3403"/>
      <c r="I3403" s="16"/>
      <c r="J3403"/>
      <c r="K3403"/>
      <c r="L3403"/>
      <c r="M3403" s="17"/>
      <c r="N3403"/>
      <c r="O3403"/>
      <c r="P3403" s="34"/>
    </row>
    <row r="3404" spans="1:16" x14ac:dyDescent="0.25">
      <c r="A3404" s="14"/>
      <c r="B3404"/>
      <c r="C3404" s="15"/>
      <c r="D3404"/>
      <c r="E3404"/>
      <c r="F3404" s="16"/>
      <c r="G3404"/>
      <c r="H3404"/>
      <c r="I3404" s="16"/>
      <c r="J3404"/>
      <c r="K3404"/>
      <c r="L3404"/>
      <c r="M3404" s="17"/>
      <c r="N3404"/>
      <c r="O3404"/>
      <c r="P3404" s="34"/>
    </row>
    <row r="3405" spans="1:16" x14ac:dyDescent="0.25">
      <c r="A3405" s="14"/>
      <c r="B3405"/>
      <c r="C3405" s="15"/>
      <c r="D3405"/>
      <c r="E3405"/>
      <c r="F3405" s="16"/>
      <c r="G3405"/>
      <c r="H3405"/>
      <c r="I3405" s="16"/>
      <c r="J3405"/>
      <c r="K3405"/>
      <c r="L3405"/>
      <c r="M3405" s="17"/>
      <c r="N3405"/>
      <c r="O3405"/>
      <c r="P3405" s="34"/>
    </row>
    <row r="3406" spans="1:16" x14ac:dyDescent="0.25">
      <c r="A3406" s="14"/>
      <c r="B3406"/>
      <c r="C3406" s="15"/>
      <c r="D3406"/>
      <c r="E3406"/>
      <c r="F3406" s="16"/>
      <c r="G3406"/>
      <c r="H3406"/>
      <c r="I3406" s="16"/>
      <c r="J3406"/>
      <c r="K3406"/>
      <c r="L3406"/>
      <c r="M3406" s="17"/>
      <c r="N3406"/>
      <c r="O3406"/>
      <c r="P3406" s="34"/>
    </row>
    <row r="3407" spans="1:16" x14ac:dyDescent="0.25">
      <c r="A3407" s="14"/>
      <c r="B3407"/>
      <c r="C3407" s="15"/>
      <c r="D3407"/>
      <c r="E3407"/>
      <c r="F3407" s="16"/>
      <c r="G3407"/>
      <c r="H3407"/>
      <c r="I3407" s="16"/>
      <c r="J3407"/>
      <c r="K3407"/>
      <c r="L3407"/>
      <c r="M3407" s="17"/>
      <c r="N3407"/>
      <c r="O3407"/>
      <c r="P3407" s="34"/>
    </row>
    <row r="3408" spans="1:16" x14ac:dyDescent="0.25">
      <c r="A3408" s="14"/>
      <c r="B3408"/>
      <c r="C3408" s="15"/>
      <c r="D3408"/>
      <c r="E3408"/>
      <c r="F3408" s="16"/>
      <c r="G3408"/>
      <c r="H3408"/>
      <c r="I3408" s="16"/>
      <c r="J3408"/>
      <c r="K3408"/>
      <c r="L3408"/>
      <c r="M3408" s="17"/>
      <c r="N3408"/>
      <c r="O3408"/>
      <c r="P3408" s="34"/>
    </row>
    <row r="3409" spans="1:16" x14ac:dyDescent="0.25">
      <c r="A3409" s="14"/>
      <c r="B3409"/>
      <c r="C3409" s="15"/>
      <c r="D3409"/>
      <c r="E3409"/>
      <c r="F3409" s="16"/>
      <c r="G3409"/>
      <c r="H3409"/>
      <c r="I3409" s="16"/>
      <c r="J3409"/>
      <c r="K3409"/>
      <c r="L3409"/>
      <c r="M3409" s="17"/>
      <c r="N3409"/>
      <c r="O3409"/>
      <c r="P3409" s="34"/>
    </row>
    <row r="3410" spans="1:16" x14ac:dyDescent="0.25">
      <c r="A3410" s="14"/>
      <c r="B3410"/>
      <c r="C3410" s="15"/>
      <c r="D3410"/>
      <c r="E3410"/>
      <c r="F3410" s="16"/>
      <c r="G3410"/>
      <c r="H3410"/>
      <c r="I3410" s="16"/>
      <c r="J3410"/>
      <c r="K3410"/>
      <c r="L3410"/>
      <c r="M3410" s="17"/>
      <c r="N3410"/>
      <c r="O3410"/>
      <c r="P3410" s="34"/>
    </row>
    <row r="3411" spans="1:16" x14ac:dyDescent="0.25">
      <c r="A3411" s="14"/>
      <c r="B3411"/>
      <c r="C3411" s="15"/>
      <c r="D3411"/>
      <c r="E3411"/>
      <c r="F3411" s="16"/>
      <c r="G3411"/>
      <c r="H3411"/>
      <c r="I3411" s="16"/>
      <c r="J3411"/>
      <c r="K3411"/>
      <c r="L3411"/>
      <c r="M3411" s="17"/>
      <c r="N3411"/>
      <c r="O3411"/>
      <c r="P3411" s="34"/>
    </row>
    <row r="3412" spans="1:16" x14ac:dyDescent="0.25">
      <c r="A3412" s="14"/>
      <c r="B3412"/>
      <c r="C3412" s="15"/>
      <c r="D3412"/>
      <c r="E3412"/>
      <c r="F3412" s="16"/>
      <c r="G3412"/>
      <c r="H3412"/>
      <c r="I3412" s="16"/>
      <c r="J3412"/>
      <c r="K3412"/>
      <c r="L3412"/>
      <c r="M3412" s="17"/>
      <c r="N3412"/>
      <c r="O3412"/>
      <c r="P3412" s="34"/>
    </row>
    <row r="3413" spans="1:16" x14ac:dyDescent="0.25">
      <c r="A3413" s="14"/>
      <c r="B3413"/>
      <c r="C3413" s="15"/>
      <c r="D3413"/>
      <c r="E3413"/>
      <c r="F3413" s="16"/>
      <c r="G3413"/>
      <c r="H3413"/>
      <c r="I3413" s="16"/>
      <c r="J3413"/>
      <c r="K3413"/>
      <c r="L3413"/>
      <c r="M3413" s="17"/>
      <c r="N3413"/>
      <c r="O3413"/>
      <c r="P3413" s="34"/>
    </row>
    <row r="3414" spans="1:16" x14ac:dyDescent="0.25">
      <c r="A3414" s="14"/>
      <c r="B3414"/>
      <c r="C3414" s="15"/>
      <c r="D3414"/>
      <c r="E3414"/>
      <c r="F3414" s="16"/>
      <c r="G3414"/>
      <c r="H3414"/>
      <c r="I3414" s="16"/>
      <c r="J3414"/>
      <c r="K3414"/>
      <c r="L3414"/>
      <c r="M3414" s="17"/>
      <c r="N3414"/>
      <c r="O3414"/>
      <c r="P3414" s="34"/>
    </row>
    <row r="3415" spans="1:16" x14ac:dyDescent="0.25">
      <c r="A3415" s="14"/>
      <c r="B3415"/>
      <c r="C3415" s="15"/>
      <c r="D3415"/>
      <c r="E3415"/>
      <c r="F3415" s="16"/>
      <c r="G3415"/>
      <c r="H3415"/>
      <c r="I3415" s="16"/>
      <c r="J3415"/>
      <c r="K3415"/>
      <c r="L3415"/>
      <c r="M3415" s="17"/>
      <c r="N3415"/>
      <c r="O3415"/>
      <c r="P3415" s="34"/>
    </row>
    <row r="3416" spans="1:16" x14ac:dyDescent="0.25">
      <c r="A3416" s="14"/>
      <c r="B3416"/>
      <c r="C3416" s="15"/>
      <c r="D3416"/>
      <c r="E3416"/>
      <c r="F3416" s="16"/>
      <c r="G3416"/>
      <c r="H3416"/>
      <c r="I3416" s="16"/>
      <c r="J3416"/>
      <c r="K3416"/>
      <c r="L3416"/>
      <c r="M3416" s="17"/>
      <c r="N3416"/>
      <c r="O3416"/>
      <c r="P3416" s="34"/>
    </row>
    <row r="3417" spans="1:16" x14ac:dyDescent="0.25">
      <c r="A3417" s="14"/>
      <c r="B3417"/>
      <c r="C3417" s="15"/>
      <c r="D3417"/>
      <c r="E3417"/>
      <c r="F3417" s="16"/>
      <c r="G3417"/>
      <c r="H3417"/>
      <c r="I3417" s="16"/>
      <c r="J3417"/>
      <c r="K3417"/>
      <c r="L3417"/>
      <c r="M3417" s="17"/>
      <c r="N3417"/>
      <c r="O3417"/>
      <c r="P3417" s="34"/>
    </row>
    <row r="3418" spans="1:16" x14ac:dyDescent="0.25">
      <c r="A3418" s="14"/>
      <c r="B3418"/>
      <c r="C3418" s="15"/>
      <c r="D3418"/>
      <c r="E3418"/>
      <c r="F3418" s="16"/>
      <c r="G3418"/>
      <c r="H3418"/>
      <c r="I3418" s="16"/>
      <c r="J3418"/>
      <c r="K3418"/>
      <c r="L3418"/>
      <c r="M3418" s="17"/>
      <c r="N3418"/>
      <c r="O3418"/>
      <c r="P3418" s="34"/>
    </row>
    <row r="3419" spans="1:16" x14ac:dyDescent="0.25">
      <c r="A3419" s="14"/>
      <c r="B3419"/>
      <c r="C3419" s="15"/>
      <c r="D3419"/>
      <c r="E3419"/>
      <c r="F3419" s="16"/>
      <c r="G3419"/>
      <c r="H3419"/>
      <c r="I3419" s="16"/>
      <c r="J3419"/>
      <c r="K3419"/>
      <c r="L3419"/>
      <c r="M3419" s="17"/>
      <c r="N3419"/>
      <c r="O3419"/>
      <c r="P3419" s="34"/>
    </row>
    <row r="3420" spans="1:16" x14ac:dyDescent="0.25">
      <c r="A3420" s="14"/>
      <c r="B3420"/>
      <c r="C3420" s="15"/>
      <c r="D3420"/>
      <c r="E3420"/>
      <c r="F3420" s="16"/>
      <c r="G3420"/>
      <c r="H3420"/>
      <c r="I3420" s="16"/>
      <c r="J3420"/>
      <c r="K3420"/>
      <c r="L3420"/>
      <c r="M3420" s="17"/>
      <c r="N3420"/>
      <c r="O3420"/>
      <c r="P3420" s="34"/>
    </row>
    <row r="3421" spans="1:16" x14ac:dyDescent="0.25">
      <c r="A3421" s="14"/>
      <c r="B3421"/>
      <c r="C3421" s="15"/>
      <c r="D3421"/>
      <c r="E3421"/>
      <c r="F3421" s="16"/>
      <c r="G3421"/>
      <c r="H3421"/>
      <c r="I3421" s="16"/>
      <c r="J3421"/>
      <c r="K3421"/>
      <c r="L3421"/>
      <c r="M3421" s="17"/>
      <c r="N3421"/>
      <c r="O3421"/>
      <c r="P3421" s="34"/>
    </row>
    <row r="3422" spans="1:16" x14ac:dyDescent="0.25">
      <c r="A3422" s="14"/>
      <c r="B3422"/>
      <c r="C3422" s="15"/>
      <c r="D3422"/>
      <c r="E3422"/>
      <c r="F3422" s="16"/>
      <c r="G3422"/>
      <c r="H3422"/>
      <c r="I3422" s="16"/>
      <c r="J3422"/>
      <c r="K3422"/>
      <c r="L3422"/>
      <c r="M3422" s="17"/>
      <c r="N3422"/>
      <c r="O3422"/>
      <c r="P3422" s="34"/>
    </row>
    <row r="3423" spans="1:16" x14ac:dyDescent="0.25">
      <c r="A3423" s="14"/>
      <c r="B3423"/>
      <c r="C3423" s="15"/>
      <c r="D3423"/>
      <c r="E3423"/>
      <c r="F3423" s="16"/>
      <c r="G3423"/>
      <c r="H3423"/>
      <c r="I3423" s="16"/>
      <c r="J3423"/>
      <c r="K3423"/>
      <c r="L3423"/>
      <c r="M3423" s="17"/>
      <c r="N3423"/>
      <c r="O3423"/>
      <c r="P3423" s="34"/>
    </row>
    <row r="3424" spans="1:16" x14ac:dyDescent="0.25">
      <c r="A3424" s="14"/>
      <c r="B3424"/>
      <c r="C3424" s="15"/>
      <c r="D3424"/>
      <c r="E3424"/>
      <c r="F3424" s="16"/>
      <c r="G3424"/>
      <c r="H3424"/>
      <c r="I3424" s="16"/>
      <c r="J3424"/>
      <c r="K3424"/>
      <c r="L3424"/>
      <c r="M3424" s="17"/>
      <c r="N3424"/>
      <c r="O3424"/>
      <c r="P3424" s="34"/>
    </row>
    <row r="3425" spans="1:16" x14ac:dyDescent="0.25">
      <c r="A3425" s="14"/>
      <c r="B3425"/>
      <c r="C3425" s="15"/>
      <c r="D3425"/>
      <c r="E3425"/>
      <c r="F3425" s="16"/>
      <c r="G3425"/>
      <c r="H3425"/>
      <c r="I3425" s="16"/>
      <c r="J3425"/>
      <c r="K3425"/>
      <c r="L3425"/>
      <c r="M3425" s="17"/>
      <c r="N3425"/>
      <c r="O3425"/>
      <c r="P3425" s="34"/>
    </row>
    <row r="3426" spans="1:16" x14ac:dyDescent="0.25">
      <c r="A3426" s="14"/>
      <c r="B3426"/>
      <c r="C3426" s="15"/>
      <c r="D3426"/>
      <c r="E3426"/>
      <c r="F3426" s="16"/>
      <c r="G3426"/>
      <c r="H3426"/>
      <c r="I3426" s="16"/>
      <c r="J3426"/>
      <c r="K3426"/>
      <c r="L3426"/>
      <c r="M3426" s="17"/>
      <c r="N3426"/>
      <c r="O3426"/>
      <c r="P3426" s="34"/>
    </row>
    <row r="3427" spans="1:16" x14ac:dyDescent="0.25">
      <c r="A3427" s="14"/>
      <c r="B3427"/>
      <c r="C3427" s="15"/>
      <c r="D3427"/>
      <c r="E3427"/>
      <c r="F3427" s="16"/>
      <c r="G3427"/>
      <c r="H3427"/>
      <c r="I3427" s="16"/>
      <c r="J3427"/>
      <c r="K3427"/>
      <c r="L3427"/>
      <c r="M3427" s="17"/>
      <c r="N3427"/>
      <c r="O3427"/>
      <c r="P3427" s="34"/>
    </row>
    <row r="3428" spans="1:16" x14ac:dyDescent="0.25">
      <c r="A3428" s="14"/>
      <c r="B3428"/>
      <c r="C3428" s="15"/>
      <c r="D3428"/>
      <c r="E3428"/>
      <c r="F3428" s="16"/>
      <c r="G3428"/>
      <c r="H3428"/>
      <c r="I3428" s="16"/>
      <c r="J3428"/>
      <c r="K3428"/>
      <c r="L3428"/>
      <c r="M3428" s="17"/>
      <c r="N3428"/>
      <c r="O3428"/>
      <c r="P3428" s="34"/>
    </row>
    <row r="3429" spans="1:16" x14ac:dyDescent="0.25">
      <c r="A3429" s="14"/>
      <c r="B3429"/>
      <c r="C3429" s="15"/>
      <c r="D3429"/>
      <c r="E3429"/>
      <c r="F3429" s="16"/>
      <c r="G3429"/>
      <c r="H3429"/>
      <c r="I3429" s="16"/>
      <c r="J3429"/>
      <c r="K3429"/>
      <c r="L3429"/>
      <c r="M3429" s="17"/>
      <c r="N3429"/>
      <c r="O3429"/>
      <c r="P3429" s="34"/>
    </row>
    <row r="3430" spans="1:16" x14ac:dyDescent="0.25">
      <c r="A3430" s="14"/>
      <c r="B3430"/>
      <c r="C3430" s="15"/>
      <c r="D3430"/>
      <c r="E3430"/>
      <c r="F3430" s="16"/>
      <c r="G3430"/>
      <c r="H3430"/>
      <c r="I3430" s="16"/>
      <c r="J3430"/>
      <c r="K3430"/>
      <c r="L3430"/>
      <c r="M3430" s="17"/>
      <c r="N3430"/>
      <c r="O3430"/>
      <c r="P3430" s="34"/>
    </row>
    <row r="3431" spans="1:16" x14ac:dyDescent="0.25">
      <c r="A3431" s="14"/>
      <c r="B3431"/>
      <c r="C3431" s="15"/>
      <c r="D3431"/>
      <c r="E3431"/>
      <c r="F3431" s="16"/>
      <c r="G3431"/>
      <c r="H3431"/>
      <c r="I3431" s="16"/>
      <c r="J3431"/>
      <c r="K3431"/>
      <c r="L3431"/>
      <c r="M3431" s="17"/>
      <c r="N3431"/>
      <c r="O3431"/>
      <c r="P3431" s="34"/>
    </row>
    <row r="3432" spans="1:16" x14ac:dyDescent="0.25">
      <c r="A3432" s="14"/>
      <c r="B3432"/>
      <c r="C3432" s="15"/>
      <c r="D3432"/>
      <c r="E3432"/>
      <c r="F3432" s="16"/>
      <c r="G3432"/>
      <c r="H3432"/>
      <c r="I3432" s="16"/>
      <c r="J3432"/>
      <c r="K3432"/>
      <c r="L3432"/>
      <c r="M3432" s="17"/>
      <c r="N3432"/>
      <c r="O3432"/>
      <c r="P3432" s="34"/>
    </row>
    <row r="3433" spans="1:16" x14ac:dyDescent="0.25">
      <c r="A3433" s="14"/>
      <c r="B3433"/>
      <c r="C3433" s="15"/>
      <c r="D3433"/>
      <c r="E3433"/>
      <c r="F3433" s="16"/>
      <c r="G3433"/>
      <c r="H3433"/>
      <c r="I3433" s="16"/>
      <c r="J3433"/>
      <c r="K3433"/>
      <c r="L3433"/>
      <c r="M3433" s="17"/>
      <c r="N3433"/>
      <c r="O3433"/>
      <c r="P3433" s="34"/>
    </row>
    <row r="3434" spans="1:16" x14ac:dyDescent="0.25">
      <c r="A3434" s="14"/>
      <c r="B3434"/>
      <c r="C3434" s="15"/>
      <c r="D3434"/>
      <c r="E3434"/>
      <c r="F3434" s="16"/>
      <c r="G3434"/>
      <c r="H3434"/>
      <c r="I3434" s="16"/>
      <c r="J3434"/>
      <c r="K3434"/>
      <c r="L3434"/>
      <c r="M3434" s="17"/>
      <c r="N3434"/>
      <c r="O3434"/>
      <c r="P3434" s="34"/>
    </row>
    <row r="3435" spans="1:16" x14ac:dyDescent="0.25">
      <c r="A3435" s="14"/>
      <c r="B3435"/>
      <c r="C3435" s="15"/>
      <c r="D3435"/>
      <c r="E3435"/>
      <c r="F3435" s="16"/>
      <c r="G3435"/>
      <c r="H3435"/>
      <c r="I3435" s="16"/>
      <c r="J3435"/>
      <c r="K3435"/>
      <c r="L3435"/>
      <c r="M3435" s="17"/>
      <c r="N3435"/>
      <c r="O3435"/>
      <c r="P3435" s="34"/>
    </row>
    <row r="3436" spans="1:16" x14ac:dyDescent="0.25">
      <c r="A3436" s="14"/>
      <c r="B3436"/>
      <c r="C3436" s="15"/>
      <c r="D3436"/>
      <c r="E3436"/>
      <c r="F3436" s="16"/>
      <c r="G3436"/>
      <c r="H3436"/>
      <c r="I3436" s="16"/>
      <c r="J3436"/>
      <c r="K3436"/>
      <c r="L3436"/>
      <c r="M3436" s="17"/>
      <c r="N3436"/>
      <c r="O3436"/>
      <c r="P3436" s="34"/>
    </row>
    <row r="3437" spans="1:16" x14ac:dyDescent="0.25">
      <c r="A3437" s="14"/>
      <c r="B3437"/>
      <c r="C3437" s="15"/>
      <c r="D3437"/>
      <c r="E3437"/>
      <c r="F3437" s="16"/>
      <c r="G3437"/>
      <c r="H3437"/>
      <c r="I3437" s="16"/>
      <c r="J3437"/>
      <c r="K3437"/>
      <c r="L3437"/>
      <c r="M3437" s="17"/>
      <c r="N3437"/>
      <c r="O3437"/>
      <c r="P3437" s="34"/>
    </row>
    <row r="3438" spans="1:16" x14ac:dyDescent="0.25">
      <c r="A3438" s="14"/>
      <c r="B3438"/>
      <c r="C3438" s="15"/>
      <c r="D3438"/>
      <c r="E3438"/>
      <c r="F3438" s="16"/>
      <c r="G3438"/>
      <c r="H3438"/>
      <c r="I3438" s="16"/>
      <c r="J3438"/>
      <c r="K3438"/>
      <c r="L3438"/>
      <c r="M3438" s="17"/>
      <c r="N3438"/>
      <c r="O3438"/>
      <c r="P3438" s="34"/>
    </row>
    <row r="3439" spans="1:16" x14ac:dyDescent="0.25">
      <c r="A3439" s="14"/>
      <c r="B3439"/>
      <c r="C3439" s="15"/>
      <c r="D3439"/>
      <c r="E3439"/>
      <c r="F3439" s="16"/>
      <c r="G3439"/>
      <c r="H3439"/>
      <c r="I3439" s="16"/>
      <c r="J3439"/>
      <c r="K3439"/>
      <c r="L3439"/>
      <c r="M3439" s="17"/>
      <c r="N3439"/>
      <c r="O3439"/>
      <c r="P3439" s="34"/>
    </row>
    <row r="3440" spans="1:16" x14ac:dyDescent="0.25">
      <c r="A3440" s="14"/>
      <c r="B3440"/>
      <c r="C3440" s="15"/>
      <c r="D3440"/>
      <c r="E3440"/>
      <c r="F3440" s="16"/>
      <c r="G3440"/>
      <c r="H3440"/>
      <c r="I3440" s="16"/>
      <c r="J3440"/>
      <c r="K3440"/>
      <c r="L3440"/>
      <c r="M3440" s="17"/>
      <c r="N3440"/>
      <c r="O3440"/>
      <c r="P3440" s="34"/>
    </row>
    <row r="3441" spans="1:16" x14ac:dyDescent="0.25">
      <c r="A3441" s="14"/>
      <c r="B3441"/>
      <c r="C3441" s="15"/>
      <c r="D3441"/>
      <c r="E3441"/>
      <c r="F3441" s="16"/>
      <c r="G3441"/>
      <c r="H3441"/>
      <c r="I3441" s="16"/>
      <c r="J3441"/>
      <c r="K3441"/>
      <c r="L3441"/>
      <c r="M3441" s="17"/>
      <c r="N3441"/>
      <c r="O3441"/>
      <c r="P3441" s="34"/>
    </row>
    <row r="3442" spans="1:16" x14ac:dyDescent="0.25">
      <c r="A3442" s="14"/>
      <c r="B3442"/>
      <c r="C3442" s="15"/>
      <c r="D3442"/>
      <c r="E3442"/>
      <c r="F3442" s="16"/>
      <c r="G3442"/>
      <c r="H3442"/>
      <c r="I3442" s="16"/>
      <c r="J3442"/>
      <c r="K3442"/>
      <c r="L3442"/>
      <c r="M3442" s="17"/>
      <c r="N3442"/>
      <c r="O3442"/>
      <c r="P3442" s="34"/>
    </row>
    <row r="3443" spans="1:16" x14ac:dyDescent="0.25">
      <c r="A3443" s="14"/>
      <c r="B3443"/>
      <c r="C3443" s="15"/>
      <c r="D3443"/>
      <c r="E3443"/>
      <c r="F3443" s="16"/>
      <c r="G3443"/>
      <c r="H3443"/>
      <c r="I3443" s="16"/>
      <c r="J3443"/>
      <c r="K3443"/>
      <c r="L3443"/>
      <c r="M3443" s="17"/>
      <c r="N3443"/>
      <c r="O3443"/>
      <c r="P3443" s="34"/>
    </row>
    <row r="3444" spans="1:16" x14ac:dyDescent="0.25">
      <c r="A3444" s="14"/>
      <c r="B3444"/>
      <c r="C3444" s="15"/>
      <c r="D3444"/>
      <c r="E3444"/>
      <c r="F3444" s="16"/>
      <c r="G3444"/>
      <c r="H3444"/>
      <c r="I3444" s="16"/>
      <c r="J3444"/>
      <c r="K3444"/>
      <c r="L3444"/>
      <c r="M3444" s="17"/>
      <c r="N3444"/>
      <c r="O3444"/>
      <c r="P3444" s="34"/>
    </row>
    <row r="3445" spans="1:16" x14ac:dyDescent="0.25">
      <c r="A3445" s="14"/>
      <c r="B3445"/>
      <c r="C3445" s="15"/>
      <c r="D3445"/>
      <c r="E3445"/>
      <c r="F3445" s="16"/>
      <c r="G3445"/>
      <c r="H3445"/>
      <c r="I3445" s="16"/>
      <c r="J3445"/>
      <c r="K3445"/>
      <c r="L3445"/>
      <c r="M3445" s="17"/>
      <c r="N3445"/>
      <c r="O3445"/>
      <c r="P3445" s="34"/>
    </row>
    <row r="3446" spans="1:16" x14ac:dyDescent="0.25">
      <c r="A3446" s="14"/>
      <c r="B3446"/>
      <c r="C3446" s="15"/>
      <c r="D3446"/>
      <c r="E3446"/>
      <c r="F3446" s="16"/>
      <c r="G3446"/>
      <c r="H3446"/>
      <c r="I3446" s="16"/>
      <c r="J3446"/>
      <c r="K3446"/>
      <c r="L3446"/>
      <c r="M3446" s="17"/>
      <c r="N3446"/>
      <c r="O3446"/>
      <c r="P3446" s="34"/>
    </row>
    <row r="3447" spans="1:16" x14ac:dyDescent="0.25">
      <c r="A3447" s="14"/>
      <c r="B3447"/>
      <c r="C3447" s="15"/>
      <c r="D3447"/>
      <c r="E3447"/>
      <c r="F3447" s="16"/>
      <c r="G3447"/>
      <c r="H3447"/>
      <c r="I3447" s="16"/>
      <c r="J3447"/>
      <c r="K3447"/>
      <c r="L3447"/>
      <c r="M3447" s="17"/>
      <c r="N3447"/>
      <c r="O3447"/>
      <c r="P3447" s="34"/>
    </row>
    <row r="3448" spans="1:16" x14ac:dyDescent="0.25">
      <c r="A3448" s="14"/>
      <c r="B3448"/>
      <c r="C3448" s="15"/>
      <c r="D3448"/>
      <c r="E3448"/>
      <c r="F3448" s="16"/>
      <c r="G3448"/>
      <c r="H3448"/>
      <c r="I3448" s="16"/>
      <c r="J3448"/>
      <c r="K3448"/>
      <c r="L3448"/>
      <c r="M3448" s="17"/>
      <c r="N3448"/>
      <c r="O3448"/>
      <c r="P3448" s="34"/>
    </row>
    <row r="3449" spans="1:16" x14ac:dyDescent="0.25">
      <c r="A3449" s="14"/>
      <c r="B3449"/>
      <c r="C3449" s="15"/>
      <c r="D3449"/>
      <c r="E3449"/>
      <c r="F3449" s="16"/>
      <c r="G3449"/>
      <c r="H3449"/>
      <c r="I3449" s="16"/>
      <c r="J3449"/>
      <c r="K3449"/>
      <c r="L3449"/>
      <c r="M3449" s="17"/>
      <c r="N3449"/>
      <c r="O3449"/>
      <c r="P3449" s="34"/>
    </row>
    <row r="3450" spans="1:16" x14ac:dyDescent="0.25">
      <c r="A3450" s="14"/>
      <c r="B3450"/>
      <c r="C3450" s="15"/>
      <c r="D3450"/>
      <c r="E3450"/>
      <c r="F3450" s="16"/>
      <c r="G3450"/>
      <c r="H3450"/>
      <c r="I3450" s="16"/>
      <c r="J3450"/>
      <c r="K3450"/>
      <c r="L3450"/>
      <c r="M3450" s="17"/>
      <c r="N3450"/>
      <c r="O3450"/>
      <c r="P3450" s="34"/>
    </row>
    <row r="3451" spans="1:16" x14ac:dyDescent="0.25">
      <c r="A3451" s="14"/>
      <c r="B3451"/>
      <c r="C3451" s="15"/>
      <c r="D3451"/>
      <c r="E3451"/>
      <c r="F3451" s="16"/>
      <c r="G3451"/>
      <c r="H3451"/>
      <c r="I3451" s="16"/>
      <c r="J3451"/>
      <c r="K3451"/>
      <c r="L3451"/>
      <c r="M3451" s="17"/>
      <c r="N3451"/>
      <c r="O3451"/>
      <c r="P3451" s="34"/>
    </row>
    <row r="3452" spans="1:16" x14ac:dyDescent="0.25">
      <c r="A3452" s="14"/>
      <c r="B3452"/>
      <c r="C3452" s="15"/>
      <c r="D3452"/>
      <c r="E3452"/>
      <c r="F3452" s="16"/>
      <c r="G3452"/>
      <c r="H3452"/>
      <c r="I3452" s="16"/>
      <c r="J3452"/>
      <c r="K3452"/>
      <c r="L3452"/>
      <c r="M3452" s="17"/>
      <c r="N3452"/>
      <c r="O3452"/>
      <c r="P3452" s="34"/>
    </row>
    <row r="3453" spans="1:16" x14ac:dyDescent="0.25">
      <c r="A3453" s="14"/>
      <c r="B3453"/>
      <c r="C3453" s="15"/>
      <c r="D3453"/>
      <c r="E3453"/>
      <c r="F3453" s="16"/>
      <c r="G3453"/>
      <c r="H3453"/>
      <c r="I3453" s="16"/>
      <c r="J3453"/>
      <c r="K3453"/>
      <c r="L3453"/>
      <c r="M3453" s="17"/>
      <c r="N3453"/>
      <c r="O3453"/>
      <c r="P3453" s="34"/>
    </row>
    <row r="3454" spans="1:16" x14ac:dyDescent="0.25">
      <c r="A3454" s="14"/>
      <c r="B3454"/>
      <c r="C3454" s="15"/>
      <c r="D3454"/>
      <c r="E3454"/>
      <c r="F3454" s="16"/>
      <c r="G3454"/>
      <c r="H3454"/>
      <c r="I3454" s="16"/>
      <c r="J3454"/>
      <c r="K3454"/>
      <c r="L3454"/>
      <c r="M3454" s="17"/>
      <c r="N3454"/>
      <c r="O3454"/>
      <c r="P3454" s="34"/>
    </row>
    <row r="3455" spans="1:16" x14ac:dyDescent="0.25">
      <c r="A3455" s="14"/>
      <c r="B3455"/>
      <c r="C3455" s="15"/>
      <c r="D3455"/>
      <c r="E3455"/>
      <c r="F3455" s="16"/>
      <c r="G3455"/>
      <c r="H3455"/>
      <c r="I3455" s="16"/>
      <c r="J3455"/>
      <c r="K3455"/>
      <c r="L3455"/>
      <c r="M3455" s="17"/>
      <c r="N3455"/>
      <c r="O3455"/>
      <c r="P3455" s="34"/>
    </row>
    <row r="3456" spans="1:16" x14ac:dyDescent="0.25">
      <c r="A3456" s="14"/>
      <c r="B3456"/>
      <c r="C3456" s="15"/>
      <c r="D3456"/>
      <c r="E3456"/>
      <c r="F3456" s="16"/>
      <c r="G3456"/>
      <c r="H3456"/>
      <c r="I3456" s="16"/>
      <c r="J3456"/>
      <c r="K3456"/>
      <c r="L3456"/>
      <c r="M3456" s="17"/>
      <c r="N3456"/>
      <c r="O3456"/>
      <c r="P3456" s="34"/>
    </row>
    <row r="3457" spans="1:16" x14ac:dyDescent="0.25">
      <c r="A3457" s="14"/>
      <c r="B3457"/>
      <c r="C3457" s="15"/>
      <c r="D3457"/>
      <c r="E3457"/>
      <c r="F3457" s="16"/>
      <c r="G3457"/>
      <c r="H3457"/>
      <c r="I3457" s="16"/>
      <c r="J3457"/>
      <c r="K3457"/>
      <c r="L3457"/>
      <c r="M3457" s="17"/>
      <c r="N3457"/>
      <c r="O3457"/>
      <c r="P3457" s="34"/>
    </row>
    <row r="3458" spans="1:16" x14ac:dyDescent="0.25">
      <c r="A3458" s="14"/>
      <c r="B3458"/>
      <c r="C3458" s="15"/>
      <c r="D3458"/>
      <c r="E3458"/>
      <c r="F3458" s="16"/>
      <c r="G3458"/>
      <c r="H3458"/>
      <c r="I3458" s="16"/>
      <c r="J3458"/>
      <c r="K3458"/>
      <c r="L3458"/>
      <c r="M3458" s="17"/>
      <c r="N3458"/>
      <c r="O3458"/>
      <c r="P3458" s="34"/>
    </row>
    <row r="3459" spans="1:16" x14ac:dyDescent="0.25">
      <c r="A3459" s="14"/>
      <c r="B3459"/>
      <c r="C3459" s="15"/>
      <c r="D3459"/>
      <c r="E3459"/>
      <c r="F3459" s="16"/>
      <c r="G3459"/>
      <c r="H3459"/>
      <c r="I3459" s="16"/>
      <c r="J3459"/>
      <c r="K3459"/>
      <c r="L3459"/>
      <c r="M3459" s="17"/>
      <c r="N3459"/>
      <c r="O3459"/>
      <c r="P3459" s="34"/>
    </row>
    <row r="3460" spans="1:16" x14ac:dyDescent="0.25">
      <c r="A3460" s="14"/>
      <c r="B3460"/>
      <c r="C3460" s="15"/>
      <c r="D3460"/>
      <c r="E3460"/>
      <c r="F3460" s="16"/>
      <c r="G3460"/>
      <c r="H3460"/>
      <c r="I3460" s="16"/>
      <c r="J3460"/>
      <c r="K3460"/>
      <c r="L3460"/>
      <c r="M3460" s="17"/>
      <c r="N3460"/>
      <c r="O3460"/>
      <c r="P3460" s="34"/>
    </row>
    <row r="3461" spans="1:16" x14ac:dyDescent="0.25">
      <c r="A3461" s="14"/>
      <c r="B3461"/>
      <c r="C3461" s="15"/>
      <c r="D3461"/>
      <c r="E3461"/>
      <c r="F3461" s="16"/>
      <c r="G3461"/>
      <c r="H3461"/>
      <c r="I3461" s="16"/>
      <c r="J3461"/>
      <c r="K3461"/>
      <c r="L3461"/>
      <c r="M3461" s="17"/>
      <c r="N3461"/>
      <c r="O3461"/>
      <c r="P3461" s="34"/>
    </row>
    <row r="3462" spans="1:16" x14ac:dyDescent="0.25">
      <c r="A3462" s="14"/>
      <c r="B3462"/>
      <c r="C3462" s="15"/>
      <c r="D3462"/>
      <c r="E3462"/>
      <c r="F3462" s="16"/>
      <c r="G3462"/>
      <c r="H3462"/>
      <c r="I3462" s="16"/>
      <c r="J3462"/>
      <c r="K3462"/>
      <c r="L3462"/>
      <c r="M3462" s="17"/>
      <c r="N3462"/>
      <c r="O3462"/>
      <c r="P3462" s="34"/>
    </row>
    <row r="3463" spans="1:16" x14ac:dyDescent="0.25">
      <c r="A3463" s="14"/>
      <c r="B3463"/>
      <c r="C3463" s="15"/>
      <c r="D3463"/>
      <c r="E3463"/>
      <c r="F3463" s="16"/>
      <c r="G3463"/>
      <c r="H3463"/>
      <c r="I3463" s="16"/>
      <c r="J3463"/>
      <c r="K3463"/>
      <c r="L3463"/>
      <c r="M3463" s="17"/>
      <c r="N3463"/>
      <c r="O3463"/>
      <c r="P3463" s="34"/>
    </row>
    <row r="3464" spans="1:16" x14ac:dyDescent="0.25">
      <c r="A3464" s="14"/>
      <c r="B3464"/>
      <c r="C3464" s="15"/>
      <c r="D3464"/>
      <c r="E3464"/>
      <c r="F3464" s="16"/>
      <c r="G3464"/>
      <c r="H3464"/>
      <c r="I3464" s="16"/>
      <c r="J3464"/>
      <c r="K3464"/>
      <c r="L3464"/>
      <c r="M3464" s="17"/>
      <c r="N3464"/>
      <c r="O3464"/>
      <c r="P3464" s="34"/>
    </row>
    <row r="3465" spans="1:16" x14ac:dyDescent="0.25">
      <c r="A3465" s="14"/>
      <c r="B3465"/>
      <c r="C3465" s="15"/>
      <c r="D3465"/>
      <c r="E3465"/>
      <c r="F3465" s="16"/>
      <c r="G3465"/>
      <c r="H3465"/>
      <c r="I3465" s="16"/>
      <c r="J3465"/>
      <c r="K3465"/>
      <c r="L3465"/>
      <c r="M3465" s="17"/>
      <c r="N3465"/>
      <c r="O3465"/>
      <c r="P3465" s="34"/>
    </row>
    <row r="3466" spans="1:16" x14ac:dyDescent="0.25">
      <c r="A3466" s="14"/>
      <c r="B3466"/>
      <c r="C3466" s="15"/>
      <c r="D3466"/>
      <c r="E3466"/>
      <c r="F3466" s="16"/>
      <c r="G3466"/>
      <c r="H3466"/>
      <c r="I3466" s="16"/>
      <c r="J3466"/>
      <c r="K3466"/>
      <c r="L3466"/>
      <c r="M3466" s="17"/>
      <c r="N3466"/>
      <c r="O3466"/>
      <c r="P3466" s="34"/>
    </row>
    <row r="3467" spans="1:16" x14ac:dyDescent="0.25">
      <c r="A3467" s="14"/>
      <c r="B3467"/>
      <c r="C3467" s="15"/>
      <c r="D3467"/>
      <c r="E3467"/>
      <c r="F3467" s="16"/>
      <c r="G3467"/>
      <c r="H3467"/>
      <c r="I3467" s="16"/>
      <c r="J3467"/>
      <c r="K3467"/>
      <c r="L3467"/>
      <c r="M3467" s="17"/>
      <c r="N3467"/>
      <c r="O3467"/>
      <c r="P3467" s="34"/>
    </row>
    <row r="3468" spans="1:16" x14ac:dyDescent="0.25">
      <c r="A3468" s="14"/>
      <c r="B3468"/>
      <c r="C3468" s="15"/>
      <c r="D3468"/>
      <c r="E3468"/>
      <c r="F3468" s="16"/>
      <c r="G3468"/>
      <c r="H3468"/>
      <c r="I3468" s="16"/>
      <c r="J3468"/>
      <c r="K3468"/>
      <c r="L3468"/>
      <c r="M3468" s="17"/>
      <c r="N3468"/>
      <c r="O3468"/>
      <c r="P3468" s="34"/>
    </row>
    <row r="3469" spans="1:16" x14ac:dyDescent="0.25">
      <c r="A3469" s="14"/>
      <c r="B3469"/>
      <c r="C3469" s="15"/>
      <c r="D3469"/>
      <c r="E3469"/>
      <c r="F3469" s="16"/>
      <c r="G3469"/>
      <c r="H3469"/>
      <c r="I3469" s="16"/>
      <c r="J3469"/>
      <c r="K3469"/>
      <c r="L3469"/>
      <c r="M3469" s="17"/>
      <c r="N3469"/>
      <c r="O3469"/>
      <c r="P3469" s="34"/>
    </row>
    <row r="3470" spans="1:16" x14ac:dyDescent="0.25">
      <c r="A3470" s="14"/>
      <c r="B3470"/>
      <c r="C3470" s="15"/>
      <c r="D3470"/>
      <c r="E3470"/>
      <c r="F3470" s="16"/>
      <c r="G3470"/>
      <c r="H3470"/>
      <c r="I3470" s="16"/>
      <c r="J3470"/>
      <c r="K3470"/>
      <c r="L3470"/>
      <c r="M3470" s="17"/>
      <c r="N3470"/>
      <c r="O3470"/>
      <c r="P3470" s="34"/>
    </row>
    <row r="3471" spans="1:16" x14ac:dyDescent="0.25">
      <c r="A3471" s="14"/>
      <c r="B3471"/>
      <c r="C3471" s="15"/>
      <c r="D3471"/>
      <c r="E3471"/>
      <c r="F3471" s="16"/>
      <c r="G3471"/>
      <c r="H3471"/>
      <c r="I3471" s="16"/>
      <c r="J3471"/>
      <c r="K3471"/>
      <c r="L3471"/>
      <c r="M3471" s="17"/>
      <c r="N3471"/>
      <c r="O3471"/>
      <c r="P3471" s="34"/>
    </row>
    <row r="3472" spans="1:16" x14ac:dyDescent="0.25">
      <c r="A3472" s="14"/>
      <c r="B3472"/>
      <c r="C3472" s="15"/>
      <c r="D3472"/>
      <c r="E3472"/>
      <c r="F3472" s="16"/>
      <c r="G3472"/>
      <c r="H3472"/>
      <c r="I3472" s="16"/>
      <c r="J3472"/>
      <c r="K3472"/>
      <c r="L3472"/>
      <c r="M3472" s="17"/>
      <c r="N3472"/>
      <c r="O3472"/>
      <c r="P3472" s="34"/>
    </row>
    <row r="3473" spans="1:16" x14ac:dyDescent="0.25">
      <c r="A3473" s="14"/>
      <c r="B3473"/>
      <c r="C3473" s="15"/>
      <c r="D3473"/>
      <c r="E3473"/>
      <c r="F3473" s="16"/>
      <c r="G3473"/>
      <c r="H3473"/>
      <c r="I3473" s="16"/>
      <c r="J3473"/>
      <c r="K3473"/>
      <c r="L3473"/>
      <c r="M3473" s="17"/>
      <c r="N3473"/>
      <c r="O3473"/>
      <c r="P3473" s="34"/>
    </row>
    <row r="3474" spans="1:16" x14ac:dyDescent="0.25">
      <c r="A3474" s="14"/>
      <c r="B3474"/>
      <c r="C3474" s="15"/>
      <c r="D3474"/>
      <c r="E3474"/>
      <c r="F3474" s="16"/>
      <c r="G3474"/>
      <c r="H3474"/>
      <c r="I3474" s="16"/>
      <c r="J3474"/>
      <c r="K3474"/>
      <c r="L3474"/>
      <c r="M3474" s="17"/>
      <c r="N3474"/>
      <c r="O3474"/>
      <c r="P3474" s="34"/>
    </row>
    <row r="3475" spans="1:16" x14ac:dyDescent="0.25">
      <c r="A3475" s="14"/>
      <c r="B3475"/>
      <c r="C3475" s="15"/>
      <c r="D3475"/>
      <c r="E3475"/>
      <c r="F3475" s="16"/>
      <c r="G3475"/>
      <c r="H3475"/>
      <c r="I3475" s="16"/>
      <c r="J3475"/>
      <c r="K3475"/>
      <c r="L3475"/>
      <c r="M3475" s="17"/>
      <c r="N3475"/>
      <c r="O3475"/>
      <c r="P3475" s="34"/>
    </row>
    <row r="3476" spans="1:16" x14ac:dyDescent="0.25">
      <c r="A3476" s="14"/>
      <c r="B3476"/>
      <c r="C3476" s="15"/>
      <c r="D3476"/>
      <c r="E3476"/>
      <c r="F3476" s="16"/>
      <c r="G3476"/>
      <c r="H3476"/>
      <c r="I3476" s="16"/>
      <c r="J3476"/>
      <c r="K3476"/>
      <c r="L3476"/>
      <c r="M3476" s="17"/>
      <c r="N3476"/>
      <c r="O3476"/>
      <c r="P3476" s="34"/>
    </row>
    <row r="3477" spans="1:16" x14ac:dyDescent="0.25">
      <c r="A3477" s="14"/>
      <c r="B3477"/>
      <c r="C3477" s="15"/>
      <c r="D3477"/>
      <c r="E3477"/>
      <c r="F3477" s="16"/>
      <c r="G3477"/>
      <c r="H3477"/>
      <c r="I3477" s="16"/>
      <c r="J3477"/>
      <c r="K3477"/>
      <c r="L3477"/>
      <c r="M3477" s="17"/>
      <c r="N3477"/>
      <c r="O3477"/>
      <c r="P3477" s="34"/>
    </row>
    <row r="3478" spans="1:16" x14ac:dyDescent="0.25">
      <c r="A3478" s="14"/>
      <c r="B3478"/>
      <c r="C3478" s="15"/>
      <c r="D3478"/>
      <c r="E3478"/>
      <c r="F3478" s="16"/>
      <c r="G3478"/>
      <c r="H3478"/>
      <c r="I3478" s="16"/>
      <c r="J3478"/>
      <c r="K3478"/>
      <c r="L3478"/>
      <c r="M3478" s="17"/>
      <c r="N3478"/>
      <c r="O3478"/>
      <c r="P3478" s="34"/>
    </row>
    <row r="3479" spans="1:16" x14ac:dyDescent="0.25">
      <c r="A3479" s="14"/>
      <c r="B3479"/>
      <c r="C3479" s="15"/>
      <c r="D3479"/>
      <c r="E3479"/>
      <c r="F3479" s="16"/>
      <c r="G3479"/>
      <c r="H3479"/>
      <c r="I3479" s="16"/>
      <c r="J3479"/>
      <c r="K3479"/>
      <c r="L3479"/>
      <c r="M3479" s="17"/>
      <c r="N3479"/>
      <c r="O3479"/>
      <c r="P3479" s="34"/>
    </row>
    <row r="3480" spans="1:16" x14ac:dyDescent="0.25">
      <c r="A3480" s="14"/>
      <c r="B3480"/>
      <c r="C3480" s="15"/>
      <c r="D3480"/>
      <c r="E3480"/>
      <c r="F3480" s="16"/>
      <c r="G3480"/>
      <c r="H3480"/>
      <c r="I3480" s="16"/>
      <c r="J3480"/>
      <c r="K3480"/>
      <c r="L3480"/>
      <c r="M3480" s="17"/>
      <c r="N3480"/>
      <c r="O3480"/>
      <c r="P3480" s="34"/>
    </row>
    <row r="3481" spans="1:16" x14ac:dyDescent="0.25">
      <c r="A3481" s="14"/>
      <c r="B3481"/>
      <c r="C3481" s="15"/>
      <c r="D3481"/>
      <c r="E3481"/>
      <c r="F3481" s="16"/>
      <c r="G3481"/>
      <c r="H3481"/>
      <c r="I3481" s="16"/>
      <c r="J3481"/>
      <c r="K3481"/>
      <c r="L3481"/>
      <c r="M3481" s="17"/>
      <c r="N3481"/>
      <c r="O3481"/>
      <c r="P3481" s="34"/>
    </row>
    <row r="3482" spans="1:16" x14ac:dyDescent="0.25">
      <c r="A3482" s="14"/>
      <c r="B3482"/>
      <c r="C3482" s="15"/>
      <c r="D3482"/>
      <c r="E3482"/>
      <c r="F3482" s="16"/>
      <c r="G3482"/>
      <c r="H3482"/>
      <c r="I3482" s="16"/>
      <c r="J3482"/>
      <c r="K3482"/>
      <c r="L3482"/>
      <c r="M3482" s="17"/>
      <c r="N3482"/>
      <c r="O3482"/>
      <c r="P3482" s="34"/>
    </row>
    <row r="3483" spans="1:16" x14ac:dyDescent="0.25">
      <c r="A3483" s="14"/>
      <c r="B3483"/>
      <c r="C3483" s="15"/>
      <c r="D3483"/>
      <c r="E3483"/>
      <c r="F3483" s="16"/>
      <c r="G3483"/>
      <c r="H3483"/>
      <c r="I3483" s="16"/>
      <c r="J3483"/>
      <c r="K3483"/>
      <c r="L3483"/>
      <c r="M3483" s="17"/>
      <c r="N3483"/>
      <c r="O3483"/>
      <c r="P3483" s="34"/>
    </row>
    <row r="3484" spans="1:16" x14ac:dyDescent="0.25">
      <c r="A3484" s="14"/>
      <c r="B3484"/>
      <c r="C3484" s="15"/>
      <c r="D3484"/>
      <c r="E3484"/>
      <c r="F3484" s="16"/>
      <c r="G3484"/>
      <c r="H3484"/>
      <c r="I3484" s="16"/>
      <c r="J3484"/>
      <c r="K3484"/>
      <c r="L3484"/>
      <c r="M3484" s="17"/>
      <c r="N3484"/>
      <c r="O3484"/>
      <c r="P3484" s="34"/>
    </row>
    <row r="3485" spans="1:16" x14ac:dyDescent="0.25">
      <c r="A3485" s="14"/>
      <c r="B3485"/>
      <c r="C3485" s="15"/>
      <c r="D3485"/>
      <c r="E3485"/>
      <c r="F3485" s="16"/>
      <c r="G3485"/>
      <c r="H3485"/>
      <c r="I3485" s="16"/>
      <c r="J3485"/>
      <c r="K3485"/>
      <c r="L3485"/>
      <c r="M3485" s="17"/>
      <c r="N3485"/>
      <c r="O3485"/>
      <c r="P3485" s="34"/>
    </row>
    <row r="3486" spans="1:16" x14ac:dyDescent="0.25">
      <c r="A3486" s="14"/>
      <c r="B3486"/>
      <c r="C3486" s="15"/>
      <c r="D3486"/>
      <c r="E3486"/>
      <c r="F3486" s="16"/>
      <c r="G3486"/>
      <c r="H3486"/>
      <c r="I3486" s="16"/>
      <c r="J3486"/>
      <c r="K3486"/>
      <c r="L3486"/>
      <c r="M3486" s="17"/>
      <c r="N3486"/>
      <c r="O3486"/>
      <c r="P3486" s="34"/>
    </row>
    <row r="3487" spans="1:16" x14ac:dyDescent="0.25">
      <c r="A3487" s="14"/>
      <c r="B3487"/>
      <c r="C3487" s="15"/>
      <c r="D3487"/>
      <c r="E3487"/>
      <c r="F3487" s="16"/>
      <c r="G3487"/>
      <c r="H3487"/>
      <c r="I3487" s="16"/>
      <c r="J3487"/>
      <c r="K3487"/>
      <c r="L3487"/>
      <c r="M3487" s="17"/>
      <c r="N3487"/>
      <c r="O3487"/>
      <c r="P3487" s="34"/>
    </row>
    <row r="3488" spans="1:16" x14ac:dyDescent="0.25">
      <c r="A3488" s="14"/>
      <c r="B3488"/>
      <c r="C3488" s="15"/>
      <c r="D3488"/>
      <c r="E3488"/>
      <c r="F3488" s="16"/>
      <c r="G3488"/>
      <c r="H3488"/>
      <c r="I3488" s="16"/>
      <c r="J3488"/>
      <c r="K3488"/>
      <c r="L3488"/>
      <c r="M3488" s="17"/>
      <c r="N3488"/>
      <c r="O3488"/>
      <c r="P3488" s="34"/>
    </row>
    <row r="3489" spans="1:16" x14ac:dyDescent="0.25">
      <c r="A3489" s="14"/>
      <c r="B3489"/>
      <c r="C3489" s="15"/>
      <c r="D3489"/>
      <c r="E3489"/>
      <c r="F3489" s="16"/>
      <c r="G3489"/>
      <c r="H3489"/>
      <c r="I3489" s="16"/>
      <c r="J3489"/>
      <c r="K3489"/>
      <c r="L3489"/>
      <c r="M3489" s="17"/>
      <c r="N3489"/>
      <c r="O3489"/>
      <c r="P3489" s="34"/>
    </row>
    <row r="3490" spans="1:16" x14ac:dyDescent="0.25">
      <c r="A3490" s="14"/>
      <c r="B3490"/>
      <c r="C3490" s="15"/>
      <c r="D3490"/>
      <c r="E3490"/>
      <c r="F3490" s="16"/>
      <c r="G3490"/>
      <c r="H3490"/>
      <c r="I3490" s="16"/>
      <c r="J3490"/>
      <c r="K3490"/>
      <c r="L3490"/>
      <c r="M3490" s="17"/>
      <c r="N3490"/>
      <c r="O3490"/>
      <c r="P3490" s="34"/>
    </row>
    <row r="3491" spans="1:16" x14ac:dyDescent="0.25">
      <c r="A3491" s="14"/>
      <c r="B3491"/>
      <c r="C3491" s="15"/>
      <c r="D3491"/>
      <c r="E3491"/>
      <c r="F3491" s="16"/>
      <c r="G3491"/>
      <c r="H3491"/>
      <c r="I3491" s="16"/>
      <c r="J3491"/>
      <c r="K3491"/>
      <c r="L3491"/>
      <c r="M3491" s="17"/>
      <c r="N3491"/>
      <c r="O3491"/>
      <c r="P3491" s="34"/>
    </row>
    <row r="3492" spans="1:16" x14ac:dyDescent="0.25">
      <c r="A3492" s="14"/>
      <c r="B3492"/>
      <c r="C3492" s="15"/>
      <c r="D3492"/>
      <c r="E3492"/>
      <c r="F3492" s="16"/>
      <c r="G3492"/>
      <c r="H3492"/>
      <c r="I3492" s="16"/>
      <c r="J3492"/>
      <c r="K3492"/>
      <c r="L3492"/>
      <c r="M3492" s="17"/>
      <c r="N3492"/>
      <c r="O3492"/>
      <c r="P3492" s="34"/>
    </row>
    <row r="3493" spans="1:16" x14ac:dyDescent="0.25">
      <c r="A3493" s="14"/>
      <c r="B3493"/>
      <c r="C3493" s="15"/>
      <c r="D3493"/>
      <c r="E3493"/>
      <c r="F3493" s="16"/>
      <c r="G3493"/>
      <c r="H3493"/>
      <c r="I3493" s="16"/>
      <c r="J3493"/>
      <c r="K3493"/>
      <c r="L3493"/>
      <c r="M3493" s="17"/>
      <c r="N3493"/>
      <c r="O3493"/>
      <c r="P3493" s="34"/>
    </row>
    <row r="3494" spans="1:16" x14ac:dyDescent="0.25">
      <c r="A3494" s="14"/>
      <c r="B3494"/>
      <c r="C3494" s="15"/>
      <c r="D3494"/>
      <c r="E3494"/>
      <c r="F3494" s="16"/>
      <c r="G3494"/>
      <c r="H3494"/>
      <c r="I3494" s="16"/>
      <c r="J3494"/>
      <c r="K3494"/>
      <c r="L3494"/>
      <c r="M3494" s="17"/>
      <c r="N3494"/>
      <c r="O3494"/>
      <c r="P3494" s="34"/>
    </row>
    <row r="3495" spans="1:16" x14ac:dyDescent="0.25">
      <c r="A3495" s="14"/>
      <c r="B3495"/>
      <c r="C3495" s="15"/>
      <c r="D3495"/>
      <c r="E3495"/>
      <c r="F3495" s="16"/>
      <c r="G3495"/>
      <c r="H3495"/>
      <c r="I3495" s="16"/>
      <c r="J3495"/>
      <c r="K3495"/>
      <c r="L3495"/>
      <c r="M3495" s="17"/>
      <c r="N3495"/>
      <c r="O3495"/>
      <c r="P3495" s="34"/>
    </row>
    <row r="3496" spans="1:16" x14ac:dyDescent="0.25">
      <c r="A3496" s="14"/>
      <c r="B3496"/>
      <c r="C3496" s="15"/>
      <c r="D3496"/>
      <c r="E3496"/>
      <c r="F3496" s="16"/>
      <c r="G3496"/>
      <c r="H3496"/>
      <c r="I3496" s="16"/>
      <c r="J3496"/>
      <c r="K3496"/>
      <c r="L3496"/>
      <c r="M3496" s="17"/>
      <c r="N3496"/>
      <c r="O3496"/>
      <c r="P3496" s="34"/>
    </row>
    <row r="3497" spans="1:16" x14ac:dyDescent="0.25">
      <c r="A3497" s="14"/>
      <c r="B3497"/>
      <c r="C3497" s="15"/>
      <c r="D3497"/>
      <c r="E3497"/>
      <c r="F3497" s="16"/>
      <c r="G3497"/>
      <c r="H3497"/>
      <c r="I3497" s="16"/>
      <c r="J3497"/>
      <c r="K3497"/>
      <c r="L3497"/>
      <c r="M3497" s="17"/>
      <c r="N3497"/>
      <c r="O3497"/>
      <c r="P3497" s="34"/>
    </row>
    <row r="3498" spans="1:16" x14ac:dyDescent="0.25">
      <c r="A3498" s="14"/>
      <c r="B3498"/>
      <c r="C3498" s="15"/>
      <c r="D3498"/>
      <c r="E3498"/>
      <c r="F3498" s="16"/>
      <c r="G3498"/>
      <c r="H3498"/>
      <c r="I3498" s="16"/>
      <c r="J3498"/>
      <c r="K3498"/>
      <c r="L3498"/>
      <c r="M3498" s="17"/>
      <c r="N3498"/>
      <c r="O3498"/>
      <c r="P3498" s="34"/>
    </row>
    <row r="3499" spans="1:16" x14ac:dyDescent="0.25">
      <c r="A3499" s="14"/>
      <c r="B3499"/>
      <c r="C3499" s="15"/>
      <c r="D3499"/>
      <c r="E3499"/>
      <c r="F3499" s="16"/>
      <c r="G3499"/>
      <c r="H3499"/>
      <c r="I3499" s="16"/>
      <c r="J3499"/>
      <c r="K3499"/>
      <c r="L3499"/>
      <c r="M3499" s="17"/>
      <c r="N3499"/>
      <c r="O3499"/>
      <c r="P3499" s="34"/>
    </row>
    <row r="3500" spans="1:16" x14ac:dyDescent="0.25">
      <c r="A3500" s="14"/>
      <c r="B3500"/>
      <c r="C3500" s="15"/>
      <c r="D3500"/>
      <c r="E3500"/>
      <c r="F3500" s="16"/>
      <c r="G3500"/>
      <c r="H3500"/>
      <c r="I3500" s="16"/>
      <c r="J3500"/>
      <c r="K3500"/>
      <c r="L3500"/>
      <c r="M3500" s="17"/>
      <c r="N3500"/>
      <c r="O3500"/>
      <c r="P3500" s="34"/>
    </row>
    <row r="3501" spans="1:16" x14ac:dyDescent="0.25">
      <c r="A3501" s="14"/>
      <c r="B3501"/>
      <c r="C3501" s="15"/>
      <c r="D3501"/>
      <c r="E3501"/>
      <c r="F3501" s="16"/>
      <c r="G3501"/>
      <c r="H3501"/>
      <c r="I3501" s="16"/>
      <c r="J3501"/>
      <c r="K3501"/>
      <c r="L3501"/>
      <c r="M3501" s="17"/>
      <c r="N3501"/>
      <c r="O3501"/>
      <c r="P3501" s="34"/>
    </row>
    <row r="3502" spans="1:16" x14ac:dyDescent="0.25">
      <c r="A3502" s="14"/>
      <c r="B3502"/>
      <c r="C3502" s="15"/>
      <c r="D3502"/>
      <c r="E3502"/>
      <c r="F3502" s="16"/>
      <c r="G3502"/>
      <c r="H3502"/>
      <c r="I3502" s="16"/>
      <c r="J3502"/>
      <c r="K3502"/>
      <c r="L3502"/>
      <c r="M3502" s="17"/>
      <c r="N3502"/>
      <c r="O3502"/>
      <c r="P3502" s="34"/>
    </row>
    <row r="3503" spans="1:16" x14ac:dyDescent="0.25">
      <c r="A3503" s="14"/>
      <c r="B3503"/>
      <c r="C3503" s="15"/>
      <c r="D3503"/>
      <c r="E3503"/>
      <c r="F3503" s="16"/>
      <c r="G3503"/>
      <c r="H3503"/>
      <c r="I3503" s="16"/>
      <c r="J3503"/>
      <c r="K3503"/>
      <c r="L3503"/>
      <c r="M3503" s="17"/>
      <c r="N3503"/>
      <c r="O3503"/>
      <c r="P3503" s="34"/>
    </row>
    <row r="3504" spans="1:16" x14ac:dyDescent="0.25">
      <c r="A3504" s="14"/>
      <c r="B3504"/>
      <c r="C3504" s="15"/>
      <c r="D3504"/>
      <c r="E3504"/>
      <c r="F3504" s="16"/>
      <c r="G3504"/>
      <c r="H3504"/>
      <c r="I3504" s="16"/>
      <c r="J3504"/>
      <c r="K3504"/>
      <c r="L3504"/>
      <c r="M3504" s="17"/>
      <c r="N3504"/>
      <c r="O3504"/>
      <c r="P3504" s="34"/>
    </row>
    <row r="3505" spans="1:16" x14ac:dyDescent="0.25">
      <c r="A3505" s="14"/>
      <c r="B3505"/>
      <c r="C3505" s="15"/>
      <c r="D3505"/>
      <c r="E3505"/>
      <c r="F3505" s="16"/>
      <c r="G3505"/>
      <c r="H3505"/>
      <c r="I3505" s="16"/>
      <c r="J3505"/>
      <c r="K3505"/>
      <c r="L3505"/>
      <c r="M3505" s="17"/>
      <c r="N3505"/>
      <c r="O3505"/>
      <c r="P3505" s="34"/>
    </row>
    <row r="3506" spans="1:16" x14ac:dyDescent="0.25">
      <c r="A3506" s="14"/>
      <c r="B3506"/>
      <c r="C3506" s="15"/>
      <c r="D3506"/>
      <c r="E3506"/>
      <c r="F3506" s="16"/>
      <c r="G3506"/>
      <c r="H3506"/>
      <c r="I3506" s="16"/>
      <c r="J3506"/>
      <c r="K3506"/>
      <c r="L3506"/>
      <c r="M3506" s="17"/>
      <c r="N3506"/>
      <c r="O3506"/>
      <c r="P3506" s="34"/>
    </row>
    <row r="3507" spans="1:16" x14ac:dyDescent="0.25">
      <c r="A3507" s="14"/>
      <c r="B3507"/>
      <c r="C3507" s="15"/>
      <c r="D3507"/>
      <c r="E3507"/>
      <c r="F3507" s="16"/>
      <c r="G3507"/>
      <c r="H3507"/>
      <c r="I3507" s="16"/>
      <c r="J3507"/>
      <c r="K3507"/>
      <c r="L3507"/>
      <c r="M3507" s="17"/>
      <c r="N3507"/>
      <c r="O3507"/>
      <c r="P3507" s="34"/>
    </row>
    <row r="3508" spans="1:16" x14ac:dyDescent="0.25">
      <c r="A3508" s="14"/>
      <c r="B3508"/>
      <c r="C3508" s="15"/>
      <c r="D3508"/>
      <c r="E3508"/>
      <c r="F3508" s="16"/>
      <c r="G3508"/>
      <c r="H3508"/>
      <c r="I3508" s="16"/>
      <c r="J3508"/>
      <c r="K3508"/>
      <c r="L3508"/>
      <c r="M3508" s="17"/>
      <c r="N3508"/>
      <c r="O3508"/>
      <c r="P3508" s="34"/>
    </row>
    <row r="3509" spans="1:16" x14ac:dyDescent="0.25">
      <c r="A3509" s="14"/>
      <c r="B3509"/>
      <c r="C3509" s="15"/>
      <c r="D3509"/>
      <c r="E3509"/>
      <c r="F3509" s="16"/>
      <c r="G3509"/>
      <c r="H3509"/>
      <c r="I3509" s="16"/>
      <c r="J3509"/>
      <c r="K3509"/>
      <c r="L3509"/>
      <c r="M3509" s="17"/>
      <c r="N3509"/>
      <c r="O3509"/>
      <c r="P3509" s="34"/>
    </row>
    <row r="3510" spans="1:16" x14ac:dyDescent="0.25">
      <c r="A3510" s="14"/>
      <c r="B3510"/>
      <c r="C3510" s="15"/>
      <c r="D3510"/>
      <c r="E3510"/>
      <c r="F3510" s="16"/>
      <c r="G3510"/>
      <c r="H3510"/>
      <c r="I3510" s="16"/>
      <c r="J3510"/>
      <c r="K3510"/>
      <c r="L3510"/>
      <c r="M3510" s="17"/>
      <c r="N3510"/>
      <c r="O3510"/>
      <c r="P3510" s="34"/>
    </row>
    <row r="3511" spans="1:16" x14ac:dyDescent="0.25">
      <c r="A3511" s="14"/>
      <c r="B3511"/>
      <c r="C3511" s="15"/>
      <c r="D3511"/>
      <c r="E3511"/>
      <c r="F3511" s="16"/>
      <c r="G3511"/>
      <c r="H3511"/>
      <c r="I3511" s="16"/>
      <c r="J3511"/>
      <c r="K3511"/>
      <c r="L3511"/>
      <c r="M3511" s="17"/>
      <c r="N3511"/>
      <c r="O3511"/>
      <c r="P3511" s="34"/>
    </row>
    <row r="3512" spans="1:16" x14ac:dyDescent="0.25">
      <c r="A3512" s="14"/>
      <c r="B3512"/>
      <c r="C3512" s="15"/>
      <c r="D3512"/>
      <c r="E3512"/>
      <c r="F3512" s="16"/>
      <c r="G3512"/>
      <c r="H3512"/>
      <c r="I3512" s="16"/>
      <c r="J3512"/>
      <c r="K3512"/>
      <c r="L3512"/>
      <c r="M3512" s="17"/>
      <c r="N3512"/>
      <c r="O3512"/>
      <c r="P3512" s="34"/>
    </row>
    <row r="3513" spans="1:16" x14ac:dyDescent="0.25">
      <c r="A3513" s="14"/>
      <c r="B3513"/>
      <c r="C3513" s="15"/>
      <c r="D3513"/>
      <c r="E3513"/>
      <c r="F3513" s="16"/>
      <c r="G3513"/>
      <c r="H3513"/>
      <c r="I3513" s="16"/>
      <c r="J3513"/>
      <c r="K3513"/>
      <c r="L3513"/>
      <c r="M3513" s="17"/>
      <c r="N3513"/>
      <c r="O3513"/>
      <c r="P3513" s="34"/>
    </row>
    <row r="3514" spans="1:16" x14ac:dyDescent="0.25">
      <c r="A3514" s="14"/>
      <c r="B3514"/>
      <c r="C3514" s="15"/>
      <c r="D3514"/>
      <c r="E3514"/>
      <c r="F3514" s="16"/>
      <c r="G3514"/>
      <c r="H3514"/>
      <c r="I3514" s="16"/>
      <c r="J3514"/>
      <c r="K3514"/>
      <c r="L3514"/>
      <c r="M3514" s="17"/>
      <c r="N3514"/>
      <c r="O3514"/>
      <c r="P3514" s="34"/>
    </row>
    <row r="3515" spans="1:16" x14ac:dyDescent="0.25">
      <c r="A3515" s="14"/>
      <c r="B3515"/>
      <c r="C3515" s="15"/>
      <c r="D3515"/>
      <c r="E3515"/>
      <c r="F3515" s="16"/>
      <c r="G3515"/>
      <c r="H3515"/>
      <c r="I3515" s="16"/>
      <c r="J3515"/>
      <c r="K3515"/>
      <c r="L3515"/>
      <c r="M3515" s="17"/>
      <c r="N3515"/>
      <c r="O3515"/>
      <c r="P3515" s="34"/>
    </row>
    <row r="3516" spans="1:16" x14ac:dyDescent="0.25">
      <c r="A3516" s="14"/>
      <c r="B3516"/>
      <c r="C3516" s="15"/>
      <c r="D3516"/>
      <c r="E3516"/>
      <c r="F3516" s="16"/>
      <c r="G3516"/>
      <c r="H3516"/>
      <c r="I3516" s="16"/>
      <c r="J3516"/>
      <c r="K3516"/>
      <c r="L3516"/>
      <c r="M3516" s="17"/>
      <c r="N3516"/>
      <c r="O3516"/>
      <c r="P3516" s="34"/>
    </row>
    <row r="3517" spans="1:16" x14ac:dyDescent="0.25">
      <c r="A3517" s="14"/>
      <c r="B3517"/>
      <c r="C3517" s="15"/>
      <c r="D3517"/>
      <c r="E3517"/>
      <c r="F3517" s="16"/>
      <c r="G3517"/>
      <c r="H3517"/>
      <c r="I3517" s="16"/>
      <c r="J3517"/>
      <c r="K3517"/>
      <c r="L3517"/>
      <c r="M3517" s="17"/>
      <c r="N3517"/>
      <c r="O3517"/>
      <c r="P3517" s="34"/>
    </row>
    <row r="3518" spans="1:16" x14ac:dyDescent="0.25">
      <c r="A3518" s="14"/>
      <c r="B3518"/>
      <c r="C3518" s="15"/>
      <c r="D3518"/>
      <c r="E3518"/>
      <c r="F3518" s="16"/>
      <c r="G3518"/>
      <c r="H3518"/>
      <c r="I3518" s="16"/>
      <c r="J3518"/>
      <c r="K3518"/>
      <c r="L3518"/>
      <c r="M3518" s="17"/>
      <c r="N3518"/>
      <c r="O3518"/>
      <c r="P3518" s="34"/>
    </row>
    <row r="3519" spans="1:16" x14ac:dyDescent="0.25">
      <c r="A3519" s="14"/>
      <c r="B3519"/>
      <c r="C3519" s="15"/>
      <c r="D3519"/>
      <c r="E3519"/>
      <c r="F3519" s="16"/>
      <c r="G3519"/>
      <c r="H3519"/>
      <c r="I3519" s="16"/>
      <c r="J3519"/>
      <c r="K3519"/>
      <c r="L3519"/>
      <c r="M3519" s="17"/>
      <c r="N3519"/>
      <c r="O3519"/>
      <c r="P3519" s="34"/>
    </row>
    <row r="3520" spans="1:16" x14ac:dyDescent="0.25">
      <c r="A3520" s="14"/>
      <c r="B3520"/>
      <c r="C3520" s="15"/>
      <c r="D3520"/>
      <c r="E3520"/>
      <c r="F3520" s="16"/>
      <c r="G3520"/>
      <c r="H3520"/>
      <c r="I3520" s="16"/>
      <c r="J3520"/>
      <c r="K3520"/>
      <c r="L3520"/>
      <c r="M3520" s="17"/>
      <c r="N3520"/>
      <c r="O3520"/>
      <c r="P3520" s="34"/>
    </row>
    <row r="3521" spans="1:16" x14ac:dyDescent="0.25">
      <c r="A3521" s="14"/>
      <c r="B3521"/>
      <c r="C3521" s="15"/>
      <c r="D3521"/>
      <c r="E3521"/>
      <c r="F3521" s="16"/>
      <c r="G3521"/>
      <c r="H3521"/>
      <c r="I3521" s="16"/>
      <c r="J3521"/>
      <c r="K3521"/>
      <c r="L3521"/>
      <c r="M3521" s="17"/>
      <c r="N3521"/>
      <c r="O3521"/>
      <c r="P3521" s="34"/>
    </row>
    <row r="3522" spans="1:16" x14ac:dyDescent="0.25">
      <c r="A3522" s="14"/>
      <c r="B3522"/>
      <c r="C3522" s="15"/>
      <c r="D3522"/>
      <c r="E3522"/>
      <c r="F3522" s="16"/>
      <c r="G3522"/>
      <c r="H3522"/>
      <c r="I3522" s="16"/>
      <c r="J3522"/>
      <c r="K3522"/>
      <c r="L3522"/>
      <c r="M3522" s="17"/>
      <c r="N3522"/>
      <c r="O3522"/>
      <c r="P3522" s="34"/>
    </row>
    <row r="3523" spans="1:16" x14ac:dyDescent="0.25">
      <c r="A3523" s="14"/>
      <c r="B3523"/>
      <c r="C3523" s="15"/>
      <c r="D3523"/>
      <c r="E3523"/>
      <c r="F3523" s="16"/>
      <c r="G3523"/>
      <c r="H3523"/>
      <c r="I3523" s="16"/>
      <c r="J3523"/>
      <c r="K3523"/>
      <c r="L3523"/>
      <c r="M3523" s="17"/>
      <c r="N3523"/>
      <c r="O3523"/>
      <c r="P3523" s="34"/>
    </row>
    <row r="3524" spans="1:16" x14ac:dyDescent="0.25">
      <c r="A3524" s="14"/>
      <c r="B3524"/>
      <c r="C3524" s="15"/>
      <c r="D3524"/>
      <c r="E3524"/>
      <c r="F3524" s="16"/>
      <c r="G3524"/>
      <c r="H3524"/>
      <c r="I3524" s="16"/>
      <c r="J3524"/>
      <c r="K3524"/>
      <c r="L3524"/>
      <c r="M3524" s="17"/>
      <c r="N3524"/>
      <c r="O3524"/>
      <c r="P3524" s="34"/>
    </row>
    <row r="3525" spans="1:16" x14ac:dyDescent="0.25">
      <c r="A3525" s="14"/>
      <c r="B3525"/>
      <c r="C3525" s="15"/>
      <c r="D3525"/>
      <c r="E3525"/>
      <c r="F3525" s="16"/>
      <c r="G3525"/>
      <c r="H3525"/>
      <c r="I3525" s="16"/>
      <c r="J3525"/>
      <c r="K3525"/>
      <c r="L3525"/>
      <c r="M3525" s="17"/>
      <c r="N3525"/>
      <c r="O3525"/>
      <c r="P3525" s="34"/>
    </row>
    <row r="3526" spans="1:16" x14ac:dyDescent="0.25">
      <c r="A3526" s="14"/>
      <c r="B3526"/>
      <c r="C3526" s="15"/>
      <c r="D3526"/>
      <c r="E3526"/>
      <c r="F3526" s="16"/>
      <c r="G3526"/>
      <c r="H3526"/>
      <c r="I3526" s="16"/>
      <c r="J3526"/>
      <c r="K3526"/>
      <c r="L3526"/>
      <c r="M3526" s="17"/>
      <c r="N3526"/>
      <c r="O3526"/>
      <c r="P3526" s="34"/>
    </row>
    <row r="3527" spans="1:16" x14ac:dyDescent="0.25">
      <c r="A3527" s="14"/>
      <c r="B3527"/>
      <c r="C3527" s="15"/>
      <c r="D3527"/>
      <c r="E3527"/>
      <c r="F3527" s="16"/>
      <c r="G3527"/>
      <c r="H3527"/>
      <c r="I3527" s="16"/>
      <c r="J3527"/>
      <c r="K3527"/>
      <c r="L3527"/>
      <c r="M3527" s="17"/>
      <c r="N3527"/>
      <c r="O3527"/>
      <c r="P3527" s="34"/>
    </row>
    <row r="3528" spans="1:16" x14ac:dyDescent="0.25">
      <c r="A3528" s="14"/>
      <c r="B3528"/>
      <c r="C3528" s="15"/>
      <c r="D3528"/>
      <c r="E3528"/>
      <c r="F3528" s="16"/>
      <c r="G3528"/>
      <c r="H3528"/>
      <c r="I3528" s="16"/>
      <c r="J3528"/>
      <c r="K3528"/>
      <c r="L3528"/>
      <c r="M3528" s="17"/>
      <c r="N3528"/>
      <c r="O3528"/>
      <c r="P3528" s="34"/>
    </row>
    <row r="3529" spans="1:16" x14ac:dyDescent="0.25">
      <c r="A3529" s="14"/>
      <c r="B3529"/>
      <c r="C3529" s="15"/>
      <c r="D3529"/>
      <c r="E3529"/>
      <c r="F3529" s="16"/>
      <c r="G3529"/>
      <c r="H3529"/>
      <c r="I3529" s="16"/>
      <c r="J3529"/>
      <c r="K3529"/>
      <c r="L3529"/>
      <c r="M3529" s="17"/>
      <c r="N3529"/>
      <c r="O3529"/>
      <c r="P3529" s="34"/>
    </row>
    <row r="3530" spans="1:16" x14ac:dyDescent="0.25">
      <c r="A3530" s="14"/>
      <c r="B3530"/>
      <c r="C3530" s="15"/>
      <c r="D3530"/>
      <c r="E3530"/>
      <c r="F3530" s="16"/>
      <c r="G3530"/>
      <c r="H3530"/>
      <c r="I3530" s="16"/>
      <c r="J3530"/>
      <c r="K3530"/>
      <c r="L3530"/>
      <c r="M3530" s="17"/>
      <c r="N3530"/>
      <c r="O3530"/>
      <c r="P3530" s="34"/>
    </row>
    <row r="3531" spans="1:16" x14ac:dyDescent="0.25">
      <c r="A3531" s="14"/>
      <c r="B3531"/>
      <c r="C3531" s="15"/>
      <c r="D3531"/>
      <c r="E3531"/>
      <c r="F3531" s="16"/>
      <c r="G3531"/>
      <c r="H3531"/>
      <c r="I3531" s="16"/>
      <c r="J3531"/>
      <c r="K3531"/>
      <c r="L3531"/>
      <c r="M3531" s="17"/>
      <c r="N3531"/>
      <c r="O3531"/>
      <c r="P3531" s="34"/>
    </row>
    <row r="3532" spans="1:16" x14ac:dyDescent="0.25">
      <c r="A3532" s="14"/>
      <c r="B3532"/>
      <c r="C3532" s="15"/>
      <c r="D3532"/>
      <c r="E3532"/>
      <c r="F3532" s="16"/>
      <c r="G3532"/>
      <c r="H3532"/>
      <c r="I3532" s="16"/>
      <c r="J3532"/>
      <c r="K3532"/>
      <c r="L3532"/>
      <c r="M3532" s="17"/>
      <c r="N3532"/>
      <c r="O3532"/>
      <c r="P3532" s="34"/>
    </row>
    <row r="3533" spans="1:16" x14ac:dyDescent="0.25">
      <c r="A3533" s="14"/>
      <c r="B3533"/>
      <c r="C3533" s="15"/>
      <c r="D3533"/>
      <c r="E3533"/>
      <c r="F3533" s="16"/>
      <c r="G3533"/>
      <c r="H3533"/>
      <c r="I3533" s="16"/>
      <c r="J3533"/>
      <c r="K3533"/>
      <c r="L3533"/>
      <c r="M3533" s="17"/>
      <c r="N3533"/>
      <c r="O3533"/>
      <c r="P3533" s="34"/>
    </row>
    <row r="3534" spans="1:16" x14ac:dyDescent="0.25">
      <c r="A3534" s="14"/>
      <c r="B3534"/>
      <c r="C3534" s="15"/>
      <c r="D3534"/>
      <c r="E3534"/>
      <c r="F3534" s="16"/>
      <c r="G3534"/>
      <c r="H3534"/>
      <c r="I3534" s="16"/>
      <c r="J3534"/>
      <c r="K3534"/>
      <c r="L3534"/>
      <c r="M3534" s="17"/>
      <c r="N3534"/>
      <c r="O3534"/>
      <c r="P3534" s="34"/>
    </row>
    <row r="3535" spans="1:16" x14ac:dyDescent="0.25">
      <c r="A3535" s="14"/>
      <c r="B3535"/>
      <c r="C3535" s="15"/>
      <c r="D3535"/>
      <c r="E3535"/>
      <c r="F3535" s="16"/>
      <c r="G3535"/>
      <c r="H3535"/>
      <c r="I3535" s="16"/>
      <c r="J3535"/>
      <c r="K3535"/>
      <c r="L3535"/>
      <c r="M3535" s="17"/>
      <c r="N3535"/>
      <c r="O3535"/>
      <c r="P3535" s="34"/>
    </row>
    <row r="3536" spans="1:16" x14ac:dyDescent="0.25">
      <c r="A3536" s="14"/>
      <c r="B3536"/>
      <c r="C3536" s="15"/>
      <c r="D3536"/>
      <c r="E3536"/>
      <c r="F3536" s="16"/>
      <c r="G3536"/>
      <c r="H3536"/>
      <c r="I3536" s="16"/>
      <c r="J3536"/>
      <c r="K3536"/>
      <c r="L3536"/>
      <c r="M3536" s="17"/>
      <c r="N3536"/>
      <c r="O3536"/>
      <c r="P3536" s="34"/>
    </row>
    <row r="3537" spans="1:16" x14ac:dyDescent="0.25">
      <c r="A3537" s="14"/>
      <c r="B3537"/>
      <c r="C3537" s="15"/>
      <c r="D3537"/>
      <c r="E3537"/>
      <c r="F3537" s="16"/>
      <c r="G3537"/>
      <c r="H3537"/>
      <c r="I3537" s="16"/>
      <c r="J3537"/>
      <c r="K3537"/>
      <c r="L3537"/>
      <c r="M3537" s="17"/>
      <c r="N3537"/>
      <c r="O3537"/>
      <c r="P3537" s="34"/>
    </row>
    <row r="3538" spans="1:16" x14ac:dyDescent="0.25">
      <c r="A3538" s="14"/>
      <c r="B3538"/>
      <c r="C3538" s="15"/>
      <c r="D3538"/>
      <c r="E3538"/>
      <c r="F3538" s="16"/>
      <c r="G3538"/>
      <c r="H3538"/>
      <c r="I3538" s="16"/>
      <c r="J3538"/>
      <c r="K3538"/>
      <c r="L3538"/>
      <c r="M3538" s="17"/>
      <c r="N3538"/>
      <c r="O3538"/>
      <c r="P3538" s="34"/>
    </row>
    <row r="3539" spans="1:16" x14ac:dyDescent="0.25">
      <c r="A3539" s="14"/>
      <c r="B3539"/>
      <c r="C3539" s="15"/>
      <c r="D3539"/>
      <c r="E3539"/>
      <c r="F3539" s="16"/>
      <c r="G3539"/>
      <c r="H3539"/>
      <c r="I3539" s="16"/>
      <c r="J3539"/>
      <c r="K3539"/>
      <c r="L3539"/>
      <c r="M3539" s="17"/>
      <c r="N3539"/>
      <c r="O3539"/>
      <c r="P3539" s="34"/>
    </row>
    <row r="3540" spans="1:16" x14ac:dyDescent="0.25">
      <c r="A3540" s="14"/>
      <c r="B3540"/>
      <c r="C3540" s="15"/>
      <c r="D3540"/>
      <c r="E3540"/>
      <c r="F3540" s="16"/>
      <c r="G3540"/>
      <c r="H3540"/>
      <c r="I3540" s="16"/>
      <c r="J3540"/>
      <c r="K3540"/>
      <c r="L3540"/>
      <c r="M3540" s="17"/>
      <c r="N3540"/>
      <c r="O3540"/>
      <c r="P3540" s="34"/>
    </row>
    <row r="3541" spans="1:16" x14ac:dyDescent="0.25">
      <c r="A3541" s="14"/>
      <c r="B3541"/>
      <c r="C3541" s="15"/>
      <c r="D3541"/>
      <c r="E3541"/>
      <c r="F3541" s="16"/>
      <c r="G3541"/>
      <c r="H3541"/>
      <c r="I3541" s="16"/>
      <c r="J3541"/>
      <c r="K3541"/>
      <c r="L3541"/>
      <c r="M3541" s="17"/>
      <c r="N3541"/>
      <c r="O3541"/>
      <c r="P3541" s="34"/>
    </row>
    <row r="3542" spans="1:16" x14ac:dyDescent="0.25">
      <c r="A3542" s="14"/>
      <c r="B3542"/>
      <c r="C3542" s="15"/>
      <c r="D3542"/>
      <c r="E3542"/>
      <c r="F3542" s="16"/>
      <c r="G3542"/>
      <c r="H3542"/>
      <c r="I3542" s="16"/>
      <c r="J3542"/>
      <c r="K3542"/>
      <c r="L3542"/>
      <c r="M3542" s="17"/>
      <c r="N3542"/>
      <c r="O3542"/>
      <c r="P3542" s="34"/>
    </row>
    <row r="3543" spans="1:16" x14ac:dyDescent="0.25">
      <c r="A3543" s="14"/>
      <c r="B3543"/>
      <c r="C3543" s="15"/>
      <c r="D3543"/>
      <c r="E3543"/>
      <c r="F3543" s="16"/>
      <c r="G3543"/>
      <c r="H3543"/>
      <c r="I3543" s="16"/>
      <c r="J3543"/>
      <c r="K3543"/>
      <c r="L3543"/>
      <c r="M3543" s="17"/>
      <c r="N3543"/>
      <c r="O3543"/>
      <c r="P3543" s="34"/>
    </row>
    <row r="3544" spans="1:16" x14ac:dyDescent="0.25">
      <c r="A3544" s="14"/>
      <c r="B3544"/>
      <c r="C3544" s="15"/>
      <c r="D3544"/>
      <c r="E3544"/>
      <c r="F3544" s="16"/>
      <c r="G3544"/>
      <c r="H3544"/>
      <c r="I3544" s="16"/>
      <c r="J3544"/>
      <c r="K3544"/>
      <c r="L3544"/>
      <c r="M3544" s="17"/>
      <c r="N3544"/>
      <c r="O3544"/>
      <c r="P3544" s="34"/>
    </row>
    <row r="3545" spans="1:16" x14ac:dyDescent="0.25">
      <c r="A3545" s="14"/>
      <c r="B3545"/>
      <c r="C3545" s="15"/>
      <c r="D3545"/>
      <c r="E3545"/>
      <c r="F3545" s="16"/>
      <c r="G3545"/>
      <c r="H3545"/>
      <c r="I3545" s="16"/>
      <c r="J3545"/>
      <c r="K3545"/>
      <c r="L3545"/>
      <c r="M3545" s="17"/>
      <c r="N3545"/>
      <c r="O3545"/>
      <c r="P3545" s="34"/>
    </row>
    <row r="3546" spans="1:16" x14ac:dyDescent="0.25">
      <c r="A3546" s="14"/>
      <c r="B3546"/>
      <c r="C3546" s="15"/>
      <c r="D3546"/>
      <c r="E3546"/>
      <c r="F3546" s="16"/>
      <c r="G3546"/>
      <c r="H3546"/>
      <c r="I3546" s="16"/>
      <c r="J3546"/>
      <c r="K3546"/>
      <c r="L3546"/>
      <c r="M3546" s="17"/>
      <c r="N3546"/>
      <c r="O3546"/>
      <c r="P3546" s="34"/>
    </row>
    <row r="3547" spans="1:16" x14ac:dyDescent="0.25">
      <c r="A3547" s="14"/>
      <c r="B3547"/>
      <c r="C3547" s="15"/>
      <c r="D3547"/>
      <c r="E3547"/>
      <c r="F3547" s="16"/>
      <c r="G3547"/>
      <c r="H3547"/>
      <c r="I3547" s="16"/>
      <c r="J3547"/>
      <c r="K3547"/>
      <c r="L3547"/>
      <c r="M3547" s="17"/>
      <c r="N3547"/>
      <c r="O3547"/>
      <c r="P3547" s="34"/>
    </row>
    <row r="3548" spans="1:16" x14ac:dyDescent="0.25">
      <c r="A3548" s="14"/>
      <c r="B3548"/>
      <c r="C3548" s="15"/>
      <c r="D3548"/>
      <c r="E3548"/>
      <c r="F3548" s="16"/>
      <c r="G3548"/>
      <c r="H3548"/>
      <c r="I3548" s="16"/>
      <c r="J3548"/>
      <c r="K3548"/>
      <c r="L3548"/>
      <c r="M3548" s="17"/>
      <c r="N3548"/>
      <c r="O3548"/>
      <c r="P3548" s="34"/>
    </row>
    <row r="3549" spans="1:16" x14ac:dyDescent="0.25">
      <c r="A3549" s="14"/>
      <c r="B3549"/>
      <c r="C3549" s="15"/>
      <c r="D3549"/>
      <c r="E3549"/>
      <c r="F3549" s="16"/>
      <c r="G3549"/>
      <c r="H3549"/>
      <c r="I3549" s="16"/>
      <c r="J3549"/>
      <c r="K3549"/>
      <c r="L3549"/>
      <c r="M3549" s="17"/>
      <c r="N3549"/>
      <c r="O3549"/>
      <c r="P3549" s="34"/>
    </row>
    <row r="3550" spans="1:16" x14ac:dyDescent="0.25">
      <c r="A3550" s="14"/>
      <c r="B3550"/>
      <c r="C3550" s="15"/>
      <c r="D3550"/>
      <c r="E3550"/>
      <c r="F3550" s="16"/>
      <c r="G3550"/>
      <c r="H3550"/>
      <c r="I3550" s="16"/>
      <c r="J3550"/>
      <c r="K3550"/>
      <c r="L3550"/>
      <c r="M3550" s="17"/>
      <c r="N3550"/>
      <c r="O3550"/>
      <c r="P3550" s="34"/>
    </row>
    <row r="3551" spans="1:16" x14ac:dyDescent="0.25">
      <c r="A3551" s="14"/>
      <c r="B3551"/>
      <c r="C3551" s="15"/>
      <c r="D3551"/>
      <c r="E3551"/>
      <c r="F3551" s="16"/>
      <c r="G3551"/>
      <c r="H3551"/>
      <c r="I3551" s="16"/>
      <c r="J3551"/>
      <c r="K3551"/>
      <c r="L3551"/>
      <c r="M3551" s="17"/>
      <c r="N3551"/>
      <c r="O3551"/>
      <c r="P3551" s="34"/>
    </row>
    <row r="3552" spans="1:16" x14ac:dyDescent="0.25">
      <c r="A3552" s="14"/>
      <c r="B3552"/>
      <c r="C3552" s="15"/>
      <c r="D3552"/>
      <c r="E3552"/>
      <c r="F3552" s="16"/>
      <c r="G3552"/>
      <c r="H3552"/>
      <c r="I3552" s="16"/>
      <c r="J3552"/>
      <c r="K3552"/>
      <c r="L3552"/>
      <c r="M3552" s="17"/>
      <c r="N3552"/>
      <c r="O3552"/>
      <c r="P3552" s="34"/>
    </row>
    <row r="3553" spans="1:16" x14ac:dyDescent="0.25">
      <c r="A3553" s="14"/>
      <c r="B3553"/>
      <c r="C3553" s="15"/>
      <c r="D3553"/>
      <c r="E3553"/>
      <c r="F3553" s="16"/>
      <c r="G3553"/>
      <c r="H3553"/>
      <c r="I3553" s="16"/>
      <c r="J3553"/>
      <c r="K3553"/>
      <c r="L3553"/>
      <c r="M3553" s="17"/>
      <c r="N3553"/>
      <c r="O3553"/>
      <c r="P3553" s="34"/>
    </row>
    <row r="3554" spans="1:16" x14ac:dyDescent="0.25">
      <c r="A3554" s="14"/>
      <c r="B3554"/>
      <c r="C3554" s="15"/>
      <c r="D3554"/>
      <c r="E3554"/>
      <c r="F3554" s="16"/>
      <c r="G3554"/>
      <c r="H3554"/>
      <c r="I3554" s="16"/>
      <c r="J3554"/>
      <c r="K3554"/>
      <c r="L3554"/>
      <c r="M3554" s="17"/>
      <c r="N3554"/>
      <c r="O3554"/>
      <c r="P3554" s="34"/>
    </row>
    <row r="3555" spans="1:16" x14ac:dyDescent="0.25">
      <c r="A3555" s="14"/>
      <c r="B3555"/>
      <c r="C3555" s="15"/>
      <c r="D3555"/>
      <c r="E3555"/>
      <c r="F3555" s="16"/>
      <c r="G3555"/>
      <c r="H3555"/>
      <c r="I3555" s="16"/>
      <c r="J3555"/>
      <c r="K3555"/>
      <c r="L3555"/>
      <c r="M3555" s="17"/>
      <c r="N3555"/>
      <c r="O3555"/>
      <c r="P3555" s="34"/>
    </row>
    <row r="3556" spans="1:16" x14ac:dyDescent="0.25">
      <c r="A3556" s="14"/>
      <c r="B3556"/>
      <c r="C3556" s="15"/>
      <c r="D3556"/>
      <c r="E3556"/>
      <c r="F3556" s="16"/>
      <c r="G3556"/>
      <c r="H3556"/>
      <c r="I3556" s="16"/>
      <c r="J3556"/>
      <c r="K3556"/>
      <c r="L3556"/>
      <c r="M3556" s="17"/>
      <c r="N3556"/>
      <c r="O3556"/>
      <c r="P3556" s="34"/>
    </row>
    <row r="3557" spans="1:16" x14ac:dyDescent="0.25">
      <c r="A3557" s="14"/>
      <c r="B3557"/>
      <c r="C3557" s="15"/>
      <c r="D3557"/>
      <c r="E3557"/>
      <c r="F3557" s="16"/>
      <c r="G3557"/>
      <c r="H3557"/>
      <c r="I3557" s="16"/>
      <c r="J3557"/>
      <c r="K3557"/>
      <c r="L3557"/>
      <c r="M3557" s="17"/>
      <c r="N3557"/>
      <c r="O3557"/>
      <c r="P3557" s="34"/>
    </row>
    <row r="3558" spans="1:16" x14ac:dyDescent="0.25">
      <c r="A3558" s="14"/>
      <c r="B3558"/>
      <c r="C3558" s="15"/>
      <c r="D3558"/>
      <c r="E3558"/>
      <c r="F3558" s="16"/>
      <c r="G3558"/>
      <c r="H3558"/>
      <c r="I3558" s="16"/>
      <c r="J3558"/>
      <c r="K3558"/>
      <c r="L3558"/>
      <c r="M3558" s="17"/>
      <c r="N3558"/>
      <c r="O3558"/>
      <c r="P3558" s="34"/>
    </row>
    <row r="3559" spans="1:16" x14ac:dyDescent="0.25">
      <c r="A3559" s="14"/>
      <c r="B3559"/>
      <c r="C3559" s="15"/>
      <c r="D3559"/>
      <c r="E3559"/>
      <c r="F3559" s="16"/>
      <c r="G3559"/>
      <c r="H3559"/>
      <c r="I3559" s="16"/>
      <c r="J3559"/>
      <c r="K3559"/>
      <c r="L3559"/>
      <c r="M3559" s="17"/>
      <c r="N3559"/>
      <c r="O3559"/>
      <c r="P3559" s="34"/>
    </row>
    <row r="3560" spans="1:16" x14ac:dyDescent="0.25">
      <c r="A3560" s="14"/>
      <c r="B3560"/>
      <c r="C3560" s="15"/>
      <c r="D3560"/>
      <c r="E3560"/>
      <c r="F3560" s="16"/>
      <c r="G3560"/>
      <c r="H3560"/>
      <c r="I3560" s="16"/>
      <c r="J3560"/>
      <c r="K3560"/>
      <c r="L3560"/>
      <c r="M3560" s="17"/>
      <c r="N3560"/>
      <c r="O3560"/>
      <c r="P3560" s="34"/>
    </row>
    <row r="3561" spans="1:16" x14ac:dyDescent="0.25">
      <c r="A3561" s="14"/>
      <c r="B3561"/>
      <c r="C3561" s="15"/>
      <c r="D3561"/>
      <c r="E3561"/>
      <c r="F3561" s="16"/>
      <c r="G3561"/>
      <c r="H3561"/>
      <c r="I3561" s="16"/>
      <c r="J3561"/>
      <c r="K3561"/>
      <c r="L3561"/>
      <c r="M3561" s="17"/>
      <c r="N3561"/>
      <c r="O3561"/>
      <c r="P3561" s="34"/>
    </row>
    <row r="3562" spans="1:16" x14ac:dyDescent="0.25">
      <c r="A3562" s="14"/>
      <c r="B3562"/>
      <c r="C3562" s="15"/>
      <c r="D3562"/>
      <c r="E3562"/>
      <c r="F3562" s="16"/>
      <c r="G3562"/>
      <c r="H3562"/>
      <c r="I3562" s="16"/>
      <c r="J3562"/>
      <c r="K3562"/>
      <c r="L3562"/>
      <c r="M3562" s="17"/>
      <c r="N3562"/>
      <c r="O3562"/>
      <c r="P3562" s="34"/>
    </row>
    <row r="3563" spans="1:16" x14ac:dyDescent="0.25">
      <c r="A3563" s="14"/>
      <c r="B3563"/>
      <c r="C3563" s="15"/>
      <c r="D3563"/>
      <c r="E3563"/>
      <c r="F3563" s="16"/>
      <c r="G3563"/>
      <c r="H3563"/>
      <c r="I3563" s="16"/>
      <c r="J3563"/>
      <c r="K3563"/>
      <c r="L3563"/>
      <c r="M3563" s="17"/>
      <c r="N3563"/>
      <c r="O3563"/>
      <c r="P3563" s="34"/>
    </row>
    <row r="3564" spans="1:16" x14ac:dyDescent="0.25">
      <c r="A3564" s="14"/>
      <c r="B3564"/>
      <c r="C3564" s="15"/>
      <c r="D3564"/>
      <c r="E3564"/>
      <c r="F3564" s="16"/>
      <c r="G3564"/>
      <c r="H3564"/>
      <c r="I3564" s="16"/>
      <c r="J3564"/>
      <c r="K3564"/>
      <c r="L3564"/>
      <c r="M3564" s="17"/>
      <c r="N3564"/>
      <c r="O3564"/>
      <c r="P3564" s="34"/>
    </row>
    <row r="3565" spans="1:16" x14ac:dyDescent="0.25">
      <c r="A3565" s="14"/>
      <c r="B3565"/>
      <c r="C3565" s="15"/>
      <c r="D3565"/>
      <c r="E3565"/>
      <c r="F3565" s="16"/>
      <c r="G3565"/>
      <c r="H3565"/>
      <c r="I3565" s="16"/>
      <c r="J3565"/>
      <c r="K3565"/>
      <c r="L3565"/>
      <c r="M3565" s="17"/>
      <c r="N3565"/>
      <c r="O3565"/>
      <c r="P3565" s="34"/>
    </row>
    <row r="3566" spans="1:16" x14ac:dyDescent="0.25">
      <c r="A3566" s="14"/>
      <c r="B3566"/>
      <c r="C3566" s="15"/>
      <c r="D3566"/>
      <c r="E3566"/>
      <c r="F3566" s="16"/>
      <c r="G3566"/>
      <c r="H3566"/>
      <c r="I3566" s="16"/>
      <c r="J3566"/>
      <c r="K3566"/>
      <c r="L3566"/>
      <c r="M3566" s="17"/>
      <c r="N3566"/>
      <c r="O3566"/>
      <c r="P3566" s="34"/>
    </row>
    <row r="3567" spans="1:16" x14ac:dyDescent="0.25">
      <c r="A3567" s="14"/>
      <c r="B3567"/>
      <c r="C3567" s="15"/>
      <c r="D3567"/>
      <c r="E3567"/>
      <c r="F3567" s="16"/>
      <c r="G3567"/>
      <c r="H3567"/>
      <c r="I3567" s="16"/>
      <c r="J3567"/>
      <c r="K3567"/>
      <c r="L3567"/>
      <c r="M3567" s="17"/>
      <c r="N3567"/>
      <c r="O3567"/>
      <c r="P3567" s="34"/>
    </row>
    <row r="3568" spans="1:16" x14ac:dyDescent="0.25">
      <c r="A3568" s="14"/>
      <c r="B3568"/>
      <c r="C3568" s="15"/>
      <c r="D3568"/>
      <c r="E3568"/>
      <c r="F3568" s="16"/>
      <c r="G3568"/>
      <c r="H3568"/>
      <c r="I3568" s="16"/>
      <c r="J3568"/>
      <c r="K3568"/>
      <c r="L3568"/>
      <c r="M3568" s="17"/>
      <c r="N3568"/>
      <c r="O3568"/>
      <c r="P3568" s="34"/>
    </row>
    <row r="3569" spans="1:16" x14ac:dyDescent="0.25">
      <c r="A3569" s="14"/>
      <c r="B3569"/>
      <c r="C3569" s="15"/>
      <c r="D3569"/>
      <c r="E3569"/>
      <c r="F3569" s="16"/>
      <c r="G3569"/>
      <c r="H3569"/>
      <c r="I3569" s="16"/>
      <c r="J3569"/>
      <c r="K3569"/>
      <c r="L3569"/>
      <c r="M3569" s="17"/>
      <c r="N3569"/>
      <c r="O3569"/>
      <c r="P3569" s="34"/>
    </row>
    <row r="3570" spans="1:16" x14ac:dyDescent="0.25">
      <c r="A3570" s="14"/>
      <c r="B3570"/>
      <c r="C3570" s="15"/>
      <c r="D3570"/>
      <c r="E3570"/>
      <c r="F3570" s="16"/>
      <c r="G3570"/>
      <c r="H3570"/>
      <c r="I3570" s="16"/>
      <c r="J3570"/>
      <c r="K3570"/>
      <c r="L3570"/>
      <c r="M3570" s="17"/>
      <c r="N3570"/>
      <c r="O3570"/>
      <c r="P3570" s="34"/>
    </row>
    <row r="3571" spans="1:16" x14ac:dyDescent="0.25">
      <c r="A3571" s="14"/>
      <c r="B3571"/>
      <c r="C3571" s="15"/>
      <c r="D3571"/>
      <c r="E3571"/>
      <c r="F3571" s="16"/>
      <c r="G3571"/>
      <c r="H3571"/>
      <c r="I3571" s="16"/>
      <c r="J3571"/>
      <c r="K3571"/>
      <c r="L3571"/>
      <c r="M3571" s="17"/>
      <c r="N3571"/>
      <c r="O3571"/>
      <c r="P3571" s="34"/>
    </row>
    <row r="3572" spans="1:16" x14ac:dyDescent="0.25">
      <c r="A3572" s="14"/>
      <c r="B3572"/>
      <c r="C3572" s="15"/>
      <c r="D3572"/>
      <c r="E3572"/>
      <c r="F3572" s="16"/>
      <c r="G3572"/>
      <c r="H3572"/>
      <c r="I3572" s="16"/>
      <c r="J3572"/>
      <c r="K3572"/>
      <c r="L3572"/>
      <c r="M3572" s="17"/>
      <c r="N3572"/>
      <c r="O3572"/>
      <c r="P3572" s="34"/>
    </row>
    <row r="3573" spans="1:16" x14ac:dyDescent="0.25">
      <c r="A3573" s="14"/>
      <c r="B3573"/>
      <c r="C3573" s="15"/>
      <c r="D3573"/>
      <c r="E3573"/>
      <c r="F3573" s="16"/>
      <c r="G3573"/>
      <c r="H3573"/>
      <c r="I3573" s="16"/>
      <c r="J3573"/>
      <c r="K3573"/>
      <c r="L3573"/>
      <c r="M3573" s="17"/>
      <c r="N3573"/>
      <c r="O3573"/>
      <c r="P3573" s="34"/>
    </row>
    <row r="3574" spans="1:16" x14ac:dyDescent="0.25">
      <c r="A3574" s="14"/>
      <c r="B3574"/>
      <c r="C3574" s="15"/>
      <c r="D3574"/>
      <c r="E3574"/>
      <c r="F3574" s="16"/>
      <c r="G3574"/>
      <c r="H3574"/>
      <c r="I3574" s="16"/>
      <c r="J3574"/>
      <c r="K3574"/>
      <c r="L3574"/>
      <c r="M3574" s="17"/>
      <c r="N3574"/>
      <c r="O3574"/>
      <c r="P3574" s="34"/>
    </row>
    <row r="3575" spans="1:16" x14ac:dyDescent="0.25">
      <c r="A3575" s="14"/>
      <c r="B3575"/>
      <c r="C3575" s="15"/>
      <c r="D3575"/>
      <c r="E3575"/>
      <c r="F3575" s="16"/>
      <c r="G3575"/>
      <c r="H3575"/>
      <c r="I3575" s="16"/>
      <c r="J3575"/>
      <c r="K3575"/>
      <c r="L3575"/>
      <c r="M3575" s="17"/>
      <c r="N3575"/>
      <c r="O3575"/>
      <c r="P3575" s="34"/>
    </row>
    <row r="3576" spans="1:16" x14ac:dyDescent="0.25">
      <c r="A3576" s="14"/>
      <c r="B3576"/>
      <c r="C3576" s="15"/>
      <c r="D3576"/>
      <c r="E3576"/>
      <c r="F3576" s="16"/>
      <c r="G3576"/>
      <c r="H3576"/>
      <c r="I3576" s="16"/>
      <c r="J3576"/>
      <c r="K3576"/>
      <c r="L3576"/>
      <c r="M3576" s="17"/>
      <c r="N3576"/>
      <c r="O3576"/>
      <c r="P3576" s="34"/>
    </row>
    <row r="3577" spans="1:16" x14ac:dyDescent="0.25">
      <c r="A3577" s="14"/>
      <c r="B3577"/>
      <c r="C3577" s="15"/>
      <c r="D3577"/>
      <c r="E3577"/>
      <c r="F3577" s="16"/>
      <c r="G3577"/>
      <c r="H3577"/>
      <c r="I3577" s="16"/>
      <c r="J3577"/>
      <c r="K3577"/>
      <c r="L3577"/>
      <c r="M3577" s="17"/>
      <c r="N3577"/>
      <c r="O3577"/>
      <c r="P3577" s="34"/>
    </row>
    <row r="3578" spans="1:16" x14ac:dyDescent="0.25">
      <c r="A3578" s="14"/>
      <c r="B3578"/>
      <c r="C3578" s="15"/>
      <c r="D3578"/>
      <c r="E3578"/>
      <c r="F3578" s="16"/>
      <c r="G3578"/>
      <c r="H3578"/>
      <c r="I3578" s="16"/>
      <c r="J3578"/>
      <c r="K3578"/>
      <c r="L3578"/>
      <c r="M3578" s="17"/>
      <c r="N3578"/>
      <c r="O3578"/>
      <c r="P3578" s="34"/>
    </row>
    <row r="3579" spans="1:16" x14ac:dyDescent="0.25">
      <c r="A3579" s="14"/>
      <c r="B3579"/>
      <c r="C3579" s="15"/>
      <c r="D3579"/>
      <c r="E3579"/>
      <c r="F3579" s="16"/>
      <c r="G3579"/>
      <c r="H3579"/>
      <c r="I3579" s="16"/>
      <c r="J3579"/>
      <c r="K3579"/>
      <c r="L3579"/>
      <c r="M3579" s="17"/>
      <c r="N3579"/>
      <c r="O3579"/>
      <c r="P3579" s="34"/>
    </row>
    <row r="3580" spans="1:16" x14ac:dyDescent="0.25">
      <c r="A3580" s="14"/>
      <c r="B3580"/>
      <c r="C3580" s="15"/>
      <c r="D3580"/>
      <c r="E3580"/>
      <c r="F3580" s="16"/>
      <c r="G3580"/>
      <c r="H3580"/>
      <c r="I3580" s="16"/>
      <c r="J3580"/>
      <c r="K3580"/>
      <c r="L3580"/>
      <c r="M3580" s="17"/>
      <c r="N3580"/>
      <c r="O3580"/>
      <c r="P3580" s="34"/>
    </row>
    <row r="3581" spans="1:16" x14ac:dyDescent="0.25">
      <c r="A3581" s="14"/>
      <c r="B3581"/>
      <c r="C3581" s="15"/>
      <c r="D3581"/>
      <c r="E3581"/>
      <c r="F3581" s="16"/>
      <c r="G3581"/>
      <c r="H3581"/>
      <c r="I3581" s="16"/>
      <c r="J3581"/>
      <c r="K3581"/>
      <c r="L3581"/>
      <c r="M3581" s="17"/>
      <c r="N3581"/>
      <c r="O3581"/>
      <c r="P3581" s="34"/>
    </row>
    <row r="3582" spans="1:16" x14ac:dyDescent="0.25">
      <c r="A3582" s="14"/>
      <c r="B3582"/>
      <c r="C3582" s="15"/>
      <c r="D3582"/>
      <c r="E3582"/>
      <c r="F3582" s="16"/>
      <c r="G3582"/>
      <c r="H3582"/>
      <c r="I3582" s="16"/>
      <c r="J3582"/>
      <c r="K3582"/>
      <c r="L3582"/>
      <c r="M3582" s="17"/>
      <c r="N3582"/>
      <c r="O3582"/>
      <c r="P3582" s="34"/>
    </row>
    <row r="3583" spans="1:16" x14ac:dyDescent="0.25">
      <c r="A3583" s="14"/>
      <c r="B3583"/>
      <c r="C3583" s="15"/>
      <c r="D3583"/>
      <c r="E3583"/>
      <c r="F3583" s="16"/>
      <c r="G3583"/>
      <c r="H3583"/>
      <c r="I3583" s="16"/>
      <c r="J3583"/>
      <c r="K3583"/>
      <c r="L3583"/>
      <c r="M3583" s="17"/>
      <c r="N3583"/>
      <c r="O3583"/>
      <c r="P3583" s="34"/>
    </row>
    <row r="3584" spans="1:16" x14ac:dyDescent="0.25">
      <c r="A3584" s="14"/>
      <c r="B3584"/>
      <c r="C3584" s="15"/>
      <c r="D3584"/>
      <c r="E3584"/>
      <c r="F3584" s="16"/>
      <c r="G3584"/>
      <c r="H3584"/>
      <c r="I3584" s="16"/>
      <c r="J3584"/>
      <c r="K3584"/>
      <c r="L3584"/>
      <c r="M3584" s="17"/>
      <c r="N3584"/>
      <c r="O3584"/>
      <c r="P3584" s="34"/>
    </row>
    <row r="3585" spans="1:16" x14ac:dyDescent="0.25">
      <c r="A3585" s="14"/>
      <c r="B3585"/>
      <c r="C3585" s="15"/>
      <c r="D3585"/>
      <c r="E3585"/>
      <c r="F3585" s="16"/>
      <c r="G3585"/>
      <c r="H3585"/>
      <c r="I3585" s="16"/>
      <c r="J3585"/>
      <c r="K3585"/>
      <c r="L3585"/>
      <c r="M3585" s="17"/>
      <c r="N3585"/>
      <c r="O3585"/>
      <c r="P3585" s="34"/>
    </row>
    <row r="3586" spans="1:16" x14ac:dyDescent="0.25">
      <c r="A3586" s="14"/>
      <c r="B3586"/>
      <c r="C3586" s="15"/>
      <c r="D3586"/>
      <c r="E3586"/>
      <c r="F3586" s="16"/>
      <c r="G3586"/>
      <c r="H3586"/>
      <c r="I3586" s="16"/>
      <c r="J3586"/>
      <c r="K3586"/>
      <c r="L3586"/>
      <c r="M3586" s="17"/>
      <c r="N3586"/>
      <c r="O3586"/>
      <c r="P3586" s="34"/>
    </row>
    <row r="3587" spans="1:16" x14ac:dyDescent="0.25">
      <c r="A3587" s="14"/>
      <c r="B3587"/>
      <c r="C3587" s="15"/>
      <c r="D3587"/>
      <c r="E3587"/>
      <c r="F3587" s="16"/>
      <c r="G3587"/>
      <c r="H3587"/>
      <c r="I3587" s="16"/>
      <c r="J3587"/>
      <c r="K3587"/>
      <c r="L3587"/>
      <c r="M3587" s="17"/>
      <c r="N3587"/>
      <c r="O3587"/>
      <c r="P3587" s="34"/>
    </row>
    <row r="3588" spans="1:16" x14ac:dyDescent="0.25">
      <c r="A3588" s="14"/>
      <c r="B3588"/>
      <c r="C3588" s="15"/>
      <c r="D3588"/>
      <c r="E3588"/>
      <c r="F3588" s="16"/>
      <c r="G3588"/>
      <c r="H3588"/>
      <c r="I3588" s="16"/>
      <c r="J3588"/>
      <c r="K3588"/>
      <c r="L3588"/>
      <c r="M3588" s="17"/>
      <c r="N3588"/>
      <c r="O3588"/>
      <c r="P3588" s="34"/>
    </row>
    <row r="3589" spans="1:16" x14ac:dyDescent="0.25">
      <c r="A3589" s="14"/>
      <c r="B3589"/>
      <c r="C3589" s="15"/>
      <c r="D3589"/>
      <c r="E3589"/>
      <c r="F3589" s="16"/>
      <c r="G3589"/>
      <c r="H3589"/>
      <c r="I3589" s="16"/>
      <c r="J3589"/>
      <c r="K3589"/>
      <c r="L3589"/>
      <c r="M3589" s="17"/>
      <c r="N3589"/>
      <c r="O3589"/>
      <c r="P3589" s="34"/>
    </row>
    <row r="3590" spans="1:16" x14ac:dyDescent="0.25">
      <c r="A3590" s="14"/>
      <c r="B3590"/>
      <c r="C3590" s="15"/>
      <c r="D3590"/>
      <c r="E3590"/>
      <c r="F3590" s="16"/>
      <c r="G3590"/>
      <c r="H3590"/>
      <c r="I3590" s="16"/>
      <c r="J3590"/>
      <c r="K3590"/>
      <c r="L3590"/>
      <c r="M3590" s="17"/>
      <c r="N3590"/>
      <c r="O3590"/>
      <c r="P3590" s="34"/>
    </row>
    <row r="3591" spans="1:16" x14ac:dyDescent="0.25">
      <c r="A3591" s="14"/>
      <c r="B3591"/>
      <c r="C3591" s="15"/>
      <c r="D3591"/>
      <c r="E3591"/>
      <c r="F3591" s="16"/>
      <c r="G3591"/>
      <c r="H3591"/>
      <c r="I3591" s="16"/>
      <c r="J3591"/>
      <c r="K3591"/>
      <c r="L3591"/>
      <c r="M3591" s="17"/>
      <c r="N3591"/>
      <c r="O3591"/>
      <c r="P3591" s="34"/>
    </row>
    <row r="3592" spans="1:16" x14ac:dyDescent="0.25">
      <c r="A3592" s="14"/>
      <c r="B3592"/>
      <c r="C3592" s="15"/>
      <c r="D3592"/>
      <c r="E3592"/>
      <c r="F3592" s="16"/>
      <c r="G3592"/>
      <c r="H3592"/>
      <c r="I3592" s="16"/>
      <c r="J3592"/>
      <c r="K3592"/>
      <c r="L3592"/>
      <c r="M3592" s="17"/>
      <c r="N3592"/>
      <c r="O3592"/>
      <c r="P3592" s="34"/>
    </row>
    <row r="3593" spans="1:16" x14ac:dyDescent="0.25">
      <c r="A3593" s="14"/>
      <c r="B3593"/>
      <c r="C3593" s="15"/>
      <c r="D3593"/>
      <c r="E3593"/>
      <c r="F3593" s="16"/>
      <c r="G3593"/>
      <c r="H3593"/>
      <c r="I3593" s="16"/>
      <c r="J3593"/>
      <c r="K3593"/>
      <c r="L3593"/>
      <c r="M3593" s="17"/>
      <c r="N3593"/>
      <c r="O3593"/>
      <c r="P3593" s="34"/>
    </row>
    <row r="3594" spans="1:16" x14ac:dyDescent="0.25">
      <c r="A3594" s="14"/>
      <c r="B3594"/>
      <c r="C3594" s="15"/>
      <c r="D3594"/>
      <c r="E3594"/>
      <c r="F3594" s="16"/>
      <c r="G3594"/>
      <c r="H3594"/>
      <c r="I3594" s="16"/>
      <c r="J3594"/>
      <c r="K3594"/>
      <c r="L3594"/>
      <c r="M3594" s="17"/>
      <c r="N3594"/>
      <c r="O3594"/>
      <c r="P3594" s="34"/>
    </row>
    <row r="3595" spans="1:16" x14ac:dyDescent="0.25">
      <c r="A3595" s="14"/>
      <c r="B3595"/>
      <c r="C3595" s="15"/>
      <c r="D3595"/>
      <c r="E3595"/>
      <c r="F3595" s="16"/>
      <c r="G3595"/>
      <c r="H3595"/>
      <c r="I3595" s="16"/>
      <c r="J3595"/>
      <c r="K3595"/>
      <c r="L3595"/>
      <c r="M3595" s="17"/>
      <c r="N3595"/>
      <c r="O3595"/>
      <c r="P3595" s="34"/>
    </row>
    <row r="3596" spans="1:16" x14ac:dyDescent="0.25">
      <c r="A3596" s="14"/>
      <c r="B3596"/>
      <c r="C3596" s="15"/>
      <c r="D3596"/>
      <c r="E3596"/>
      <c r="F3596" s="16"/>
      <c r="G3596"/>
      <c r="H3596"/>
      <c r="I3596" s="16"/>
      <c r="J3596"/>
      <c r="K3596"/>
      <c r="L3596"/>
      <c r="M3596" s="17"/>
      <c r="N3596"/>
      <c r="O3596"/>
      <c r="P3596" s="34"/>
    </row>
    <row r="3597" spans="1:16" x14ac:dyDescent="0.25">
      <c r="A3597" s="14"/>
      <c r="B3597"/>
      <c r="C3597" s="15"/>
      <c r="D3597"/>
      <c r="E3597"/>
      <c r="F3597" s="16"/>
      <c r="G3597"/>
      <c r="H3597"/>
      <c r="I3597" s="16"/>
      <c r="J3597"/>
      <c r="K3597"/>
      <c r="L3597"/>
      <c r="M3597" s="17"/>
      <c r="N3597"/>
      <c r="O3597"/>
      <c r="P3597" s="34"/>
    </row>
    <row r="3598" spans="1:16" x14ac:dyDescent="0.25">
      <c r="A3598" s="14"/>
      <c r="B3598"/>
      <c r="C3598" s="15"/>
      <c r="D3598"/>
      <c r="E3598"/>
      <c r="F3598" s="16"/>
      <c r="G3598"/>
      <c r="H3598"/>
      <c r="I3598" s="16"/>
      <c r="J3598"/>
      <c r="K3598"/>
      <c r="L3598"/>
      <c r="M3598" s="17"/>
      <c r="N3598"/>
      <c r="O3598"/>
      <c r="P3598" s="34"/>
    </row>
    <row r="3599" spans="1:16" x14ac:dyDescent="0.25">
      <c r="A3599" s="14"/>
      <c r="B3599"/>
      <c r="C3599" s="15"/>
      <c r="D3599"/>
      <c r="E3599"/>
      <c r="F3599" s="16"/>
      <c r="G3599"/>
      <c r="H3599"/>
      <c r="I3599" s="16"/>
      <c r="J3599"/>
      <c r="K3599"/>
      <c r="L3599"/>
      <c r="M3599" s="17"/>
      <c r="N3599"/>
      <c r="O3599"/>
      <c r="P3599" s="34"/>
    </row>
    <row r="3600" spans="1:16" x14ac:dyDescent="0.25">
      <c r="A3600" s="14"/>
      <c r="B3600"/>
      <c r="C3600" s="15"/>
      <c r="D3600"/>
      <c r="E3600"/>
      <c r="F3600" s="16"/>
      <c r="G3600"/>
      <c r="H3600"/>
      <c r="I3600" s="16"/>
      <c r="J3600"/>
      <c r="K3600"/>
      <c r="L3600"/>
      <c r="M3600" s="17"/>
      <c r="N3600"/>
      <c r="O3600"/>
      <c r="P3600" s="34"/>
    </row>
    <row r="3601" spans="1:16" x14ac:dyDescent="0.25">
      <c r="A3601" s="14"/>
      <c r="B3601"/>
      <c r="C3601" s="15"/>
      <c r="D3601"/>
      <c r="E3601"/>
      <c r="F3601" s="16"/>
      <c r="G3601"/>
      <c r="H3601"/>
      <c r="I3601" s="16"/>
      <c r="J3601"/>
      <c r="K3601"/>
      <c r="L3601"/>
      <c r="M3601" s="17"/>
      <c r="N3601"/>
      <c r="O3601"/>
      <c r="P3601" s="34"/>
    </row>
    <row r="3602" spans="1:16" x14ac:dyDescent="0.25">
      <c r="A3602" s="14"/>
      <c r="B3602"/>
      <c r="C3602" s="15"/>
      <c r="D3602"/>
      <c r="E3602"/>
      <c r="F3602" s="16"/>
      <c r="G3602"/>
      <c r="H3602"/>
      <c r="I3602" s="16"/>
      <c r="J3602"/>
      <c r="K3602"/>
      <c r="L3602"/>
      <c r="M3602" s="17"/>
      <c r="N3602"/>
      <c r="O3602"/>
      <c r="P3602" s="34"/>
    </row>
    <row r="3603" spans="1:16" x14ac:dyDescent="0.25">
      <c r="A3603" s="14"/>
      <c r="B3603"/>
      <c r="C3603" s="15"/>
      <c r="D3603"/>
      <c r="E3603"/>
      <c r="F3603" s="16"/>
      <c r="G3603"/>
      <c r="H3603"/>
      <c r="I3603" s="16"/>
      <c r="J3603"/>
      <c r="K3603"/>
      <c r="L3603"/>
      <c r="M3603" s="17"/>
      <c r="N3603"/>
      <c r="O3603"/>
      <c r="P3603" s="34"/>
    </row>
    <row r="3604" spans="1:16" x14ac:dyDescent="0.25">
      <c r="A3604" s="14"/>
      <c r="B3604"/>
      <c r="C3604" s="15"/>
      <c r="D3604"/>
      <c r="E3604"/>
      <c r="F3604" s="16"/>
      <c r="G3604"/>
      <c r="H3604"/>
      <c r="I3604" s="16"/>
      <c r="J3604"/>
      <c r="K3604"/>
      <c r="L3604"/>
      <c r="M3604" s="17"/>
      <c r="N3604"/>
      <c r="O3604"/>
      <c r="P3604" s="34"/>
    </row>
    <row r="3605" spans="1:16" x14ac:dyDescent="0.25">
      <c r="A3605" s="14"/>
      <c r="B3605"/>
      <c r="C3605" s="15"/>
      <c r="D3605"/>
      <c r="E3605"/>
      <c r="F3605" s="16"/>
      <c r="G3605"/>
      <c r="H3605"/>
      <c r="I3605" s="16"/>
      <c r="J3605"/>
      <c r="K3605"/>
      <c r="L3605"/>
      <c r="M3605" s="17"/>
      <c r="N3605"/>
      <c r="O3605"/>
      <c r="P3605" s="34"/>
    </row>
    <row r="3606" spans="1:16" x14ac:dyDescent="0.25">
      <c r="A3606" s="14"/>
      <c r="B3606"/>
      <c r="C3606" s="15"/>
      <c r="D3606"/>
      <c r="E3606"/>
      <c r="F3606" s="16"/>
      <c r="G3606"/>
      <c r="H3606"/>
      <c r="I3606" s="16"/>
      <c r="J3606"/>
      <c r="K3606"/>
      <c r="L3606"/>
      <c r="M3606" s="17"/>
      <c r="N3606"/>
      <c r="O3606"/>
      <c r="P3606" s="34"/>
    </row>
    <row r="3607" spans="1:16" x14ac:dyDescent="0.25">
      <c r="A3607" s="14"/>
      <c r="B3607"/>
      <c r="C3607" s="15"/>
      <c r="D3607"/>
      <c r="E3607"/>
      <c r="F3607" s="16"/>
      <c r="G3607"/>
      <c r="H3607"/>
      <c r="I3607" s="16"/>
      <c r="J3607"/>
      <c r="K3607"/>
      <c r="L3607"/>
      <c r="M3607" s="17"/>
      <c r="N3607"/>
      <c r="O3607"/>
      <c r="P3607" s="34"/>
    </row>
    <row r="3608" spans="1:16" x14ac:dyDescent="0.25">
      <c r="A3608" s="14"/>
      <c r="B3608"/>
      <c r="C3608" s="15"/>
      <c r="D3608"/>
      <c r="E3608"/>
      <c r="F3608" s="16"/>
      <c r="G3608"/>
      <c r="H3608"/>
      <c r="I3608" s="16"/>
      <c r="J3608"/>
      <c r="K3608"/>
      <c r="L3608"/>
      <c r="M3608" s="17"/>
      <c r="N3608"/>
      <c r="O3608"/>
      <c r="P3608" s="34"/>
    </row>
    <row r="3609" spans="1:16" x14ac:dyDescent="0.25">
      <c r="A3609" s="14"/>
      <c r="B3609"/>
      <c r="C3609" s="15"/>
      <c r="D3609"/>
      <c r="E3609"/>
      <c r="F3609" s="16"/>
      <c r="G3609"/>
      <c r="H3609"/>
      <c r="I3609" s="16"/>
      <c r="J3609"/>
      <c r="K3609"/>
      <c r="L3609"/>
      <c r="M3609" s="17"/>
      <c r="N3609"/>
      <c r="O3609"/>
      <c r="P3609" s="34"/>
    </row>
    <row r="3610" spans="1:16" x14ac:dyDescent="0.25">
      <c r="A3610" s="14"/>
      <c r="B3610"/>
      <c r="C3610" s="15"/>
      <c r="D3610"/>
      <c r="E3610"/>
      <c r="F3610" s="16"/>
      <c r="G3610"/>
      <c r="H3610"/>
      <c r="I3610" s="16"/>
      <c r="J3610"/>
      <c r="K3610"/>
      <c r="L3610"/>
      <c r="M3610" s="17"/>
      <c r="N3610"/>
      <c r="O3610"/>
      <c r="P3610" s="34"/>
    </row>
    <row r="3611" spans="1:16" x14ac:dyDescent="0.25">
      <c r="A3611" s="14"/>
      <c r="B3611"/>
      <c r="C3611" s="15"/>
      <c r="D3611"/>
      <c r="E3611"/>
      <c r="F3611" s="16"/>
      <c r="G3611"/>
      <c r="H3611"/>
      <c r="I3611" s="16"/>
      <c r="J3611"/>
      <c r="K3611"/>
      <c r="L3611"/>
      <c r="M3611" s="17"/>
      <c r="N3611"/>
      <c r="O3611"/>
      <c r="P3611" s="34"/>
    </row>
    <row r="3612" spans="1:16" x14ac:dyDescent="0.25">
      <c r="A3612" s="14"/>
      <c r="B3612"/>
      <c r="C3612" s="15"/>
      <c r="D3612"/>
      <c r="E3612"/>
      <c r="F3612" s="16"/>
      <c r="G3612"/>
      <c r="H3612"/>
      <c r="I3612" s="16"/>
      <c r="J3612"/>
      <c r="K3612"/>
      <c r="L3612"/>
      <c r="M3612" s="17"/>
      <c r="N3612"/>
      <c r="O3612"/>
      <c r="P3612" s="34"/>
    </row>
    <row r="3613" spans="1:16" x14ac:dyDescent="0.25">
      <c r="A3613" s="14"/>
      <c r="B3613"/>
      <c r="C3613" s="15"/>
      <c r="D3613"/>
      <c r="E3613"/>
      <c r="F3613" s="16"/>
      <c r="G3613"/>
      <c r="H3613"/>
      <c r="I3613" s="16"/>
      <c r="J3613"/>
      <c r="K3613"/>
      <c r="L3613"/>
      <c r="M3613" s="17"/>
      <c r="N3613"/>
      <c r="O3613"/>
      <c r="P3613" s="34"/>
    </row>
    <row r="3614" spans="1:16" x14ac:dyDescent="0.25">
      <c r="A3614" s="14"/>
      <c r="B3614"/>
      <c r="C3614" s="15"/>
      <c r="D3614"/>
      <c r="E3614"/>
      <c r="F3614" s="16"/>
      <c r="G3614"/>
      <c r="H3614"/>
      <c r="I3614" s="16"/>
      <c r="J3614"/>
      <c r="K3614"/>
      <c r="L3614"/>
      <c r="M3614" s="17"/>
      <c r="N3614"/>
      <c r="O3614"/>
      <c r="P3614" s="34"/>
    </row>
    <row r="3615" spans="1:16" x14ac:dyDescent="0.25">
      <c r="A3615" s="14"/>
      <c r="B3615"/>
      <c r="C3615" s="15"/>
      <c r="D3615"/>
      <c r="E3615"/>
      <c r="F3615" s="16"/>
      <c r="G3615"/>
      <c r="H3615"/>
      <c r="I3615" s="16"/>
      <c r="J3615"/>
      <c r="K3615"/>
      <c r="L3615"/>
      <c r="M3615" s="17"/>
      <c r="N3615"/>
      <c r="O3615"/>
      <c r="P3615" s="34"/>
    </row>
    <row r="3616" spans="1:16" x14ac:dyDescent="0.25">
      <c r="A3616" s="14"/>
      <c r="B3616"/>
      <c r="C3616" s="15"/>
      <c r="D3616"/>
      <c r="E3616"/>
      <c r="F3616" s="16"/>
      <c r="G3616"/>
      <c r="H3616"/>
      <c r="I3616" s="16"/>
      <c r="J3616"/>
      <c r="K3616"/>
      <c r="L3616"/>
      <c r="M3616" s="17"/>
      <c r="N3616"/>
      <c r="O3616"/>
      <c r="P3616" s="34"/>
    </row>
    <row r="3617" spans="1:16" x14ac:dyDescent="0.25">
      <c r="A3617" s="14"/>
      <c r="B3617"/>
      <c r="C3617" s="15"/>
      <c r="D3617"/>
      <c r="E3617"/>
      <c r="F3617" s="16"/>
      <c r="G3617"/>
      <c r="H3617"/>
      <c r="I3617" s="16"/>
      <c r="J3617"/>
      <c r="K3617"/>
      <c r="L3617"/>
      <c r="M3617" s="17"/>
      <c r="N3617"/>
      <c r="O3617"/>
      <c r="P3617" s="34"/>
    </row>
    <row r="3618" spans="1:16" x14ac:dyDescent="0.25">
      <c r="A3618" s="14"/>
      <c r="B3618"/>
      <c r="C3618" s="15"/>
      <c r="D3618"/>
      <c r="E3618"/>
      <c r="F3618" s="16"/>
      <c r="G3618"/>
      <c r="H3618"/>
      <c r="I3618" s="16"/>
      <c r="J3618"/>
      <c r="K3618"/>
      <c r="L3618"/>
      <c r="M3618" s="17"/>
      <c r="N3618"/>
      <c r="O3618"/>
      <c r="P3618" s="34"/>
    </row>
    <row r="3619" spans="1:16" x14ac:dyDescent="0.25">
      <c r="A3619" s="14"/>
      <c r="B3619"/>
      <c r="C3619" s="15"/>
      <c r="D3619"/>
      <c r="E3619"/>
      <c r="F3619" s="16"/>
      <c r="G3619"/>
      <c r="H3619"/>
      <c r="I3619" s="16"/>
      <c r="J3619"/>
      <c r="K3619"/>
      <c r="L3619"/>
      <c r="M3619" s="17"/>
      <c r="N3619"/>
      <c r="O3619"/>
      <c r="P3619" s="34"/>
    </row>
    <row r="3620" spans="1:16" x14ac:dyDescent="0.25">
      <c r="A3620" s="14"/>
      <c r="B3620"/>
      <c r="C3620" s="15"/>
      <c r="D3620"/>
      <c r="E3620"/>
      <c r="F3620" s="16"/>
      <c r="G3620"/>
      <c r="H3620"/>
      <c r="I3620" s="16"/>
      <c r="J3620"/>
      <c r="K3620"/>
      <c r="L3620"/>
      <c r="M3620" s="17"/>
      <c r="N3620"/>
      <c r="O3620"/>
      <c r="P3620" s="34"/>
    </row>
    <row r="3621" spans="1:16" x14ac:dyDescent="0.25">
      <c r="A3621" s="14"/>
      <c r="B3621"/>
      <c r="C3621" s="15"/>
      <c r="D3621"/>
      <c r="E3621"/>
      <c r="F3621" s="16"/>
      <c r="G3621"/>
      <c r="H3621"/>
      <c r="I3621" s="16"/>
      <c r="J3621"/>
      <c r="K3621"/>
      <c r="L3621"/>
      <c r="M3621" s="17"/>
      <c r="N3621"/>
      <c r="O3621"/>
      <c r="P3621" s="34"/>
    </row>
    <row r="3622" spans="1:16" x14ac:dyDescent="0.25">
      <c r="A3622" s="14"/>
      <c r="B3622"/>
      <c r="C3622" s="15"/>
      <c r="D3622"/>
      <c r="E3622"/>
      <c r="F3622" s="16"/>
      <c r="G3622"/>
      <c r="H3622"/>
      <c r="I3622" s="16"/>
      <c r="J3622"/>
      <c r="K3622"/>
      <c r="L3622"/>
      <c r="M3622" s="17"/>
      <c r="N3622"/>
      <c r="O3622"/>
      <c r="P3622" s="34"/>
    </row>
    <row r="3623" spans="1:16" x14ac:dyDescent="0.25">
      <c r="A3623" s="14"/>
      <c r="B3623"/>
      <c r="C3623" s="15"/>
      <c r="D3623"/>
      <c r="E3623"/>
      <c r="F3623" s="16"/>
      <c r="G3623"/>
      <c r="H3623"/>
      <c r="I3623" s="16"/>
      <c r="J3623"/>
      <c r="K3623"/>
      <c r="L3623"/>
      <c r="M3623" s="17"/>
      <c r="N3623"/>
      <c r="O3623"/>
      <c r="P3623" s="34"/>
    </row>
    <row r="3624" spans="1:16" x14ac:dyDescent="0.25">
      <c r="A3624" s="14"/>
      <c r="B3624"/>
      <c r="C3624" s="15"/>
      <c r="D3624"/>
      <c r="E3624"/>
      <c r="F3624" s="16"/>
      <c r="G3624"/>
      <c r="H3624"/>
      <c r="I3624" s="16"/>
      <c r="J3624"/>
      <c r="K3624"/>
      <c r="L3624"/>
      <c r="M3624" s="17"/>
      <c r="N3624"/>
      <c r="O3624"/>
      <c r="P3624" s="34"/>
    </row>
    <row r="3625" spans="1:16" x14ac:dyDescent="0.25">
      <c r="A3625" s="14"/>
      <c r="B3625"/>
      <c r="C3625" s="15"/>
      <c r="D3625"/>
      <c r="E3625"/>
      <c r="F3625" s="16"/>
      <c r="G3625"/>
      <c r="H3625"/>
      <c r="I3625" s="16"/>
      <c r="J3625"/>
      <c r="K3625"/>
      <c r="L3625"/>
      <c r="M3625" s="17"/>
      <c r="N3625"/>
      <c r="O3625"/>
      <c r="P3625" s="34"/>
    </row>
    <row r="3626" spans="1:16" x14ac:dyDescent="0.25">
      <c r="A3626" s="14"/>
      <c r="B3626"/>
      <c r="C3626" s="15"/>
      <c r="D3626"/>
      <c r="E3626"/>
      <c r="F3626" s="16"/>
      <c r="G3626"/>
      <c r="H3626"/>
      <c r="I3626" s="16"/>
      <c r="J3626"/>
      <c r="K3626"/>
      <c r="L3626"/>
      <c r="M3626" s="17"/>
      <c r="N3626"/>
      <c r="O3626"/>
      <c r="P3626" s="34"/>
    </row>
    <row r="3627" spans="1:16" x14ac:dyDescent="0.25">
      <c r="A3627" s="14"/>
      <c r="B3627"/>
      <c r="C3627" s="15"/>
      <c r="D3627"/>
      <c r="E3627"/>
      <c r="F3627" s="16"/>
      <c r="G3627"/>
      <c r="H3627"/>
      <c r="I3627" s="16"/>
      <c r="J3627"/>
      <c r="K3627"/>
      <c r="L3627"/>
      <c r="M3627" s="17"/>
      <c r="N3627"/>
      <c r="O3627"/>
      <c r="P3627" s="34"/>
    </row>
    <row r="3628" spans="1:16" x14ac:dyDescent="0.25">
      <c r="A3628" s="14"/>
      <c r="B3628"/>
      <c r="C3628" s="15"/>
      <c r="D3628"/>
      <c r="E3628"/>
      <c r="F3628" s="16"/>
      <c r="G3628"/>
      <c r="H3628"/>
      <c r="I3628" s="16"/>
      <c r="J3628"/>
      <c r="K3628"/>
      <c r="L3628"/>
      <c r="M3628" s="17"/>
      <c r="N3628"/>
      <c r="O3628"/>
      <c r="P3628" s="34"/>
    </row>
    <row r="3629" spans="1:16" x14ac:dyDescent="0.25">
      <c r="A3629" s="14"/>
      <c r="B3629"/>
      <c r="C3629" s="15"/>
      <c r="D3629"/>
      <c r="E3629"/>
      <c r="F3629" s="16"/>
      <c r="G3629"/>
      <c r="H3629"/>
      <c r="I3629" s="16"/>
      <c r="J3629"/>
      <c r="K3629"/>
      <c r="L3629"/>
      <c r="M3629" s="17"/>
      <c r="N3629"/>
      <c r="O3629"/>
      <c r="P3629" s="34"/>
    </row>
    <row r="3630" spans="1:16" x14ac:dyDescent="0.25">
      <c r="A3630" s="14"/>
      <c r="B3630"/>
      <c r="C3630" s="15"/>
      <c r="D3630"/>
      <c r="E3630"/>
      <c r="F3630" s="16"/>
      <c r="G3630"/>
      <c r="H3630"/>
      <c r="I3630" s="16"/>
      <c r="J3630"/>
      <c r="K3630"/>
      <c r="L3630"/>
      <c r="M3630" s="17"/>
      <c r="N3630"/>
      <c r="O3630"/>
      <c r="P3630" s="34"/>
    </row>
    <row r="3631" spans="1:16" x14ac:dyDescent="0.25">
      <c r="A3631" s="14"/>
      <c r="B3631"/>
      <c r="C3631" s="15"/>
      <c r="D3631"/>
      <c r="E3631"/>
      <c r="F3631" s="16"/>
      <c r="G3631"/>
      <c r="H3631"/>
      <c r="I3631" s="16"/>
      <c r="J3631"/>
      <c r="K3631"/>
      <c r="L3631"/>
      <c r="M3631" s="17"/>
      <c r="N3631"/>
      <c r="O3631"/>
      <c r="P3631" s="34"/>
    </row>
    <row r="3632" spans="1:16" x14ac:dyDescent="0.25">
      <c r="A3632" s="14"/>
      <c r="B3632"/>
      <c r="C3632" s="15"/>
      <c r="D3632"/>
      <c r="E3632"/>
      <c r="F3632" s="16"/>
      <c r="G3632"/>
      <c r="H3632"/>
      <c r="I3632" s="16"/>
      <c r="J3632"/>
      <c r="K3632"/>
      <c r="L3632"/>
      <c r="M3632" s="17"/>
      <c r="N3632"/>
      <c r="O3632"/>
      <c r="P3632" s="34"/>
    </row>
    <row r="3633" spans="1:16" x14ac:dyDescent="0.25">
      <c r="A3633" s="14"/>
      <c r="B3633"/>
      <c r="C3633" s="15"/>
      <c r="D3633"/>
      <c r="E3633"/>
      <c r="F3633" s="16"/>
      <c r="G3633"/>
      <c r="H3633"/>
      <c r="I3633" s="16"/>
      <c r="J3633"/>
      <c r="K3633"/>
      <c r="L3633"/>
      <c r="M3633" s="17"/>
      <c r="N3633"/>
      <c r="O3633"/>
      <c r="P3633" s="34"/>
    </row>
    <row r="3634" spans="1:16" x14ac:dyDescent="0.25">
      <c r="A3634" s="14"/>
      <c r="B3634"/>
      <c r="C3634" s="15"/>
      <c r="D3634"/>
      <c r="E3634"/>
      <c r="F3634" s="16"/>
      <c r="G3634"/>
      <c r="H3634"/>
      <c r="I3634" s="16"/>
      <c r="J3634"/>
      <c r="K3634"/>
      <c r="L3634"/>
      <c r="M3634" s="17"/>
      <c r="N3634"/>
      <c r="O3634"/>
      <c r="P3634" s="34"/>
    </row>
    <row r="3635" spans="1:16" x14ac:dyDescent="0.25">
      <c r="A3635" s="14"/>
      <c r="B3635"/>
      <c r="C3635" s="15"/>
      <c r="D3635"/>
      <c r="E3635"/>
      <c r="F3635" s="16"/>
      <c r="G3635"/>
      <c r="H3635"/>
      <c r="I3635" s="16"/>
      <c r="J3635"/>
      <c r="K3635"/>
      <c r="L3635"/>
      <c r="M3635" s="17"/>
      <c r="N3635"/>
      <c r="O3635"/>
      <c r="P3635" s="34"/>
    </row>
    <row r="3636" spans="1:16" x14ac:dyDescent="0.25">
      <c r="A3636" s="14"/>
      <c r="B3636"/>
      <c r="C3636" s="15"/>
      <c r="D3636"/>
      <c r="E3636"/>
      <c r="F3636" s="16"/>
      <c r="G3636"/>
      <c r="H3636"/>
      <c r="I3636" s="16"/>
      <c r="J3636"/>
      <c r="K3636"/>
      <c r="L3636"/>
      <c r="M3636" s="17"/>
      <c r="N3636"/>
      <c r="O3636"/>
      <c r="P3636" s="34"/>
    </row>
    <row r="3637" spans="1:16" x14ac:dyDescent="0.25">
      <c r="A3637" s="14"/>
      <c r="B3637"/>
      <c r="C3637" s="15"/>
      <c r="D3637"/>
      <c r="E3637"/>
      <c r="F3637" s="16"/>
      <c r="G3637"/>
      <c r="H3637"/>
      <c r="I3637" s="16"/>
      <c r="J3637"/>
      <c r="K3637"/>
      <c r="L3637"/>
      <c r="M3637" s="17"/>
      <c r="N3637"/>
      <c r="O3637"/>
      <c r="P3637" s="34"/>
    </row>
    <row r="3638" spans="1:16" x14ac:dyDescent="0.25">
      <c r="A3638" s="14"/>
      <c r="B3638"/>
      <c r="C3638" s="15"/>
      <c r="D3638"/>
      <c r="E3638"/>
      <c r="F3638" s="16"/>
      <c r="G3638"/>
      <c r="H3638"/>
      <c r="I3638" s="16"/>
      <c r="J3638"/>
      <c r="K3638"/>
      <c r="L3638"/>
      <c r="M3638" s="17"/>
      <c r="N3638"/>
      <c r="O3638"/>
      <c r="P3638" s="34"/>
    </row>
    <row r="3639" spans="1:16" x14ac:dyDescent="0.25">
      <c r="A3639" s="14"/>
      <c r="B3639"/>
      <c r="C3639" s="15"/>
      <c r="D3639"/>
      <c r="E3639"/>
      <c r="F3639" s="16"/>
      <c r="G3639"/>
      <c r="H3639"/>
      <c r="I3639" s="16"/>
      <c r="J3639"/>
      <c r="K3639"/>
      <c r="L3639"/>
      <c r="M3639" s="17"/>
      <c r="N3639"/>
      <c r="O3639"/>
      <c r="P3639" s="34"/>
    </row>
    <row r="3640" spans="1:16" x14ac:dyDescent="0.25">
      <c r="A3640" s="14"/>
      <c r="B3640"/>
      <c r="C3640" s="15"/>
      <c r="D3640"/>
      <c r="E3640"/>
      <c r="F3640" s="16"/>
      <c r="G3640"/>
      <c r="H3640"/>
      <c r="I3640" s="16"/>
      <c r="J3640"/>
      <c r="K3640"/>
      <c r="L3640"/>
      <c r="M3640" s="17"/>
      <c r="N3640"/>
      <c r="O3640"/>
      <c r="P3640" s="34"/>
    </row>
    <row r="3641" spans="1:16" x14ac:dyDescent="0.25">
      <c r="A3641" s="14"/>
      <c r="B3641"/>
      <c r="C3641" s="15"/>
      <c r="D3641"/>
      <c r="E3641"/>
      <c r="F3641" s="16"/>
      <c r="G3641"/>
      <c r="H3641"/>
      <c r="I3641" s="16"/>
      <c r="J3641"/>
      <c r="K3641"/>
      <c r="L3641"/>
      <c r="M3641" s="17"/>
      <c r="N3641"/>
      <c r="O3641"/>
      <c r="P3641" s="34"/>
    </row>
    <row r="3642" spans="1:16" x14ac:dyDescent="0.25">
      <c r="A3642" s="14"/>
      <c r="B3642"/>
      <c r="C3642" s="15"/>
      <c r="D3642"/>
      <c r="E3642"/>
      <c r="F3642" s="16"/>
      <c r="G3642"/>
      <c r="H3642"/>
      <c r="I3642" s="16"/>
      <c r="J3642"/>
      <c r="K3642"/>
      <c r="L3642"/>
      <c r="M3642" s="17"/>
      <c r="N3642"/>
      <c r="O3642"/>
      <c r="P3642" s="34"/>
    </row>
    <row r="3643" spans="1:16" x14ac:dyDescent="0.25">
      <c r="A3643" s="14"/>
      <c r="B3643"/>
      <c r="C3643" s="15"/>
      <c r="D3643"/>
      <c r="E3643"/>
      <c r="F3643" s="16"/>
      <c r="G3643"/>
      <c r="H3643"/>
      <c r="I3643" s="16"/>
      <c r="J3643"/>
      <c r="K3643"/>
      <c r="L3643"/>
      <c r="M3643" s="17"/>
      <c r="N3643"/>
      <c r="O3643"/>
      <c r="P3643" s="34"/>
    </row>
    <row r="3644" spans="1:16" x14ac:dyDescent="0.25">
      <c r="A3644" s="14"/>
      <c r="B3644"/>
      <c r="C3644" s="15"/>
      <c r="D3644"/>
      <c r="E3644"/>
      <c r="F3644" s="16"/>
      <c r="G3644"/>
      <c r="H3644"/>
      <c r="I3644" s="16"/>
      <c r="J3644"/>
      <c r="K3644"/>
      <c r="L3644"/>
      <c r="M3644" s="17"/>
      <c r="N3644"/>
      <c r="O3644"/>
      <c r="P3644" s="34"/>
    </row>
    <row r="3645" spans="1:16" x14ac:dyDescent="0.25">
      <c r="A3645" s="14"/>
      <c r="B3645"/>
      <c r="C3645" s="15"/>
      <c r="D3645"/>
      <c r="E3645"/>
      <c r="F3645" s="16"/>
      <c r="G3645"/>
      <c r="H3645"/>
      <c r="I3645" s="16"/>
      <c r="J3645"/>
      <c r="K3645"/>
      <c r="L3645"/>
      <c r="M3645" s="17"/>
      <c r="N3645"/>
      <c r="O3645"/>
      <c r="P3645" s="34"/>
    </row>
    <row r="3646" spans="1:16" x14ac:dyDescent="0.25">
      <c r="A3646" s="14"/>
      <c r="B3646"/>
      <c r="C3646" s="15"/>
      <c r="D3646"/>
      <c r="E3646"/>
      <c r="F3646" s="16"/>
      <c r="G3646"/>
      <c r="H3646"/>
      <c r="I3646" s="16"/>
      <c r="J3646"/>
      <c r="K3646"/>
      <c r="L3646"/>
      <c r="M3646" s="17"/>
      <c r="N3646"/>
      <c r="O3646"/>
      <c r="P3646" s="34"/>
    </row>
    <row r="3647" spans="1:16" x14ac:dyDescent="0.25">
      <c r="A3647" s="14"/>
      <c r="B3647"/>
      <c r="C3647" s="15"/>
      <c r="D3647"/>
      <c r="E3647"/>
      <c r="F3647" s="16"/>
      <c r="G3647"/>
      <c r="H3647"/>
      <c r="I3647" s="16"/>
      <c r="J3647"/>
      <c r="K3647"/>
      <c r="L3647"/>
      <c r="M3647" s="17"/>
      <c r="N3647"/>
      <c r="O3647"/>
      <c r="P3647" s="34"/>
    </row>
    <row r="3648" spans="1:16" x14ac:dyDescent="0.25">
      <c r="A3648" s="14"/>
      <c r="B3648"/>
      <c r="C3648" s="15"/>
      <c r="D3648"/>
      <c r="E3648"/>
      <c r="F3648" s="16"/>
      <c r="G3648"/>
      <c r="H3648"/>
      <c r="I3648" s="16"/>
      <c r="J3648"/>
      <c r="K3648"/>
      <c r="L3648"/>
      <c r="M3648" s="17"/>
      <c r="N3648"/>
      <c r="O3648"/>
      <c r="P3648" s="34"/>
    </row>
    <row r="3649" spans="1:16" x14ac:dyDescent="0.25">
      <c r="A3649" s="14"/>
      <c r="B3649"/>
      <c r="C3649" s="15"/>
      <c r="D3649"/>
      <c r="E3649"/>
      <c r="F3649" s="16"/>
      <c r="G3649"/>
      <c r="H3649"/>
      <c r="I3649" s="16"/>
      <c r="J3649"/>
      <c r="K3649"/>
      <c r="L3649"/>
      <c r="M3649" s="17"/>
      <c r="N3649"/>
      <c r="O3649"/>
      <c r="P3649" s="34"/>
    </row>
    <row r="3650" spans="1:16" x14ac:dyDescent="0.25">
      <c r="A3650" s="14"/>
      <c r="B3650"/>
      <c r="C3650" s="15"/>
      <c r="D3650"/>
      <c r="E3650"/>
      <c r="F3650" s="16"/>
      <c r="G3650"/>
      <c r="H3650"/>
      <c r="I3650" s="16"/>
      <c r="J3650"/>
      <c r="K3650"/>
      <c r="L3650"/>
      <c r="M3650" s="17"/>
      <c r="N3650"/>
      <c r="O3650"/>
      <c r="P3650" s="34"/>
    </row>
    <row r="3651" spans="1:16" x14ac:dyDescent="0.25">
      <c r="A3651" s="14"/>
      <c r="B3651"/>
      <c r="C3651" s="15"/>
      <c r="D3651"/>
      <c r="E3651"/>
      <c r="F3651" s="16"/>
      <c r="G3651"/>
      <c r="H3651"/>
      <c r="I3651" s="16"/>
      <c r="J3651"/>
      <c r="K3651"/>
      <c r="L3651"/>
      <c r="M3651" s="17"/>
      <c r="N3651"/>
      <c r="O3651"/>
      <c r="P3651" s="34"/>
    </row>
    <row r="3652" spans="1:16" x14ac:dyDescent="0.25">
      <c r="A3652" s="14"/>
      <c r="B3652"/>
      <c r="C3652" s="15"/>
      <c r="D3652"/>
      <c r="E3652"/>
      <c r="F3652" s="16"/>
      <c r="G3652"/>
      <c r="H3652"/>
      <c r="I3652" s="16"/>
      <c r="J3652"/>
      <c r="K3652"/>
      <c r="L3652"/>
      <c r="M3652" s="17"/>
      <c r="N3652"/>
      <c r="O3652"/>
      <c r="P3652" s="34"/>
    </row>
    <row r="3653" spans="1:16" x14ac:dyDescent="0.25">
      <c r="A3653" s="14"/>
      <c r="B3653"/>
      <c r="C3653" s="15"/>
      <c r="D3653"/>
      <c r="E3653"/>
      <c r="F3653" s="16"/>
      <c r="G3653"/>
      <c r="H3653"/>
      <c r="I3653" s="16"/>
      <c r="J3653"/>
      <c r="K3653"/>
      <c r="L3653"/>
      <c r="M3653" s="17"/>
      <c r="N3653"/>
      <c r="O3653"/>
      <c r="P3653" s="34"/>
    </row>
    <row r="3654" spans="1:16" x14ac:dyDescent="0.25">
      <c r="A3654" s="14"/>
      <c r="B3654"/>
      <c r="C3654" s="15"/>
      <c r="D3654"/>
      <c r="E3654"/>
      <c r="F3654" s="16"/>
      <c r="G3654"/>
      <c r="H3654"/>
      <c r="I3654" s="16"/>
      <c r="J3654"/>
      <c r="K3654"/>
      <c r="L3654"/>
      <c r="M3654" s="17"/>
      <c r="N3654"/>
      <c r="O3654"/>
      <c r="P3654" s="34"/>
    </row>
    <row r="3655" spans="1:16" x14ac:dyDescent="0.25">
      <c r="A3655" s="14"/>
      <c r="B3655"/>
      <c r="C3655" s="15"/>
      <c r="D3655"/>
      <c r="E3655"/>
      <c r="F3655" s="16"/>
      <c r="G3655"/>
      <c r="H3655"/>
      <c r="I3655" s="16"/>
      <c r="J3655"/>
      <c r="K3655"/>
      <c r="L3655"/>
      <c r="M3655" s="17"/>
      <c r="N3655"/>
      <c r="O3655"/>
      <c r="P3655" s="34"/>
    </row>
    <row r="3656" spans="1:16" x14ac:dyDescent="0.25">
      <c r="A3656" s="14"/>
      <c r="B3656"/>
      <c r="C3656" s="15"/>
      <c r="D3656"/>
      <c r="E3656"/>
      <c r="F3656" s="16"/>
      <c r="G3656"/>
      <c r="H3656"/>
      <c r="I3656" s="16"/>
      <c r="J3656"/>
      <c r="K3656"/>
      <c r="L3656"/>
      <c r="M3656" s="17"/>
      <c r="N3656"/>
      <c r="O3656"/>
      <c r="P3656" s="34"/>
    </row>
    <row r="3657" spans="1:16" x14ac:dyDescent="0.25">
      <c r="A3657" s="14"/>
      <c r="B3657"/>
      <c r="C3657" s="15"/>
      <c r="D3657"/>
      <c r="E3657"/>
      <c r="F3657" s="16"/>
      <c r="G3657"/>
      <c r="H3657"/>
      <c r="I3657" s="16"/>
      <c r="J3657"/>
      <c r="K3657"/>
      <c r="L3657"/>
      <c r="M3657" s="17"/>
      <c r="N3657"/>
      <c r="O3657"/>
      <c r="P3657" s="34"/>
    </row>
    <row r="3658" spans="1:16" x14ac:dyDescent="0.25">
      <c r="A3658" s="14"/>
      <c r="B3658"/>
      <c r="C3658" s="15"/>
      <c r="D3658"/>
      <c r="E3658"/>
      <c r="F3658" s="16"/>
      <c r="G3658"/>
      <c r="H3658"/>
      <c r="I3658" s="16"/>
      <c r="J3658"/>
      <c r="K3658"/>
      <c r="L3658"/>
      <c r="M3658" s="17"/>
      <c r="N3658"/>
      <c r="O3658"/>
      <c r="P3658" s="34"/>
    </row>
    <row r="3659" spans="1:16" x14ac:dyDescent="0.25">
      <c r="A3659" s="14"/>
      <c r="B3659"/>
      <c r="C3659" s="15"/>
      <c r="D3659"/>
      <c r="E3659"/>
      <c r="F3659" s="16"/>
      <c r="G3659"/>
      <c r="H3659"/>
      <c r="I3659" s="16"/>
      <c r="J3659"/>
      <c r="K3659"/>
      <c r="L3659"/>
      <c r="M3659" s="17"/>
      <c r="N3659"/>
      <c r="O3659"/>
      <c r="P3659" s="34"/>
    </row>
    <row r="3660" spans="1:16" x14ac:dyDescent="0.25">
      <c r="A3660" s="14"/>
      <c r="B3660"/>
      <c r="C3660" s="15"/>
      <c r="D3660"/>
      <c r="E3660"/>
      <c r="F3660" s="16"/>
      <c r="G3660"/>
      <c r="H3660"/>
      <c r="I3660" s="16"/>
      <c r="J3660"/>
      <c r="K3660"/>
      <c r="L3660"/>
      <c r="M3660" s="17"/>
      <c r="N3660"/>
      <c r="O3660"/>
      <c r="P3660" s="34"/>
    </row>
    <row r="3661" spans="1:16" x14ac:dyDescent="0.25">
      <c r="A3661" s="14"/>
      <c r="B3661"/>
      <c r="C3661" s="15"/>
      <c r="D3661"/>
      <c r="E3661"/>
      <c r="F3661" s="16"/>
      <c r="G3661"/>
      <c r="H3661"/>
      <c r="I3661" s="16"/>
      <c r="J3661"/>
      <c r="K3661"/>
      <c r="L3661"/>
      <c r="M3661" s="17"/>
      <c r="N3661"/>
      <c r="O3661"/>
      <c r="P3661" s="34"/>
    </row>
    <row r="3662" spans="1:16" x14ac:dyDescent="0.25">
      <c r="A3662" s="14"/>
      <c r="B3662"/>
      <c r="C3662" s="15"/>
      <c r="D3662"/>
      <c r="E3662"/>
      <c r="F3662" s="16"/>
      <c r="G3662"/>
      <c r="H3662"/>
      <c r="I3662" s="16"/>
      <c r="J3662"/>
      <c r="K3662"/>
      <c r="L3662"/>
      <c r="M3662" s="17"/>
      <c r="N3662"/>
      <c r="O3662"/>
      <c r="P3662" s="34"/>
    </row>
    <row r="3663" spans="1:16" x14ac:dyDescent="0.25">
      <c r="A3663" s="14"/>
      <c r="B3663"/>
      <c r="C3663" s="15"/>
      <c r="D3663"/>
      <c r="E3663"/>
      <c r="F3663" s="16"/>
      <c r="G3663"/>
      <c r="H3663"/>
      <c r="I3663" s="16"/>
      <c r="J3663"/>
      <c r="K3663"/>
      <c r="L3663"/>
      <c r="M3663" s="17"/>
      <c r="N3663"/>
      <c r="O3663"/>
      <c r="P3663" s="34"/>
    </row>
    <row r="3664" spans="1:16" x14ac:dyDescent="0.25">
      <c r="A3664" s="14"/>
      <c r="B3664"/>
      <c r="C3664" s="15"/>
      <c r="D3664"/>
      <c r="E3664"/>
      <c r="F3664" s="16"/>
      <c r="G3664"/>
      <c r="H3664"/>
      <c r="I3664" s="16"/>
      <c r="J3664"/>
      <c r="K3664"/>
      <c r="L3664"/>
      <c r="M3664" s="17"/>
      <c r="N3664"/>
      <c r="O3664"/>
      <c r="P3664" s="34"/>
    </row>
    <row r="3665" spans="1:16" x14ac:dyDescent="0.25">
      <c r="A3665" s="14"/>
      <c r="B3665"/>
      <c r="C3665" s="15"/>
      <c r="D3665"/>
      <c r="E3665"/>
      <c r="F3665" s="16"/>
      <c r="G3665"/>
      <c r="H3665"/>
      <c r="I3665" s="16"/>
      <c r="J3665"/>
      <c r="K3665"/>
      <c r="L3665"/>
      <c r="M3665" s="17"/>
      <c r="N3665"/>
      <c r="O3665"/>
      <c r="P3665" s="34"/>
    </row>
    <row r="3666" spans="1:16" x14ac:dyDescent="0.25">
      <c r="A3666" s="14"/>
      <c r="B3666"/>
      <c r="C3666" s="15"/>
      <c r="D3666"/>
      <c r="E3666"/>
      <c r="F3666" s="16"/>
      <c r="G3666"/>
      <c r="H3666"/>
      <c r="I3666" s="16"/>
      <c r="J3666"/>
      <c r="K3666"/>
      <c r="L3666"/>
      <c r="M3666" s="17"/>
      <c r="N3666"/>
      <c r="O3666"/>
      <c r="P3666" s="34"/>
    </row>
    <row r="3667" spans="1:16" x14ac:dyDescent="0.25">
      <c r="A3667" s="14"/>
      <c r="B3667"/>
      <c r="C3667" s="15"/>
      <c r="D3667"/>
      <c r="E3667"/>
      <c r="F3667" s="16"/>
      <c r="G3667"/>
      <c r="H3667"/>
      <c r="I3667" s="16"/>
      <c r="J3667"/>
      <c r="K3667"/>
      <c r="L3667"/>
      <c r="M3667" s="17"/>
      <c r="N3667"/>
      <c r="O3667"/>
      <c r="P3667" s="34"/>
    </row>
    <row r="3668" spans="1:16" x14ac:dyDescent="0.25">
      <c r="A3668" s="14"/>
      <c r="B3668"/>
      <c r="C3668" s="15"/>
      <c r="D3668"/>
      <c r="E3668"/>
      <c r="F3668" s="16"/>
      <c r="G3668"/>
      <c r="H3668"/>
      <c r="I3668" s="16"/>
      <c r="J3668"/>
      <c r="K3668"/>
      <c r="L3668"/>
      <c r="M3668" s="17"/>
      <c r="N3668"/>
      <c r="O3668"/>
      <c r="P3668" s="34"/>
    </row>
    <row r="3669" spans="1:16" x14ac:dyDescent="0.25">
      <c r="A3669" s="14"/>
      <c r="B3669"/>
      <c r="C3669" s="15"/>
      <c r="D3669"/>
      <c r="E3669"/>
      <c r="F3669" s="16"/>
      <c r="G3669"/>
      <c r="H3669"/>
      <c r="I3669" s="16"/>
      <c r="J3669"/>
      <c r="K3669"/>
      <c r="L3669"/>
      <c r="M3669" s="17"/>
      <c r="N3669"/>
      <c r="O3669"/>
      <c r="P3669" s="34"/>
    </row>
    <row r="3670" spans="1:16" x14ac:dyDescent="0.25">
      <c r="A3670" s="14"/>
      <c r="B3670"/>
      <c r="C3670" s="15"/>
      <c r="D3670"/>
      <c r="E3670"/>
      <c r="F3670" s="16"/>
      <c r="G3670"/>
      <c r="H3670"/>
      <c r="I3670" s="16"/>
      <c r="J3670"/>
      <c r="K3670"/>
      <c r="L3670"/>
      <c r="M3670" s="17"/>
      <c r="N3670"/>
      <c r="O3670"/>
      <c r="P3670" s="34"/>
    </row>
    <row r="3671" spans="1:16" x14ac:dyDescent="0.25">
      <c r="A3671" s="14"/>
      <c r="B3671"/>
      <c r="C3671" s="15"/>
      <c r="D3671"/>
      <c r="E3671"/>
      <c r="F3671" s="16"/>
      <c r="G3671"/>
      <c r="H3671"/>
      <c r="I3671" s="16"/>
      <c r="J3671"/>
      <c r="K3671"/>
      <c r="L3671"/>
      <c r="M3671" s="17"/>
      <c r="N3671"/>
      <c r="O3671"/>
      <c r="P3671" s="34"/>
    </row>
    <row r="3672" spans="1:16" x14ac:dyDescent="0.25">
      <c r="A3672" s="14"/>
      <c r="B3672"/>
      <c r="C3672" s="15"/>
      <c r="D3672"/>
      <c r="E3672"/>
      <c r="F3672" s="16"/>
      <c r="G3672"/>
      <c r="H3672"/>
      <c r="I3672" s="16"/>
      <c r="J3672"/>
      <c r="K3672"/>
      <c r="L3672"/>
      <c r="M3672" s="17"/>
      <c r="N3672"/>
      <c r="O3672"/>
      <c r="P3672" s="34"/>
    </row>
    <row r="3673" spans="1:16" x14ac:dyDescent="0.25">
      <c r="A3673" s="14"/>
      <c r="B3673"/>
      <c r="C3673" s="15"/>
      <c r="D3673"/>
      <c r="E3673"/>
      <c r="F3673" s="16"/>
      <c r="G3673"/>
      <c r="H3673"/>
      <c r="I3673" s="16"/>
      <c r="J3673"/>
      <c r="K3673"/>
      <c r="L3673"/>
      <c r="M3673" s="17"/>
      <c r="N3673"/>
      <c r="O3673"/>
      <c r="P3673" s="34"/>
    </row>
    <row r="3674" spans="1:16" x14ac:dyDescent="0.25">
      <c r="A3674" s="14"/>
      <c r="B3674"/>
      <c r="C3674" s="15"/>
      <c r="D3674"/>
      <c r="E3674"/>
      <c r="F3674" s="16"/>
      <c r="G3674"/>
      <c r="H3674"/>
      <c r="I3674" s="16"/>
      <c r="J3674"/>
      <c r="K3674"/>
      <c r="L3674"/>
      <c r="M3674" s="17"/>
      <c r="N3674"/>
      <c r="O3674"/>
      <c r="P3674" s="34"/>
    </row>
    <row r="3675" spans="1:16" x14ac:dyDescent="0.25">
      <c r="A3675" s="14"/>
      <c r="B3675"/>
      <c r="C3675" s="15"/>
      <c r="D3675"/>
      <c r="E3675"/>
      <c r="F3675" s="16"/>
      <c r="G3675"/>
      <c r="H3675"/>
      <c r="I3675" s="16"/>
      <c r="J3675"/>
      <c r="K3675"/>
      <c r="L3675"/>
      <c r="M3675" s="17"/>
      <c r="N3675"/>
      <c r="O3675"/>
      <c r="P3675" s="34"/>
    </row>
    <row r="3676" spans="1:16" x14ac:dyDescent="0.25">
      <c r="A3676" s="14"/>
      <c r="B3676"/>
      <c r="C3676" s="15"/>
      <c r="D3676"/>
      <c r="E3676"/>
      <c r="F3676" s="16"/>
      <c r="G3676"/>
      <c r="H3676"/>
      <c r="I3676" s="16"/>
      <c r="J3676"/>
      <c r="K3676"/>
      <c r="L3676"/>
      <c r="M3676" s="17"/>
      <c r="N3676"/>
      <c r="O3676"/>
      <c r="P3676" s="34"/>
    </row>
    <row r="3677" spans="1:16" x14ac:dyDescent="0.25">
      <c r="A3677" s="14"/>
      <c r="B3677"/>
      <c r="C3677" s="15"/>
      <c r="D3677"/>
      <c r="E3677"/>
      <c r="F3677" s="16"/>
      <c r="G3677"/>
      <c r="H3677"/>
      <c r="I3677" s="16"/>
      <c r="J3677"/>
      <c r="K3677"/>
      <c r="L3677"/>
      <c r="M3677" s="17"/>
      <c r="N3677"/>
      <c r="O3677"/>
      <c r="P3677" s="34"/>
    </row>
    <row r="3678" spans="1:16" x14ac:dyDescent="0.25">
      <c r="A3678" s="14"/>
      <c r="B3678"/>
      <c r="C3678" s="15"/>
      <c r="D3678"/>
      <c r="E3678"/>
      <c r="F3678" s="16"/>
      <c r="G3678"/>
      <c r="H3678"/>
      <c r="I3678" s="16"/>
      <c r="J3678"/>
      <c r="K3678"/>
      <c r="L3678"/>
      <c r="M3678" s="17"/>
      <c r="N3678"/>
      <c r="O3678"/>
      <c r="P3678" s="34"/>
    </row>
    <row r="3679" spans="1:16" x14ac:dyDescent="0.25">
      <c r="A3679" s="14"/>
      <c r="B3679"/>
      <c r="C3679" s="15"/>
      <c r="D3679"/>
      <c r="E3679"/>
      <c r="F3679" s="16"/>
      <c r="G3679"/>
      <c r="H3679"/>
      <c r="I3679" s="16"/>
      <c r="J3679"/>
      <c r="K3679"/>
      <c r="L3679"/>
      <c r="M3679" s="17"/>
      <c r="N3679"/>
      <c r="O3679"/>
      <c r="P3679" s="34"/>
    </row>
    <row r="3680" spans="1:16" x14ac:dyDescent="0.25">
      <c r="A3680" s="14"/>
      <c r="B3680"/>
      <c r="C3680" s="15"/>
      <c r="D3680"/>
      <c r="E3680"/>
      <c r="F3680" s="16"/>
      <c r="G3680"/>
      <c r="H3680"/>
      <c r="I3680" s="16"/>
      <c r="J3680"/>
      <c r="K3680"/>
      <c r="L3680"/>
      <c r="M3680" s="17"/>
      <c r="N3680"/>
      <c r="O3680"/>
      <c r="P3680" s="34"/>
    </row>
    <row r="3681" spans="1:16" x14ac:dyDescent="0.25">
      <c r="A3681" s="14"/>
      <c r="B3681"/>
      <c r="C3681" s="15"/>
      <c r="D3681"/>
      <c r="E3681"/>
      <c r="F3681" s="16"/>
      <c r="G3681"/>
      <c r="H3681"/>
      <c r="I3681" s="16"/>
      <c r="J3681"/>
      <c r="K3681"/>
      <c r="L3681"/>
      <c r="M3681" s="17"/>
      <c r="N3681"/>
      <c r="O3681"/>
      <c r="P3681" s="34"/>
    </row>
    <row r="3682" spans="1:16" x14ac:dyDescent="0.25">
      <c r="A3682" s="14"/>
      <c r="B3682"/>
      <c r="C3682" s="15"/>
      <c r="D3682"/>
      <c r="E3682"/>
      <c r="F3682" s="16"/>
      <c r="G3682"/>
      <c r="H3682"/>
      <c r="I3682" s="16"/>
      <c r="J3682"/>
      <c r="K3682"/>
      <c r="L3682"/>
      <c r="M3682" s="17"/>
      <c r="N3682"/>
      <c r="O3682"/>
      <c r="P3682" s="34"/>
    </row>
    <row r="3683" spans="1:16" x14ac:dyDescent="0.25">
      <c r="A3683" s="14"/>
      <c r="B3683"/>
      <c r="C3683" s="15"/>
      <c r="D3683"/>
      <c r="E3683"/>
      <c r="F3683" s="16"/>
      <c r="G3683"/>
      <c r="H3683"/>
      <c r="I3683" s="16"/>
      <c r="J3683"/>
      <c r="K3683"/>
      <c r="L3683"/>
      <c r="M3683" s="17"/>
      <c r="N3683"/>
      <c r="O3683"/>
      <c r="P3683" s="34"/>
    </row>
    <row r="3684" spans="1:16" x14ac:dyDescent="0.25">
      <c r="A3684" s="14"/>
      <c r="B3684"/>
      <c r="C3684" s="15"/>
      <c r="D3684"/>
      <c r="E3684"/>
      <c r="F3684" s="16"/>
      <c r="G3684"/>
      <c r="H3684"/>
      <c r="I3684" s="16"/>
      <c r="J3684"/>
      <c r="K3684"/>
      <c r="L3684"/>
      <c r="M3684" s="17"/>
      <c r="N3684"/>
      <c r="O3684"/>
      <c r="P3684" s="34"/>
    </row>
    <row r="3685" spans="1:16" x14ac:dyDescent="0.25">
      <c r="A3685" s="14"/>
      <c r="B3685"/>
      <c r="C3685" s="15"/>
      <c r="D3685"/>
      <c r="E3685"/>
      <c r="F3685" s="16"/>
      <c r="G3685"/>
      <c r="H3685"/>
      <c r="I3685" s="16"/>
      <c r="J3685"/>
      <c r="K3685"/>
      <c r="L3685"/>
      <c r="M3685" s="17"/>
      <c r="N3685"/>
      <c r="O3685"/>
      <c r="P3685" s="34"/>
    </row>
    <row r="3686" spans="1:16" x14ac:dyDescent="0.25">
      <c r="A3686" s="14"/>
      <c r="B3686"/>
      <c r="C3686" s="15"/>
      <c r="D3686"/>
      <c r="E3686"/>
      <c r="F3686" s="16"/>
      <c r="G3686"/>
      <c r="H3686"/>
      <c r="I3686" s="16"/>
      <c r="J3686"/>
      <c r="K3686"/>
      <c r="L3686"/>
      <c r="M3686" s="17"/>
      <c r="N3686"/>
      <c r="O3686"/>
      <c r="P3686" s="34"/>
    </row>
    <row r="3687" spans="1:16" x14ac:dyDescent="0.25">
      <c r="A3687" s="14"/>
      <c r="B3687"/>
      <c r="C3687" s="15"/>
      <c r="D3687"/>
      <c r="E3687"/>
      <c r="F3687" s="16"/>
      <c r="G3687"/>
      <c r="H3687"/>
      <c r="I3687" s="16"/>
      <c r="J3687"/>
      <c r="K3687"/>
      <c r="L3687"/>
      <c r="M3687" s="17"/>
      <c r="N3687"/>
      <c r="O3687"/>
      <c r="P3687" s="34"/>
    </row>
    <row r="3688" spans="1:16" x14ac:dyDescent="0.25">
      <c r="A3688" s="14"/>
      <c r="B3688"/>
      <c r="C3688" s="15"/>
      <c r="D3688"/>
      <c r="E3688"/>
      <c r="F3688" s="16"/>
      <c r="G3688"/>
      <c r="H3688"/>
      <c r="I3688" s="16"/>
      <c r="J3688"/>
      <c r="K3688"/>
      <c r="L3688"/>
      <c r="M3688" s="17"/>
      <c r="N3688"/>
      <c r="O3688"/>
      <c r="P3688" s="34"/>
    </row>
    <row r="3689" spans="1:16" x14ac:dyDescent="0.25">
      <c r="A3689" s="14"/>
      <c r="B3689"/>
      <c r="C3689" s="15"/>
      <c r="D3689"/>
      <c r="E3689"/>
      <c r="F3689" s="16"/>
      <c r="G3689"/>
      <c r="H3689"/>
      <c r="I3689" s="16"/>
      <c r="J3689"/>
      <c r="K3689"/>
      <c r="L3689"/>
      <c r="M3689" s="17"/>
      <c r="N3689"/>
      <c r="O3689"/>
      <c r="P3689" s="34"/>
    </row>
    <row r="3690" spans="1:16" x14ac:dyDescent="0.25">
      <c r="A3690" s="14"/>
      <c r="B3690"/>
      <c r="C3690" s="15"/>
      <c r="D3690"/>
      <c r="E3690"/>
      <c r="F3690" s="16"/>
      <c r="G3690"/>
      <c r="H3690"/>
      <c r="I3690" s="16"/>
      <c r="J3690"/>
      <c r="K3690"/>
      <c r="L3690"/>
      <c r="M3690" s="17"/>
      <c r="N3690"/>
      <c r="O3690"/>
      <c r="P3690" s="34"/>
    </row>
    <row r="3691" spans="1:16" x14ac:dyDescent="0.25">
      <c r="A3691" s="14"/>
      <c r="B3691"/>
      <c r="C3691" s="15"/>
      <c r="D3691"/>
      <c r="E3691"/>
      <c r="F3691" s="16"/>
      <c r="G3691"/>
      <c r="H3691"/>
      <c r="I3691" s="16"/>
      <c r="J3691"/>
      <c r="K3691"/>
      <c r="L3691"/>
      <c r="M3691" s="17"/>
      <c r="N3691"/>
      <c r="O3691"/>
      <c r="P3691" s="34"/>
    </row>
    <row r="3692" spans="1:16" x14ac:dyDescent="0.25">
      <c r="A3692" s="14"/>
      <c r="B3692"/>
      <c r="C3692" s="15"/>
      <c r="D3692"/>
      <c r="E3692"/>
      <c r="F3692" s="16"/>
      <c r="G3692"/>
      <c r="H3692"/>
      <c r="I3692" s="16"/>
      <c r="J3692"/>
      <c r="K3692"/>
      <c r="L3692"/>
      <c r="M3692" s="17"/>
      <c r="N3692"/>
      <c r="O3692"/>
      <c r="P3692" s="34"/>
    </row>
    <row r="3693" spans="1:16" x14ac:dyDescent="0.25">
      <c r="A3693" s="14"/>
      <c r="B3693"/>
      <c r="C3693" s="15"/>
      <c r="D3693"/>
      <c r="E3693"/>
      <c r="F3693" s="16"/>
      <c r="G3693"/>
      <c r="H3693"/>
      <c r="I3693" s="16"/>
      <c r="J3693"/>
      <c r="K3693"/>
      <c r="L3693"/>
      <c r="M3693" s="17"/>
      <c r="N3693"/>
      <c r="O3693"/>
      <c r="P3693" s="34"/>
    </row>
    <row r="3694" spans="1:16" x14ac:dyDescent="0.25">
      <c r="A3694" s="14"/>
      <c r="B3694"/>
      <c r="C3694" s="15"/>
      <c r="D3694"/>
      <c r="E3694"/>
      <c r="F3694" s="16"/>
      <c r="G3694"/>
      <c r="H3694"/>
      <c r="I3694" s="16"/>
      <c r="J3694"/>
      <c r="K3694"/>
      <c r="L3694"/>
      <c r="M3694" s="17"/>
      <c r="N3694"/>
      <c r="O3694"/>
      <c r="P3694" s="34"/>
    </row>
    <row r="3695" spans="1:16" x14ac:dyDescent="0.25">
      <c r="A3695" s="14"/>
      <c r="B3695"/>
      <c r="C3695" s="15"/>
      <c r="D3695"/>
      <c r="E3695"/>
      <c r="F3695" s="16"/>
      <c r="G3695"/>
      <c r="H3695"/>
      <c r="I3695" s="16"/>
      <c r="J3695"/>
      <c r="K3695"/>
      <c r="L3695"/>
      <c r="M3695" s="17"/>
      <c r="N3695"/>
      <c r="O3695"/>
      <c r="P3695" s="34"/>
    </row>
    <row r="3696" spans="1:16" x14ac:dyDescent="0.25">
      <c r="A3696" s="14"/>
      <c r="B3696"/>
      <c r="C3696" s="15"/>
      <c r="D3696"/>
      <c r="E3696"/>
      <c r="F3696" s="16"/>
      <c r="G3696"/>
      <c r="H3696"/>
      <c r="I3696" s="16"/>
      <c r="J3696"/>
      <c r="K3696"/>
      <c r="L3696"/>
      <c r="M3696" s="17"/>
      <c r="N3696"/>
      <c r="O3696"/>
      <c r="P3696" s="34"/>
    </row>
    <row r="3697" spans="1:16" x14ac:dyDescent="0.25">
      <c r="A3697" s="14"/>
      <c r="B3697"/>
      <c r="C3697" s="15"/>
      <c r="D3697"/>
      <c r="E3697"/>
      <c r="F3697" s="16"/>
      <c r="G3697"/>
      <c r="H3697"/>
      <c r="I3697" s="16"/>
      <c r="J3697"/>
      <c r="K3697"/>
      <c r="L3697"/>
      <c r="M3697" s="17"/>
      <c r="N3697"/>
      <c r="O3697"/>
      <c r="P3697" s="34"/>
    </row>
    <row r="3698" spans="1:16" x14ac:dyDescent="0.25">
      <c r="A3698" s="14"/>
      <c r="B3698"/>
      <c r="C3698" s="15"/>
      <c r="D3698"/>
      <c r="E3698"/>
      <c r="F3698" s="16"/>
      <c r="G3698"/>
      <c r="H3698"/>
      <c r="I3698" s="16"/>
      <c r="J3698"/>
      <c r="K3698"/>
      <c r="L3698"/>
      <c r="M3698" s="17"/>
      <c r="N3698"/>
      <c r="O3698"/>
      <c r="P3698" s="34"/>
    </row>
    <row r="3699" spans="1:16" x14ac:dyDescent="0.25">
      <c r="A3699" s="14"/>
      <c r="B3699"/>
      <c r="C3699" s="15"/>
      <c r="D3699"/>
      <c r="E3699"/>
      <c r="F3699" s="16"/>
      <c r="G3699"/>
      <c r="H3699"/>
      <c r="I3699" s="16"/>
      <c r="J3699"/>
      <c r="K3699"/>
      <c r="L3699"/>
      <c r="M3699" s="17"/>
      <c r="N3699"/>
      <c r="O3699"/>
      <c r="P3699" s="34"/>
    </row>
    <row r="3700" spans="1:16" x14ac:dyDescent="0.25">
      <c r="A3700" s="14"/>
      <c r="B3700"/>
      <c r="C3700" s="15"/>
      <c r="D3700"/>
      <c r="E3700"/>
      <c r="F3700" s="16"/>
      <c r="G3700"/>
      <c r="H3700"/>
      <c r="I3700" s="16"/>
      <c r="J3700"/>
      <c r="K3700"/>
      <c r="L3700"/>
      <c r="M3700" s="17"/>
      <c r="N3700"/>
      <c r="O3700"/>
      <c r="P3700" s="34"/>
    </row>
    <row r="3701" spans="1:16" x14ac:dyDescent="0.25">
      <c r="A3701" s="14"/>
      <c r="B3701"/>
      <c r="C3701" s="15"/>
      <c r="D3701"/>
      <c r="E3701"/>
      <c r="F3701" s="16"/>
      <c r="G3701"/>
      <c r="H3701"/>
      <c r="I3701" s="16"/>
      <c r="J3701"/>
      <c r="K3701"/>
      <c r="L3701"/>
      <c r="M3701" s="17"/>
      <c r="N3701"/>
      <c r="O3701"/>
      <c r="P3701" s="34"/>
    </row>
    <row r="3702" spans="1:16" x14ac:dyDescent="0.25">
      <c r="A3702" s="14"/>
      <c r="B3702"/>
      <c r="C3702" s="15"/>
      <c r="D3702"/>
      <c r="E3702"/>
      <c r="F3702" s="16"/>
      <c r="G3702"/>
      <c r="H3702"/>
      <c r="I3702" s="16"/>
      <c r="J3702"/>
      <c r="K3702"/>
      <c r="L3702"/>
      <c r="M3702" s="17"/>
      <c r="N3702"/>
      <c r="O3702"/>
      <c r="P3702" s="34"/>
    </row>
    <row r="3703" spans="1:16" x14ac:dyDescent="0.25">
      <c r="A3703" s="14"/>
      <c r="B3703"/>
      <c r="C3703" s="15"/>
      <c r="D3703"/>
      <c r="E3703"/>
      <c r="F3703" s="16"/>
      <c r="G3703"/>
      <c r="H3703"/>
      <c r="I3703" s="16"/>
      <c r="J3703"/>
      <c r="K3703"/>
      <c r="L3703"/>
      <c r="M3703" s="17"/>
      <c r="N3703"/>
      <c r="O3703"/>
      <c r="P3703" s="34"/>
    </row>
    <row r="3704" spans="1:16" x14ac:dyDescent="0.25">
      <c r="A3704" s="14"/>
      <c r="B3704"/>
      <c r="C3704" s="15"/>
      <c r="D3704"/>
      <c r="E3704"/>
      <c r="F3704" s="16"/>
      <c r="G3704"/>
      <c r="H3704"/>
      <c r="I3704" s="16"/>
      <c r="J3704"/>
      <c r="K3704"/>
      <c r="L3704"/>
      <c r="M3704" s="17"/>
      <c r="N3704"/>
      <c r="O3704"/>
      <c r="P3704" s="34"/>
    </row>
    <row r="3705" spans="1:16" x14ac:dyDescent="0.25">
      <c r="A3705" s="14"/>
      <c r="B3705"/>
      <c r="C3705" s="15"/>
      <c r="D3705"/>
      <c r="E3705"/>
      <c r="F3705" s="16"/>
      <c r="G3705"/>
      <c r="H3705"/>
      <c r="I3705" s="16"/>
      <c r="J3705"/>
      <c r="K3705"/>
      <c r="L3705"/>
      <c r="M3705" s="17"/>
      <c r="N3705"/>
      <c r="O3705"/>
      <c r="P3705" s="34"/>
    </row>
    <row r="3706" spans="1:16" x14ac:dyDescent="0.25">
      <c r="A3706" s="14"/>
      <c r="B3706"/>
      <c r="C3706" s="15"/>
      <c r="D3706"/>
      <c r="E3706"/>
      <c r="F3706" s="16"/>
      <c r="G3706"/>
      <c r="H3706"/>
      <c r="I3706" s="16"/>
      <c r="J3706"/>
      <c r="K3706"/>
      <c r="L3706"/>
      <c r="M3706" s="17"/>
      <c r="N3706"/>
      <c r="O3706"/>
      <c r="P3706" s="34"/>
    </row>
    <row r="3707" spans="1:16" x14ac:dyDescent="0.25">
      <c r="A3707" s="14"/>
      <c r="B3707"/>
      <c r="C3707" s="15"/>
      <c r="D3707"/>
      <c r="E3707"/>
      <c r="F3707" s="16"/>
      <c r="G3707"/>
      <c r="H3707"/>
      <c r="I3707" s="16"/>
      <c r="J3707"/>
      <c r="K3707"/>
      <c r="L3707"/>
      <c r="M3707" s="17"/>
      <c r="N3707"/>
      <c r="O3707"/>
      <c r="P3707" s="34"/>
    </row>
    <row r="3708" spans="1:16" x14ac:dyDescent="0.25">
      <c r="A3708" s="14"/>
      <c r="B3708"/>
      <c r="C3708" s="15"/>
      <c r="D3708"/>
      <c r="E3708"/>
      <c r="F3708" s="16"/>
      <c r="G3708"/>
      <c r="H3708"/>
      <c r="I3708" s="16"/>
      <c r="J3708"/>
      <c r="K3708"/>
      <c r="L3708"/>
      <c r="M3708" s="17"/>
      <c r="N3708"/>
      <c r="O3708"/>
      <c r="P3708" s="34"/>
    </row>
    <row r="3709" spans="1:16" x14ac:dyDescent="0.25">
      <c r="A3709" s="14"/>
      <c r="B3709"/>
      <c r="C3709" s="15"/>
      <c r="D3709"/>
      <c r="E3709"/>
      <c r="F3709" s="16"/>
      <c r="G3709"/>
      <c r="H3709"/>
      <c r="I3709" s="16"/>
      <c r="J3709"/>
      <c r="K3709"/>
      <c r="L3709"/>
      <c r="M3709" s="17"/>
      <c r="N3709"/>
      <c r="O3709"/>
      <c r="P3709" s="34"/>
    </row>
    <row r="3710" spans="1:16" x14ac:dyDescent="0.25">
      <c r="A3710" s="14"/>
      <c r="B3710"/>
      <c r="C3710" s="15"/>
      <c r="D3710"/>
      <c r="E3710"/>
      <c r="F3710" s="16"/>
      <c r="G3710"/>
      <c r="H3710"/>
      <c r="I3710" s="16"/>
      <c r="J3710"/>
      <c r="K3710"/>
      <c r="L3710"/>
      <c r="M3710" s="17"/>
      <c r="N3710"/>
      <c r="O3710"/>
      <c r="P3710" s="34"/>
    </row>
    <row r="3711" spans="1:16" x14ac:dyDescent="0.25">
      <c r="A3711" s="14"/>
      <c r="B3711"/>
      <c r="C3711" s="15"/>
      <c r="D3711"/>
      <c r="E3711"/>
      <c r="F3711" s="16"/>
      <c r="G3711"/>
      <c r="H3711"/>
      <c r="I3711" s="16"/>
      <c r="J3711"/>
      <c r="K3711"/>
      <c r="L3711"/>
      <c r="M3711" s="17"/>
      <c r="N3711"/>
      <c r="O3711"/>
      <c r="P3711" s="34"/>
    </row>
    <row r="3712" spans="1:16" x14ac:dyDescent="0.25">
      <c r="A3712" s="14"/>
      <c r="B3712"/>
      <c r="C3712" s="15"/>
      <c r="D3712"/>
      <c r="E3712"/>
      <c r="F3712" s="16"/>
      <c r="G3712"/>
      <c r="H3712"/>
      <c r="I3712" s="16"/>
      <c r="J3712"/>
      <c r="K3712"/>
      <c r="L3712"/>
      <c r="M3712" s="17"/>
      <c r="N3712"/>
      <c r="O3712"/>
      <c r="P3712" s="34"/>
    </row>
    <row r="3713" spans="1:16" x14ac:dyDescent="0.25">
      <c r="A3713" s="14"/>
      <c r="B3713"/>
      <c r="C3713" s="15"/>
      <c r="D3713"/>
      <c r="E3713"/>
      <c r="F3713" s="16"/>
      <c r="G3713"/>
      <c r="H3713"/>
      <c r="I3713" s="16"/>
      <c r="J3713"/>
      <c r="K3713"/>
      <c r="L3713"/>
      <c r="M3713" s="17"/>
      <c r="N3713"/>
      <c r="O3713"/>
      <c r="P3713" s="34"/>
    </row>
    <row r="3714" spans="1:16" x14ac:dyDescent="0.25">
      <c r="A3714" s="14"/>
      <c r="B3714"/>
      <c r="C3714" s="15"/>
      <c r="D3714"/>
      <c r="E3714"/>
      <c r="F3714" s="16"/>
      <c r="G3714"/>
      <c r="H3714"/>
      <c r="I3714" s="16"/>
      <c r="J3714"/>
      <c r="K3714"/>
      <c r="L3714"/>
      <c r="M3714" s="17"/>
      <c r="N3714"/>
      <c r="O3714"/>
      <c r="P3714" s="34"/>
    </row>
    <row r="3715" spans="1:16" x14ac:dyDescent="0.25">
      <c r="A3715" s="14"/>
      <c r="B3715"/>
      <c r="C3715" s="15"/>
      <c r="D3715"/>
      <c r="E3715"/>
      <c r="F3715" s="16"/>
      <c r="G3715"/>
      <c r="H3715"/>
      <c r="I3715" s="16"/>
      <c r="J3715"/>
      <c r="K3715"/>
      <c r="L3715"/>
      <c r="M3715" s="17"/>
      <c r="N3715"/>
      <c r="O3715"/>
      <c r="P3715" s="34"/>
    </row>
    <row r="3716" spans="1:16" x14ac:dyDescent="0.25">
      <c r="A3716" s="14"/>
      <c r="B3716"/>
      <c r="C3716" s="15"/>
      <c r="D3716"/>
      <c r="E3716"/>
      <c r="F3716" s="16"/>
      <c r="G3716"/>
      <c r="H3716"/>
      <c r="I3716" s="16"/>
      <c r="J3716"/>
      <c r="K3716"/>
      <c r="L3716"/>
      <c r="M3716" s="17"/>
      <c r="N3716"/>
      <c r="O3716"/>
      <c r="P3716" s="34"/>
    </row>
    <row r="3717" spans="1:16" x14ac:dyDescent="0.25">
      <c r="A3717" s="14"/>
      <c r="B3717"/>
      <c r="C3717" s="15"/>
      <c r="D3717"/>
      <c r="E3717"/>
      <c r="F3717" s="16"/>
      <c r="G3717"/>
      <c r="H3717"/>
      <c r="I3717" s="16"/>
      <c r="J3717"/>
      <c r="K3717"/>
      <c r="L3717"/>
      <c r="M3717" s="17"/>
      <c r="N3717"/>
      <c r="O3717"/>
      <c r="P3717" s="34"/>
    </row>
    <row r="3718" spans="1:16" x14ac:dyDescent="0.25">
      <c r="A3718" s="14"/>
      <c r="B3718"/>
      <c r="C3718" s="15"/>
      <c r="D3718"/>
      <c r="E3718"/>
      <c r="F3718" s="16"/>
      <c r="G3718"/>
      <c r="H3718"/>
      <c r="I3718" s="16"/>
      <c r="J3718"/>
      <c r="K3718"/>
      <c r="L3718"/>
      <c r="M3718" s="17"/>
      <c r="N3718"/>
      <c r="O3718"/>
      <c r="P3718" s="34"/>
    </row>
    <row r="3719" spans="1:16" x14ac:dyDescent="0.25">
      <c r="A3719" s="14"/>
      <c r="B3719"/>
      <c r="C3719" s="15"/>
      <c r="D3719"/>
      <c r="E3719"/>
      <c r="F3719" s="16"/>
      <c r="G3719"/>
      <c r="H3719"/>
      <c r="I3719" s="16"/>
      <c r="J3719"/>
      <c r="K3719"/>
      <c r="L3719"/>
      <c r="M3719" s="17"/>
      <c r="N3719"/>
      <c r="O3719"/>
      <c r="P3719" s="34"/>
    </row>
    <row r="3720" spans="1:16" x14ac:dyDescent="0.25">
      <c r="A3720" s="14"/>
      <c r="B3720"/>
      <c r="C3720" s="15"/>
      <c r="D3720"/>
      <c r="E3720"/>
      <c r="F3720" s="16"/>
      <c r="G3720"/>
      <c r="H3720"/>
      <c r="I3720" s="16"/>
      <c r="J3720"/>
      <c r="K3720"/>
      <c r="L3720"/>
      <c r="M3720" s="17"/>
      <c r="N3720"/>
      <c r="O3720"/>
      <c r="P3720" s="34"/>
    </row>
    <row r="3721" spans="1:16" x14ac:dyDescent="0.25">
      <c r="A3721" s="14"/>
      <c r="B3721"/>
      <c r="C3721" s="15"/>
      <c r="D3721"/>
      <c r="E3721"/>
      <c r="F3721" s="16"/>
      <c r="G3721"/>
      <c r="H3721"/>
      <c r="I3721" s="16"/>
      <c r="J3721"/>
      <c r="K3721"/>
      <c r="L3721"/>
      <c r="M3721" s="17"/>
      <c r="N3721"/>
      <c r="O3721"/>
      <c r="P3721" s="34"/>
    </row>
    <row r="3722" spans="1:16" x14ac:dyDescent="0.25">
      <c r="A3722" s="14"/>
      <c r="B3722"/>
      <c r="C3722" s="15"/>
      <c r="D3722"/>
      <c r="E3722"/>
      <c r="F3722" s="16"/>
      <c r="G3722"/>
      <c r="H3722"/>
      <c r="I3722" s="16"/>
      <c r="J3722"/>
      <c r="K3722"/>
      <c r="L3722"/>
      <c r="M3722" s="17"/>
      <c r="N3722"/>
      <c r="O3722"/>
      <c r="P3722" s="34"/>
    </row>
    <row r="3723" spans="1:16" x14ac:dyDescent="0.25">
      <c r="A3723" s="14"/>
      <c r="B3723"/>
      <c r="C3723" s="15"/>
      <c r="D3723"/>
      <c r="E3723"/>
      <c r="F3723" s="16"/>
      <c r="G3723"/>
      <c r="H3723"/>
      <c r="I3723" s="16"/>
      <c r="J3723"/>
      <c r="K3723"/>
      <c r="L3723"/>
      <c r="M3723" s="17"/>
      <c r="N3723"/>
      <c r="O3723"/>
      <c r="P3723" s="34"/>
    </row>
    <row r="3724" spans="1:16" x14ac:dyDescent="0.25">
      <c r="A3724" s="14"/>
      <c r="B3724"/>
      <c r="C3724" s="15"/>
      <c r="D3724"/>
      <c r="E3724"/>
      <c r="F3724" s="16"/>
      <c r="G3724"/>
      <c r="H3724"/>
      <c r="I3724" s="16"/>
      <c r="J3724"/>
      <c r="K3724"/>
      <c r="L3724"/>
      <c r="M3724" s="17"/>
      <c r="N3724"/>
      <c r="O3724"/>
      <c r="P3724" s="34"/>
    </row>
    <row r="3725" spans="1:16" x14ac:dyDescent="0.25">
      <c r="A3725" s="14"/>
      <c r="B3725"/>
      <c r="C3725" s="15"/>
      <c r="D3725"/>
      <c r="E3725"/>
      <c r="F3725" s="16"/>
      <c r="G3725"/>
      <c r="H3725"/>
      <c r="I3725" s="16"/>
      <c r="J3725"/>
      <c r="K3725"/>
      <c r="L3725"/>
      <c r="M3725" s="17"/>
      <c r="N3725"/>
      <c r="O3725"/>
      <c r="P3725" s="34"/>
    </row>
    <row r="3726" spans="1:16" x14ac:dyDescent="0.25">
      <c r="A3726" s="14"/>
      <c r="B3726"/>
      <c r="C3726" s="15"/>
      <c r="D3726"/>
      <c r="E3726"/>
      <c r="F3726" s="16"/>
      <c r="G3726"/>
      <c r="H3726"/>
      <c r="I3726" s="16"/>
      <c r="J3726"/>
      <c r="K3726"/>
      <c r="L3726"/>
      <c r="M3726" s="17"/>
      <c r="N3726"/>
      <c r="O3726"/>
      <c r="P3726" s="34"/>
    </row>
    <row r="3727" spans="1:16" x14ac:dyDescent="0.25">
      <c r="A3727" s="14"/>
      <c r="B3727"/>
      <c r="C3727" s="15"/>
      <c r="D3727"/>
      <c r="E3727"/>
      <c r="F3727" s="16"/>
      <c r="G3727"/>
      <c r="H3727"/>
      <c r="I3727" s="16"/>
      <c r="J3727"/>
      <c r="K3727"/>
      <c r="L3727"/>
      <c r="M3727" s="17"/>
      <c r="N3727"/>
      <c r="O3727"/>
      <c r="P3727" s="34"/>
    </row>
    <row r="3728" spans="1:16" x14ac:dyDescent="0.25">
      <c r="A3728" s="14"/>
      <c r="B3728"/>
      <c r="C3728" s="15"/>
      <c r="D3728"/>
      <c r="E3728"/>
      <c r="F3728" s="16"/>
      <c r="G3728"/>
      <c r="H3728"/>
      <c r="I3728" s="16"/>
      <c r="J3728"/>
      <c r="K3728"/>
      <c r="L3728"/>
      <c r="M3728" s="17"/>
      <c r="N3728"/>
      <c r="O3728"/>
      <c r="P3728" s="34"/>
    </row>
    <row r="3729" spans="1:16" x14ac:dyDescent="0.25">
      <c r="A3729" s="14"/>
      <c r="B3729"/>
      <c r="C3729" s="15"/>
      <c r="D3729"/>
      <c r="E3729"/>
      <c r="F3729" s="16"/>
      <c r="G3729"/>
      <c r="H3729"/>
      <c r="I3729" s="16"/>
      <c r="J3729"/>
      <c r="K3729"/>
      <c r="L3729"/>
      <c r="M3729" s="17"/>
      <c r="N3729"/>
      <c r="O3729"/>
      <c r="P3729" s="34"/>
    </row>
    <row r="3730" spans="1:16" x14ac:dyDescent="0.25">
      <c r="A3730" s="14"/>
      <c r="B3730"/>
      <c r="C3730" s="15"/>
      <c r="D3730"/>
      <c r="E3730"/>
      <c r="F3730" s="16"/>
      <c r="G3730"/>
      <c r="H3730"/>
      <c r="I3730" s="16"/>
      <c r="J3730"/>
      <c r="K3730"/>
      <c r="L3730"/>
      <c r="M3730" s="17"/>
      <c r="N3730"/>
      <c r="O3730"/>
      <c r="P3730" s="34"/>
    </row>
    <row r="3731" spans="1:16" x14ac:dyDescent="0.25">
      <c r="A3731" s="14"/>
      <c r="B3731"/>
      <c r="C3731" s="15"/>
      <c r="D3731"/>
      <c r="E3731"/>
      <c r="F3731" s="16"/>
      <c r="G3731"/>
      <c r="H3731"/>
      <c r="I3731" s="16"/>
      <c r="J3731"/>
      <c r="K3731"/>
      <c r="L3731"/>
      <c r="M3731" s="17"/>
      <c r="N3731"/>
      <c r="O3731"/>
      <c r="P3731" s="34"/>
    </row>
    <row r="3732" spans="1:16" x14ac:dyDescent="0.25">
      <c r="A3732" s="14"/>
      <c r="B3732"/>
      <c r="C3732" s="15"/>
      <c r="D3732"/>
      <c r="E3732"/>
      <c r="F3732" s="16"/>
      <c r="G3732"/>
      <c r="H3732"/>
      <c r="I3732" s="16"/>
      <c r="J3732"/>
      <c r="K3732"/>
      <c r="L3732"/>
      <c r="M3732" s="17"/>
      <c r="N3732"/>
      <c r="O3732"/>
      <c r="P3732" s="34"/>
    </row>
    <row r="3733" spans="1:16" x14ac:dyDescent="0.25">
      <c r="A3733" s="14"/>
      <c r="B3733"/>
      <c r="C3733" s="15"/>
      <c r="D3733"/>
      <c r="E3733"/>
      <c r="F3733" s="16"/>
      <c r="G3733"/>
      <c r="H3733"/>
      <c r="I3733" s="16"/>
      <c r="J3733"/>
      <c r="K3733"/>
      <c r="L3733"/>
      <c r="M3733" s="17"/>
      <c r="N3733"/>
      <c r="O3733"/>
      <c r="P3733" s="34"/>
    </row>
    <row r="3734" spans="1:16" x14ac:dyDescent="0.25">
      <c r="A3734" s="14"/>
      <c r="B3734"/>
      <c r="C3734" s="15"/>
      <c r="D3734"/>
      <c r="E3734"/>
      <c r="F3734" s="16"/>
      <c r="G3734"/>
      <c r="H3734"/>
      <c r="I3734" s="16"/>
      <c r="J3734"/>
      <c r="K3734"/>
      <c r="L3734"/>
      <c r="M3734" s="17"/>
      <c r="N3734"/>
      <c r="O3734"/>
      <c r="P3734" s="34"/>
    </row>
    <row r="3735" spans="1:16" x14ac:dyDescent="0.25">
      <c r="A3735" s="14"/>
      <c r="B3735"/>
      <c r="C3735" s="15"/>
      <c r="D3735"/>
      <c r="E3735"/>
      <c r="F3735" s="16"/>
      <c r="G3735"/>
      <c r="H3735"/>
      <c r="I3735" s="16"/>
      <c r="J3735"/>
      <c r="K3735"/>
      <c r="L3735"/>
      <c r="M3735" s="17"/>
      <c r="N3735"/>
      <c r="O3735"/>
      <c r="P3735" s="34"/>
    </row>
    <row r="3736" spans="1:16" x14ac:dyDescent="0.25">
      <c r="A3736" s="14"/>
      <c r="B3736"/>
      <c r="C3736" s="15"/>
      <c r="D3736"/>
      <c r="E3736"/>
      <c r="F3736" s="16"/>
      <c r="G3736"/>
      <c r="H3736"/>
      <c r="I3736" s="16"/>
      <c r="J3736"/>
      <c r="K3736"/>
      <c r="L3736"/>
      <c r="M3736" s="17"/>
      <c r="N3736"/>
      <c r="O3736"/>
      <c r="P3736" s="34"/>
    </row>
    <row r="3737" spans="1:16" x14ac:dyDescent="0.25">
      <c r="A3737" s="14"/>
      <c r="B3737"/>
      <c r="C3737" s="15"/>
      <c r="D3737"/>
      <c r="E3737"/>
      <c r="F3737" s="16"/>
      <c r="G3737"/>
      <c r="H3737"/>
      <c r="I3737" s="16"/>
      <c r="J3737"/>
      <c r="K3737"/>
      <c r="L3737"/>
      <c r="M3737" s="17"/>
      <c r="N3737"/>
      <c r="O3737"/>
      <c r="P3737" s="34"/>
    </row>
    <row r="3738" spans="1:16" x14ac:dyDescent="0.25">
      <c r="A3738" s="14"/>
      <c r="B3738"/>
      <c r="C3738" s="15"/>
      <c r="D3738"/>
      <c r="E3738"/>
      <c r="F3738" s="16"/>
      <c r="G3738"/>
      <c r="H3738"/>
      <c r="I3738" s="16"/>
      <c r="J3738"/>
      <c r="K3738"/>
      <c r="L3738"/>
      <c r="M3738" s="17"/>
      <c r="N3738"/>
      <c r="O3738"/>
      <c r="P3738" s="34"/>
    </row>
    <row r="3739" spans="1:16" x14ac:dyDescent="0.25">
      <c r="A3739" s="14"/>
      <c r="B3739"/>
      <c r="C3739" s="15"/>
      <c r="D3739"/>
      <c r="E3739"/>
      <c r="F3739" s="16"/>
      <c r="G3739"/>
      <c r="H3739"/>
      <c r="I3739" s="16"/>
      <c r="J3739"/>
      <c r="K3739"/>
      <c r="L3739"/>
      <c r="M3739" s="17"/>
      <c r="N3739"/>
      <c r="O3739"/>
      <c r="P3739" s="34"/>
    </row>
    <row r="3740" spans="1:16" x14ac:dyDescent="0.25">
      <c r="A3740" s="14"/>
      <c r="B3740"/>
      <c r="C3740" s="15"/>
      <c r="D3740"/>
      <c r="E3740"/>
      <c r="F3740" s="16"/>
      <c r="G3740"/>
      <c r="H3740"/>
      <c r="I3740" s="16"/>
      <c r="J3740"/>
      <c r="K3740"/>
      <c r="L3740"/>
      <c r="M3740" s="17"/>
      <c r="N3740"/>
      <c r="O3740"/>
      <c r="P3740" s="34"/>
    </row>
    <row r="3741" spans="1:16" x14ac:dyDescent="0.25">
      <c r="A3741" s="14"/>
      <c r="B3741"/>
      <c r="C3741" s="15"/>
      <c r="D3741"/>
      <c r="E3741"/>
      <c r="F3741" s="16"/>
      <c r="G3741"/>
      <c r="H3741"/>
      <c r="I3741" s="16"/>
      <c r="J3741"/>
      <c r="K3741"/>
      <c r="L3741"/>
      <c r="M3741" s="17"/>
      <c r="N3741"/>
      <c r="O3741"/>
      <c r="P3741" s="34"/>
    </row>
    <row r="3742" spans="1:16" x14ac:dyDescent="0.25">
      <c r="A3742" s="14"/>
      <c r="B3742"/>
      <c r="C3742" s="15"/>
      <c r="D3742"/>
      <c r="E3742"/>
      <c r="F3742" s="16"/>
      <c r="G3742"/>
      <c r="H3742"/>
      <c r="I3742" s="16"/>
      <c r="J3742"/>
      <c r="K3742"/>
      <c r="L3742"/>
      <c r="M3742" s="17"/>
      <c r="N3742"/>
      <c r="O3742"/>
      <c r="P3742" s="34"/>
    </row>
    <row r="3743" spans="1:16" x14ac:dyDescent="0.25">
      <c r="A3743" s="14"/>
      <c r="B3743"/>
      <c r="C3743" s="15"/>
      <c r="D3743"/>
      <c r="E3743"/>
      <c r="F3743" s="16"/>
      <c r="G3743"/>
      <c r="H3743"/>
      <c r="I3743" s="16"/>
      <c r="J3743"/>
      <c r="K3743"/>
      <c r="L3743"/>
      <c r="M3743" s="17"/>
      <c r="N3743"/>
      <c r="O3743"/>
      <c r="P3743" s="34"/>
    </row>
    <row r="3744" spans="1:16" x14ac:dyDescent="0.25">
      <c r="A3744" s="14"/>
      <c r="B3744"/>
      <c r="C3744" s="15"/>
      <c r="D3744"/>
      <c r="E3744"/>
      <c r="F3744" s="16"/>
      <c r="G3744"/>
      <c r="H3744"/>
      <c r="I3744" s="16"/>
      <c r="J3744"/>
      <c r="K3744"/>
      <c r="L3744"/>
      <c r="M3744" s="17"/>
      <c r="N3744"/>
      <c r="O3744"/>
      <c r="P3744" s="34"/>
    </row>
    <row r="3745" spans="1:16" x14ac:dyDescent="0.25">
      <c r="A3745" s="14"/>
      <c r="B3745"/>
      <c r="C3745" s="15"/>
      <c r="D3745"/>
      <c r="E3745"/>
      <c r="F3745" s="16"/>
      <c r="G3745"/>
      <c r="H3745"/>
      <c r="I3745" s="16"/>
      <c r="J3745"/>
      <c r="K3745"/>
      <c r="L3745"/>
      <c r="M3745" s="17"/>
      <c r="N3745"/>
      <c r="O3745"/>
      <c r="P3745" s="34"/>
    </row>
    <row r="3746" spans="1:16" x14ac:dyDescent="0.25">
      <c r="A3746" s="14"/>
      <c r="B3746"/>
      <c r="C3746" s="15"/>
      <c r="D3746"/>
      <c r="E3746"/>
      <c r="F3746" s="16"/>
      <c r="G3746"/>
      <c r="H3746"/>
      <c r="I3746" s="16"/>
      <c r="J3746"/>
      <c r="K3746"/>
      <c r="L3746"/>
      <c r="M3746" s="17"/>
      <c r="N3746"/>
      <c r="O3746"/>
      <c r="P3746" s="34"/>
    </row>
    <row r="3747" spans="1:16" x14ac:dyDescent="0.25">
      <c r="A3747" s="14"/>
      <c r="B3747"/>
      <c r="C3747" s="15"/>
      <c r="D3747"/>
      <c r="E3747"/>
      <c r="F3747" s="16"/>
      <c r="G3747"/>
      <c r="H3747"/>
      <c r="I3747" s="16"/>
      <c r="J3747"/>
      <c r="K3747"/>
      <c r="L3747"/>
      <c r="M3747" s="17"/>
      <c r="N3747"/>
      <c r="O3747"/>
      <c r="P3747" s="34"/>
    </row>
    <row r="3748" spans="1:16" x14ac:dyDescent="0.25">
      <c r="A3748" s="14"/>
      <c r="B3748"/>
      <c r="C3748" s="15"/>
      <c r="D3748"/>
      <c r="E3748"/>
      <c r="F3748" s="16"/>
      <c r="G3748"/>
      <c r="H3748"/>
      <c r="I3748" s="16"/>
      <c r="J3748"/>
      <c r="K3748"/>
      <c r="L3748"/>
      <c r="M3748" s="17"/>
      <c r="N3748"/>
      <c r="O3748"/>
      <c r="P3748" s="34"/>
    </row>
    <row r="3749" spans="1:16" x14ac:dyDescent="0.25">
      <c r="A3749" s="14"/>
      <c r="B3749"/>
      <c r="C3749" s="15"/>
      <c r="D3749"/>
      <c r="E3749"/>
      <c r="F3749" s="16"/>
      <c r="G3749"/>
      <c r="H3749"/>
      <c r="I3749" s="16"/>
      <c r="J3749"/>
      <c r="K3749"/>
      <c r="L3749"/>
      <c r="M3749" s="17"/>
      <c r="N3749"/>
      <c r="O3749"/>
      <c r="P3749" s="34"/>
    </row>
    <row r="3750" spans="1:16" x14ac:dyDescent="0.25">
      <c r="A3750" s="14"/>
      <c r="B3750"/>
      <c r="C3750" s="15"/>
      <c r="D3750"/>
      <c r="E3750"/>
      <c r="F3750" s="16"/>
      <c r="G3750"/>
      <c r="H3750"/>
      <c r="I3750" s="16"/>
      <c r="J3750"/>
      <c r="K3750"/>
      <c r="L3750"/>
      <c r="M3750" s="17"/>
      <c r="N3750"/>
      <c r="O3750"/>
      <c r="P3750" s="34"/>
    </row>
    <row r="3751" spans="1:16" x14ac:dyDescent="0.25">
      <c r="A3751" s="14"/>
      <c r="B3751"/>
      <c r="C3751" s="15"/>
      <c r="D3751"/>
      <c r="E3751"/>
      <c r="F3751" s="16"/>
      <c r="G3751"/>
      <c r="H3751"/>
      <c r="I3751" s="16"/>
      <c r="J3751"/>
      <c r="K3751"/>
      <c r="L3751"/>
      <c r="M3751" s="17"/>
      <c r="N3751"/>
      <c r="O3751"/>
      <c r="P3751" s="34"/>
    </row>
    <row r="3752" spans="1:16" x14ac:dyDescent="0.25">
      <c r="A3752" s="14"/>
      <c r="B3752"/>
      <c r="C3752" s="15"/>
      <c r="D3752"/>
      <c r="E3752"/>
      <c r="F3752" s="16"/>
      <c r="G3752"/>
      <c r="H3752"/>
      <c r="I3752" s="16"/>
      <c r="J3752"/>
      <c r="K3752"/>
      <c r="L3752"/>
      <c r="M3752" s="17"/>
      <c r="N3752"/>
      <c r="O3752"/>
      <c r="P3752" s="34"/>
    </row>
    <row r="3753" spans="1:16" x14ac:dyDescent="0.25">
      <c r="A3753" s="14"/>
      <c r="B3753"/>
      <c r="C3753" s="15"/>
      <c r="D3753"/>
      <c r="E3753"/>
      <c r="F3753" s="16"/>
      <c r="G3753"/>
      <c r="H3753"/>
      <c r="I3753" s="16"/>
      <c r="J3753"/>
      <c r="K3753"/>
      <c r="L3753"/>
      <c r="M3753" s="17"/>
      <c r="N3753"/>
      <c r="O3753"/>
      <c r="P3753" s="34"/>
    </row>
    <row r="3754" spans="1:16" x14ac:dyDescent="0.25">
      <c r="A3754" s="14"/>
      <c r="B3754"/>
      <c r="C3754" s="15"/>
      <c r="D3754"/>
      <c r="E3754"/>
      <c r="F3754" s="16"/>
      <c r="G3754"/>
      <c r="H3754"/>
      <c r="I3754" s="16"/>
      <c r="J3754"/>
      <c r="K3754"/>
      <c r="L3754"/>
      <c r="M3754" s="17"/>
      <c r="N3754"/>
      <c r="O3754"/>
      <c r="P3754" s="34"/>
    </row>
    <row r="3755" spans="1:16" x14ac:dyDescent="0.25">
      <c r="A3755" s="14"/>
      <c r="B3755"/>
      <c r="C3755" s="15"/>
      <c r="D3755"/>
      <c r="E3755"/>
      <c r="F3755" s="16"/>
      <c r="G3755"/>
      <c r="H3755"/>
      <c r="I3755" s="16"/>
      <c r="J3755"/>
      <c r="K3755"/>
      <c r="L3755"/>
      <c r="M3755" s="17"/>
      <c r="N3755"/>
      <c r="O3755"/>
      <c r="P3755" s="34"/>
    </row>
    <row r="3756" spans="1:16" x14ac:dyDescent="0.25">
      <c r="A3756" s="14"/>
      <c r="B3756"/>
      <c r="C3756" s="15"/>
      <c r="D3756"/>
      <c r="E3756"/>
      <c r="F3756" s="16"/>
      <c r="G3756"/>
      <c r="H3756"/>
      <c r="I3756" s="16"/>
      <c r="J3756"/>
      <c r="K3756"/>
      <c r="L3756"/>
      <c r="M3756" s="17"/>
      <c r="N3756"/>
      <c r="O3756"/>
      <c r="P3756" s="34"/>
    </row>
    <row r="3757" spans="1:16" x14ac:dyDescent="0.25">
      <c r="A3757" s="14"/>
      <c r="B3757"/>
      <c r="C3757" s="15"/>
      <c r="D3757"/>
      <c r="E3757"/>
      <c r="F3757" s="16"/>
      <c r="G3757"/>
      <c r="H3757"/>
      <c r="I3757" s="16"/>
      <c r="J3757"/>
      <c r="K3757"/>
      <c r="L3757"/>
      <c r="M3757" s="17"/>
      <c r="N3757"/>
      <c r="O3757"/>
      <c r="P3757" s="34"/>
    </row>
    <row r="3758" spans="1:16" x14ac:dyDescent="0.25">
      <c r="A3758" s="14"/>
      <c r="B3758"/>
      <c r="C3758" s="15"/>
      <c r="D3758"/>
      <c r="E3758"/>
      <c r="F3758" s="16"/>
      <c r="G3758"/>
      <c r="H3758"/>
      <c r="I3758" s="16"/>
      <c r="J3758"/>
      <c r="K3758"/>
      <c r="L3758"/>
      <c r="M3758" s="17"/>
      <c r="N3758"/>
      <c r="O3758"/>
      <c r="P3758" s="34"/>
    </row>
    <row r="3759" spans="1:16" x14ac:dyDescent="0.25">
      <c r="A3759" s="14"/>
      <c r="B3759"/>
      <c r="C3759" s="15"/>
      <c r="D3759"/>
      <c r="E3759"/>
      <c r="F3759" s="16"/>
      <c r="G3759"/>
      <c r="H3759"/>
      <c r="I3759" s="16"/>
      <c r="J3759"/>
      <c r="K3759"/>
      <c r="L3759"/>
      <c r="M3759" s="17"/>
      <c r="N3759"/>
      <c r="O3759"/>
      <c r="P3759" s="34"/>
    </row>
    <row r="3760" spans="1:16" x14ac:dyDescent="0.25">
      <c r="A3760" s="14"/>
      <c r="B3760"/>
      <c r="C3760" s="15"/>
      <c r="D3760"/>
      <c r="E3760"/>
      <c r="F3760" s="16"/>
      <c r="G3760"/>
      <c r="H3760"/>
      <c r="I3760" s="16"/>
      <c r="J3760"/>
      <c r="K3760"/>
      <c r="L3760"/>
      <c r="M3760" s="17"/>
      <c r="N3760"/>
      <c r="O3760"/>
      <c r="P3760" s="34"/>
    </row>
    <row r="3761" spans="1:16" x14ac:dyDescent="0.25">
      <c r="A3761" s="14"/>
      <c r="B3761"/>
      <c r="C3761" s="15"/>
      <c r="D3761"/>
      <c r="E3761"/>
      <c r="F3761" s="16"/>
      <c r="G3761"/>
      <c r="H3761"/>
      <c r="I3761" s="16"/>
      <c r="J3761"/>
      <c r="K3761"/>
      <c r="L3761"/>
      <c r="M3761" s="17"/>
      <c r="N3761"/>
      <c r="O3761"/>
      <c r="P3761" s="34"/>
    </row>
    <row r="3762" spans="1:16" x14ac:dyDescent="0.25">
      <c r="A3762" s="14"/>
      <c r="B3762"/>
      <c r="C3762" s="15"/>
      <c r="D3762"/>
      <c r="E3762"/>
      <c r="F3762" s="16"/>
      <c r="G3762"/>
      <c r="H3762"/>
      <c r="I3762" s="16"/>
      <c r="J3762"/>
      <c r="K3762"/>
      <c r="L3762"/>
      <c r="M3762" s="17"/>
      <c r="N3762"/>
      <c r="O3762"/>
      <c r="P3762" s="34"/>
    </row>
    <row r="3763" spans="1:16" x14ac:dyDescent="0.25">
      <c r="A3763" s="14"/>
      <c r="B3763"/>
      <c r="C3763" s="15"/>
      <c r="D3763"/>
      <c r="E3763"/>
      <c r="F3763" s="16"/>
      <c r="G3763"/>
      <c r="H3763"/>
      <c r="I3763" s="16"/>
      <c r="J3763"/>
      <c r="K3763"/>
      <c r="L3763"/>
      <c r="M3763" s="17"/>
      <c r="N3763"/>
      <c r="O3763"/>
      <c r="P3763" s="34"/>
    </row>
    <row r="3764" spans="1:16" x14ac:dyDescent="0.25">
      <c r="A3764" s="14"/>
      <c r="B3764"/>
      <c r="C3764" s="15"/>
      <c r="D3764"/>
      <c r="E3764"/>
      <c r="F3764" s="16"/>
      <c r="G3764"/>
      <c r="H3764"/>
      <c r="I3764" s="16"/>
      <c r="J3764"/>
      <c r="K3764"/>
      <c r="L3764"/>
      <c r="M3764" s="17"/>
      <c r="N3764"/>
      <c r="O3764"/>
      <c r="P3764" s="34"/>
    </row>
    <row r="3765" spans="1:16" x14ac:dyDescent="0.25">
      <c r="A3765" s="14"/>
      <c r="B3765"/>
      <c r="C3765" s="15"/>
      <c r="D3765"/>
      <c r="E3765"/>
      <c r="F3765" s="16"/>
      <c r="G3765"/>
      <c r="H3765"/>
      <c r="I3765" s="16"/>
      <c r="J3765"/>
      <c r="K3765"/>
      <c r="L3765"/>
      <c r="M3765" s="17"/>
      <c r="N3765"/>
      <c r="O3765"/>
      <c r="P3765" s="34"/>
    </row>
    <row r="3766" spans="1:16" x14ac:dyDescent="0.25">
      <c r="A3766" s="14"/>
      <c r="B3766"/>
      <c r="C3766" s="15"/>
      <c r="D3766"/>
      <c r="E3766"/>
      <c r="F3766" s="16"/>
      <c r="G3766"/>
      <c r="H3766"/>
      <c r="I3766" s="16"/>
      <c r="J3766"/>
      <c r="K3766"/>
      <c r="L3766"/>
      <c r="M3766" s="17"/>
      <c r="N3766"/>
      <c r="O3766"/>
      <c r="P3766" s="34"/>
    </row>
    <row r="3767" spans="1:16" x14ac:dyDescent="0.25">
      <c r="A3767" s="14"/>
      <c r="B3767"/>
      <c r="C3767" s="15"/>
      <c r="D3767"/>
      <c r="E3767"/>
      <c r="F3767" s="16"/>
      <c r="G3767"/>
      <c r="H3767"/>
      <c r="I3767" s="16"/>
      <c r="J3767"/>
      <c r="K3767"/>
      <c r="L3767"/>
      <c r="M3767" s="17"/>
      <c r="N3767"/>
      <c r="O3767"/>
      <c r="P3767" s="34"/>
    </row>
    <row r="3768" spans="1:16" x14ac:dyDescent="0.25">
      <c r="A3768" s="14"/>
      <c r="B3768"/>
      <c r="C3768" s="15"/>
      <c r="D3768"/>
      <c r="E3768"/>
      <c r="F3768" s="16"/>
      <c r="G3768"/>
      <c r="H3768"/>
      <c r="I3768" s="16"/>
      <c r="J3768"/>
      <c r="K3768"/>
      <c r="L3768"/>
      <c r="M3768" s="17"/>
      <c r="N3768"/>
      <c r="O3768"/>
      <c r="P3768" s="34"/>
    </row>
    <row r="3769" spans="1:16" x14ac:dyDescent="0.25">
      <c r="A3769" s="14"/>
      <c r="B3769"/>
      <c r="C3769" s="15"/>
      <c r="D3769"/>
      <c r="E3769"/>
      <c r="F3769" s="16"/>
      <c r="G3769"/>
      <c r="H3769"/>
      <c r="I3769" s="16"/>
      <c r="J3769"/>
      <c r="K3769"/>
      <c r="L3769"/>
      <c r="M3769" s="17"/>
      <c r="N3769"/>
      <c r="O3769"/>
      <c r="P3769" s="34"/>
    </row>
    <row r="3770" spans="1:16" x14ac:dyDescent="0.25">
      <c r="A3770" s="14"/>
      <c r="B3770"/>
      <c r="C3770" s="15"/>
      <c r="D3770"/>
      <c r="E3770"/>
      <c r="F3770" s="16"/>
      <c r="G3770"/>
      <c r="H3770"/>
      <c r="I3770" s="16"/>
      <c r="J3770"/>
      <c r="K3770"/>
      <c r="L3770"/>
      <c r="M3770" s="17"/>
      <c r="N3770"/>
      <c r="O3770"/>
      <c r="P3770" s="34"/>
    </row>
    <row r="3771" spans="1:16" x14ac:dyDescent="0.25">
      <c r="A3771" s="14"/>
      <c r="B3771"/>
      <c r="C3771" s="15"/>
      <c r="D3771"/>
      <c r="E3771"/>
      <c r="F3771" s="16"/>
      <c r="G3771"/>
      <c r="H3771"/>
      <c r="I3771" s="16"/>
      <c r="J3771"/>
      <c r="K3771"/>
      <c r="L3771"/>
      <c r="M3771" s="17"/>
      <c r="N3771"/>
      <c r="O3771"/>
      <c r="P3771" s="34"/>
    </row>
    <row r="3772" spans="1:16" x14ac:dyDescent="0.25">
      <c r="A3772" s="14"/>
      <c r="B3772"/>
      <c r="C3772" s="15"/>
      <c r="D3772"/>
      <c r="E3772"/>
      <c r="F3772" s="16"/>
      <c r="G3772"/>
      <c r="H3772"/>
      <c r="I3772" s="16"/>
      <c r="J3772"/>
      <c r="K3772"/>
      <c r="L3772"/>
      <c r="M3772" s="17"/>
      <c r="N3772"/>
      <c r="O3772"/>
      <c r="P3772" s="34"/>
    </row>
    <row r="3773" spans="1:16" x14ac:dyDescent="0.25">
      <c r="A3773" s="14"/>
      <c r="B3773"/>
      <c r="C3773" s="15"/>
      <c r="D3773"/>
      <c r="E3773"/>
      <c r="F3773" s="16"/>
      <c r="G3773"/>
      <c r="H3773"/>
      <c r="I3773" s="16"/>
      <c r="J3773"/>
      <c r="K3773"/>
      <c r="L3773"/>
      <c r="M3773" s="17"/>
      <c r="N3773"/>
      <c r="O3773"/>
      <c r="P3773" s="34"/>
    </row>
    <row r="3774" spans="1:16" x14ac:dyDescent="0.25">
      <c r="A3774" s="14"/>
      <c r="B3774"/>
      <c r="C3774" s="15"/>
      <c r="D3774"/>
      <c r="E3774"/>
      <c r="F3774" s="16"/>
      <c r="G3774"/>
      <c r="H3774"/>
      <c r="I3774" s="16"/>
      <c r="J3774"/>
      <c r="K3774"/>
      <c r="L3774"/>
      <c r="M3774" s="17"/>
      <c r="N3774"/>
      <c r="O3774"/>
      <c r="P3774" s="34"/>
    </row>
    <row r="3775" spans="1:16" x14ac:dyDescent="0.25">
      <c r="A3775" s="14"/>
      <c r="B3775"/>
      <c r="C3775" s="15"/>
      <c r="D3775"/>
      <c r="E3775"/>
      <c r="F3775" s="16"/>
      <c r="G3775"/>
      <c r="H3775"/>
      <c r="I3775" s="16"/>
      <c r="J3775"/>
      <c r="K3775"/>
      <c r="L3775"/>
      <c r="M3775" s="17"/>
      <c r="N3775"/>
      <c r="O3775"/>
      <c r="P3775" s="34"/>
    </row>
    <row r="3776" spans="1:16" x14ac:dyDescent="0.25">
      <c r="A3776" s="14"/>
      <c r="B3776"/>
      <c r="C3776" s="15"/>
      <c r="D3776"/>
      <c r="E3776"/>
      <c r="F3776" s="16"/>
      <c r="G3776"/>
      <c r="H3776"/>
      <c r="I3776" s="16"/>
      <c r="J3776"/>
      <c r="K3776"/>
      <c r="L3776"/>
      <c r="M3776" s="17"/>
      <c r="N3776"/>
      <c r="O3776"/>
      <c r="P3776" s="34"/>
    </row>
    <row r="3777" spans="1:16" x14ac:dyDescent="0.25">
      <c r="A3777" s="14"/>
      <c r="B3777"/>
      <c r="C3777" s="15"/>
      <c r="D3777"/>
      <c r="E3777"/>
      <c r="F3777" s="16"/>
      <c r="G3777"/>
      <c r="H3777"/>
      <c r="I3777" s="16"/>
      <c r="J3777"/>
      <c r="K3777"/>
      <c r="L3777"/>
      <c r="M3777" s="17"/>
      <c r="N3777"/>
      <c r="O3777"/>
      <c r="P3777" s="34"/>
    </row>
    <row r="3778" spans="1:16" x14ac:dyDescent="0.25">
      <c r="A3778" s="14"/>
      <c r="B3778"/>
      <c r="C3778" s="15"/>
      <c r="D3778"/>
      <c r="E3778"/>
      <c r="F3778" s="16"/>
      <c r="G3778"/>
      <c r="H3778"/>
      <c r="I3778" s="16"/>
      <c r="J3778"/>
      <c r="K3778"/>
      <c r="L3778"/>
      <c r="M3778" s="17"/>
      <c r="N3778"/>
      <c r="O3778"/>
      <c r="P3778" s="34"/>
    </row>
    <row r="3779" spans="1:16" x14ac:dyDescent="0.25">
      <c r="A3779" s="14"/>
      <c r="B3779"/>
      <c r="C3779" s="15"/>
      <c r="D3779"/>
      <c r="E3779"/>
      <c r="F3779" s="16"/>
      <c r="G3779"/>
      <c r="H3779"/>
      <c r="I3779" s="16"/>
      <c r="J3779"/>
      <c r="K3779"/>
      <c r="L3779"/>
      <c r="M3779" s="17"/>
      <c r="N3779"/>
      <c r="O3779"/>
      <c r="P3779" s="34"/>
    </row>
    <row r="3780" spans="1:16" x14ac:dyDescent="0.25">
      <c r="A3780" s="14"/>
      <c r="B3780"/>
      <c r="C3780" s="15"/>
      <c r="D3780"/>
      <c r="E3780"/>
      <c r="F3780" s="16"/>
      <c r="G3780"/>
      <c r="H3780"/>
      <c r="I3780" s="16"/>
      <c r="J3780"/>
      <c r="K3780"/>
      <c r="L3780"/>
      <c r="M3780" s="17"/>
      <c r="N3780"/>
      <c r="O3780"/>
      <c r="P3780" s="34"/>
    </row>
    <row r="3781" spans="1:16" x14ac:dyDescent="0.25">
      <c r="A3781" s="14"/>
      <c r="B3781"/>
      <c r="C3781" s="15"/>
      <c r="D3781"/>
      <c r="E3781"/>
      <c r="F3781" s="16"/>
      <c r="G3781"/>
      <c r="H3781"/>
      <c r="I3781" s="16"/>
      <c r="J3781"/>
      <c r="K3781"/>
      <c r="L3781"/>
      <c r="M3781" s="17"/>
      <c r="N3781"/>
      <c r="O3781"/>
      <c r="P3781" s="34"/>
    </row>
    <row r="3782" spans="1:16" x14ac:dyDescent="0.25">
      <c r="A3782" s="14"/>
      <c r="B3782"/>
      <c r="C3782" s="15"/>
      <c r="D3782"/>
      <c r="E3782"/>
      <c r="F3782" s="16"/>
      <c r="G3782"/>
      <c r="H3782"/>
      <c r="I3782" s="16"/>
      <c r="J3782"/>
      <c r="K3782"/>
      <c r="L3782"/>
      <c r="M3782" s="17"/>
      <c r="N3782"/>
      <c r="O3782"/>
      <c r="P3782" s="34"/>
    </row>
    <row r="3783" spans="1:16" x14ac:dyDescent="0.25">
      <c r="A3783" s="14"/>
      <c r="B3783"/>
      <c r="C3783" s="15"/>
      <c r="D3783"/>
      <c r="E3783"/>
      <c r="F3783" s="16"/>
      <c r="G3783"/>
      <c r="H3783"/>
      <c r="I3783" s="16"/>
      <c r="J3783"/>
      <c r="K3783"/>
      <c r="L3783"/>
      <c r="M3783" s="17"/>
      <c r="N3783"/>
      <c r="O3783"/>
      <c r="P3783" s="34"/>
    </row>
    <row r="3784" spans="1:16" x14ac:dyDescent="0.25">
      <c r="A3784" s="14"/>
      <c r="B3784"/>
      <c r="C3784" s="15"/>
      <c r="D3784"/>
      <c r="E3784"/>
      <c r="F3784" s="16"/>
      <c r="G3784"/>
      <c r="H3784"/>
      <c r="I3784" s="16"/>
      <c r="J3784"/>
      <c r="K3784"/>
      <c r="L3784"/>
      <c r="M3784" s="17"/>
      <c r="N3784"/>
      <c r="O3784"/>
      <c r="P3784" s="34"/>
    </row>
    <row r="3785" spans="1:16" x14ac:dyDescent="0.25">
      <c r="A3785" s="14"/>
      <c r="B3785"/>
      <c r="C3785" s="15"/>
      <c r="D3785"/>
      <c r="E3785"/>
      <c r="F3785" s="16"/>
      <c r="G3785"/>
      <c r="H3785"/>
      <c r="I3785" s="16"/>
      <c r="J3785"/>
      <c r="K3785"/>
      <c r="L3785"/>
      <c r="M3785" s="17"/>
      <c r="N3785"/>
      <c r="O3785"/>
      <c r="P3785" s="34"/>
    </row>
    <row r="3786" spans="1:16" x14ac:dyDescent="0.25">
      <c r="A3786" s="14"/>
      <c r="B3786"/>
      <c r="C3786" s="15"/>
      <c r="D3786"/>
      <c r="E3786"/>
      <c r="F3786" s="16"/>
      <c r="G3786"/>
      <c r="H3786"/>
      <c r="I3786" s="16"/>
      <c r="J3786"/>
      <c r="K3786"/>
      <c r="L3786"/>
      <c r="M3786" s="17"/>
      <c r="N3786"/>
      <c r="O3786"/>
      <c r="P3786" s="34"/>
    </row>
    <row r="3787" spans="1:16" x14ac:dyDescent="0.25">
      <c r="A3787" s="14"/>
      <c r="B3787"/>
      <c r="C3787" s="15"/>
      <c r="D3787"/>
      <c r="E3787"/>
      <c r="F3787" s="16"/>
      <c r="G3787"/>
      <c r="H3787"/>
      <c r="I3787" s="16"/>
      <c r="J3787"/>
      <c r="K3787"/>
      <c r="L3787"/>
      <c r="M3787" s="17"/>
      <c r="N3787"/>
      <c r="O3787"/>
      <c r="P3787" s="34"/>
    </row>
    <row r="3788" spans="1:16" x14ac:dyDescent="0.25">
      <c r="A3788" s="14"/>
      <c r="B3788"/>
      <c r="C3788" s="15"/>
      <c r="D3788"/>
      <c r="E3788"/>
      <c r="F3788" s="16"/>
      <c r="G3788"/>
      <c r="H3788"/>
      <c r="I3788" s="16"/>
      <c r="J3788"/>
      <c r="K3788"/>
      <c r="L3788"/>
      <c r="M3788" s="17"/>
      <c r="N3788"/>
      <c r="O3788"/>
      <c r="P3788" s="34"/>
    </row>
    <row r="3789" spans="1:16" x14ac:dyDescent="0.25">
      <c r="A3789" s="14"/>
      <c r="B3789"/>
      <c r="C3789" s="15"/>
      <c r="D3789"/>
      <c r="E3789"/>
      <c r="F3789" s="16"/>
      <c r="G3789"/>
      <c r="H3789"/>
      <c r="I3789" s="16"/>
      <c r="J3789"/>
      <c r="K3789"/>
      <c r="L3789"/>
      <c r="M3789" s="17"/>
      <c r="N3789"/>
      <c r="O3789"/>
      <c r="P3789" s="34"/>
    </row>
    <row r="3790" spans="1:16" x14ac:dyDescent="0.25">
      <c r="A3790" s="14"/>
      <c r="B3790"/>
      <c r="C3790" s="15"/>
      <c r="D3790"/>
      <c r="E3790"/>
      <c r="F3790" s="16"/>
      <c r="G3790"/>
      <c r="H3790"/>
      <c r="I3790" s="16"/>
      <c r="J3790"/>
      <c r="K3790"/>
      <c r="L3790"/>
      <c r="M3790" s="17"/>
      <c r="N3790"/>
      <c r="O3790"/>
      <c r="P3790" s="34"/>
    </row>
    <row r="3791" spans="1:16" x14ac:dyDescent="0.25">
      <c r="A3791" s="14"/>
      <c r="B3791"/>
      <c r="C3791" s="15"/>
      <c r="D3791"/>
      <c r="E3791"/>
      <c r="F3791" s="16"/>
      <c r="G3791"/>
      <c r="H3791"/>
      <c r="I3791" s="16"/>
      <c r="J3791"/>
      <c r="K3791"/>
      <c r="L3791"/>
      <c r="M3791" s="17"/>
      <c r="N3791"/>
      <c r="O3791"/>
      <c r="P3791" s="34"/>
    </row>
    <row r="3792" spans="1:16" x14ac:dyDescent="0.25">
      <c r="A3792" s="14"/>
      <c r="B3792"/>
      <c r="C3792" s="15"/>
      <c r="D3792"/>
      <c r="E3792"/>
      <c r="F3792" s="16"/>
      <c r="G3792"/>
      <c r="H3792"/>
      <c r="I3792" s="16"/>
      <c r="J3792"/>
      <c r="K3792"/>
      <c r="L3792"/>
      <c r="M3792" s="17"/>
      <c r="N3792"/>
      <c r="O3792"/>
      <c r="P3792" s="34"/>
    </row>
    <row r="3793" spans="1:16" x14ac:dyDescent="0.25">
      <c r="A3793" s="14"/>
      <c r="B3793"/>
      <c r="C3793" s="15"/>
      <c r="D3793"/>
      <c r="E3793"/>
      <c r="F3793" s="16"/>
      <c r="G3793"/>
      <c r="H3793"/>
      <c r="I3793" s="16"/>
      <c r="J3793"/>
      <c r="K3793"/>
      <c r="L3793"/>
      <c r="M3793" s="17"/>
      <c r="N3793"/>
      <c r="O3793"/>
      <c r="P3793" s="34"/>
    </row>
    <row r="3794" spans="1:16" x14ac:dyDescent="0.25">
      <c r="A3794" s="14"/>
      <c r="B3794"/>
      <c r="C3794" s="15"/>
      <c r="D3794"/>
      <c r="E3794"/>
      <c r="F3794" s="16"/>
      <c r="G3794"/>
      <c r="H3794"/>
      <c r="I3794" s="16"/>
      <c r="J3794"/>
      <c r="K3794"/>
      <c r="L3794"/>
      <c r="M3794" s="17"/>
      <c r="N3794"/>
      <c r="O3794"/>
      <c r="P3794" s="34"/>
    </row>
    <row r="3795" spans="1:16" x14ac:dyDescent="0.25">
      <c r="A3795" s="14"/>
      <c r="B3795"/>
      <c r="C3795" s="15"/>
      <c r="D3795"/>
      <c r="E3795"/>
      <c r="F3795" s="16"/>
      <c r="G3795"/>
      <c r="H3795"/>
      <c r="I3795" s="16"/>
      <c r="J3795"/>
      <c r="K3795"/>
      <c r="L3795"/>
      <c r="M3795" s="17"/>
      <c r="N3795"/>
      <c r="O3795"/>
      <c r="P3795" s="34"/>
    </row>
    <row r="3796" spans="1:16" x14ac:dyDescent="0.25">
      <c r="A3796" s="14"/>
      <c r="B3796"/>
      <c r="C3796" s="15"/>
      <c r="D3796"/>
      <c r="E3796"/>
      <c r="F3796" s="16"/>
      <c r="G3796"/>
      <c r="H3796"/>
      <c r="I3796" s="16"/>
      <c r="J3796"/>
      <c r="K3796"/>
      <c r="L3796"/>
      <c r="M3796" s="17"/>
      <c r="N3796"/>
      <c r="O3796"/>
      <c r="P3796" s="34"/>
    </row>
    <row r="3797" spans="1:16" x14ac:dyDescent="0.25">
      <c r="A3797" s="14"/>
      <c r="B3797"/>
      <c r="C3797" s="15"/>
      <c r="D3797"/>
      <c r="E3797"/>
      <c r="F3797" s="16"/>
      <c r="G3797"/>
      <c r="H3797"/>
      <c r="I3797" s="16"/>
      <c r="J3797"/>
      <c r="K3797"/>
      <c r="L3797"/>
      <c r="M3797" s="17"/>
      <c r="N3797"/>
      <c r="O3797"/>
      <c r="P3797" s="34"/>
    </row>
    <row r="3798" spans="1:16" x14ac:dyDescent="0.25">
      <c r="A3798" s="14"/>
      <c r="B3798"/>
      <c r="C3798" s="15"/>
      <c r="D3798"/>
      <c r="E3798"/>
      <c r="F3798" s="16"/>
      <c r="G3798"/>
      <c r="H3798"/>
      <c r="I3798" s="16"/>
      <c r="J3798"/>
      <c r="K3798"/>
      <c r="L3798"/>
      <c r="M3798" s="17"/>
      <c r="N3798"/>
      <c r="O3798"/>
      <c r="P3798" s="34"/>
    </row>
    <row r="3799" spans="1:16" x14ac:dyDescent="0.25">
      <c r="A3799" s="14"/>
      <c r="B3799"/>
      <c r="C3799" s="15"/>
      <c r="D3799"/>
      <c r="E3799"/>
      <c r="F3799" s="16"/>
      <c r="G3799"/>
      <c r="H3799"/>
      <c r="I3799" s="16"/>
      <c r="J3799"/>
      <c r="K3799"/>
      <c r="L3799"/>
      <c r="M3799" s="17"/>
      <c r="N3799"/>
      <c r="O3799"/>
      <c r="P3799" s="34"/>
    </row>
    <row r="3800" spans="1:16" x14ac:dyDescent="0.25">
      <c r="A3800" s="14"/>
      <c r="B3800"/>
      <c r="C3800" s="15"/>
      <c r="D3800"/>
      <c r="E3800"/>
      <c r="F3800" s="16"/>
      <c r="G3800"/>
      <c r="H3800"/>
      <c r="I3800" s="16"/>
      <c r="J3800"/>
      <c r="K3800"/>
      <c r="L3800"/>
      <c r="M3800" s="17"/>
      <c r="N3800"/>
      <c r="O3800"/>
      <c r="P3800" s="34"/>
    </row>
    <row r="3801" spans="1:16" x14ac:dyDescent="0.25">
      <c r="A3801" s="14"/>
      <c r="B3801"/>
      <c r="C3801" s="15"/>
      <c r="D3801"/>
      <c r="E3801"/>
      <c r="F3801" s="16"/>
      <c r="G3801"/>
      <c r="H3801"/>
      <c r="I3801" s="16"/>
      <c r="J3801"/>
      <c r="K3801"/>
      <c r="L3801"/>
      <c r="M3801" s="17"/>
      <c r="N3801"/>
      <c r="O3801"/>
      <c r="P3801" s="34"/>
    </row>
    <row r="3802" spans="1:16" x14ac:dyDescent="0.25">
      <c r="A3802" s="14"/>
      <c r="B3802"/>
      <c r="C3802" s="15"/>
      <c r="D3802"/>
      <c r="E3802"/>
      <c r="F3802" s="16"/>
      <c r="G3802"/>
      <c r="H3802"/>
      <c r="I3802" s="16"/>
      <c r="J3802"/>
      <c r="K3802"/>
      <c r="L3802"/>
      <c r="M3802" s="17"/>
      <c r="N3802"/>
      <c r="O3802"/>
      <c r="P3802" s="34"/>
    </row>
    <row r="3803" spans="1:16" x14ac:dyDescent="0.25">
      <c r="A3803" s="14"/>
      <c r="B3803"/>
      <c r="C3803" s="15"/>
      <c r="D3803"/>
      <c r="E3803"/>
      <c r="F3803" s="16"/>
      <c r="G3803"/>
      <c r="H3803"/>
      <c r="I3803" s="16"/>
      <c r="J3803"/>
      <c r="K3803"/>
      <c r="L3803"/>
      <c r="M3803" s="17"/>
      <c r="N3803"/>
      <c r="O3803"/>
      <c r="P3803" s="34"/>
    </row>
    <row r="3804" spans="1:16" x14ac:dyDescent="0.25">
      <c r="A3804" s="14"/>
      <c r="B3804"/>
      <c r="C3804" s="15"/>
      <c r="D3804"/>
      <c r="E3804"/>
      <c r="F3804" s="16"/>
      <c r="G3804"/>
      <c r="H3804"/>
      <c r="I3804" s="16"/>
      <c r="J3804"/>
      <c r="K3804"/>
      <c r="L3804"/>
      <c r="M3804" s="17"/>
      <c r="N3804"/>
      <c r="O3804"/>
      <c r="P3804" s="34"/>
    </row>
    <row r="3805" spans="1:16" x14ac:dyDescent="0.25">
      <c r="A3805" s="14"/>
      <c r="B3805"/>
      <c r="C3805" s="15"/>
      <c r="D3805"/>
      <c r="E3805"/>
      <c r="F3805" s="16"/>
      <c r="G3805"/>
      <c r="H3805"/>
      <c r="I3805" s="16"/>
      <c r="J3805"/>
      <c r="K3805"/>
      <c r="L3805"/>
      <c r="M3805" s="17"/>
      <c r="N3805"/>
      <c r="O3805"/>
      <c r="P3805" s="34"/>
    </row>
    <row r="3806" spans="1:16" x14ac:dyDescent="0.25">
      <c r="A3806" s="14"/>
      <c r="B3806"/>
      <c r="C3806" s="15"/>
      <c r="D3806"/>
      <c r="E3806"/>
      <c r="F3806" s="16"/>
      <c r="G3806"/>
      <c r="H3806"/>
      <c r="I3806" s="16"/>
      <c r="J3806"/>
      <c r="K3806"/>
      <c r="L3806"/>
      <c r="M3806" s="17"/>
      <c r="N3806"/>
      <c r="O3806"/>
      <c r="P3806" s="34"/>
    </row>
    <row r="3807" spans="1:16" x14ac:dyDescent="0.25">
      <c r="A3807" s="14"/>
      <c r="B3807"/>
      <c r="C3807" s="15"/>
      <c r="D3807"/>
      <c r="E3807"/>
      <c r="F3807" s="16"/>
      <c r="G3807"/>
      <c r="H3807"/>
      <c r="I3807" s="16"/>
      <c r="J3807"/>
      <c r="K3807"/>
      <c r="L3807"/>
      <c r="M3807" s="17"/>
      <c r="N3807"/>
      <c r="O3807"/>
      <c r="P3807" s="34"/>
    </row>
    <row r="3808" spans="1:16" x14ac:dyDescent="0.25">
      <c r="A3808" s="14"/>
      <c r="B3808"/>
      <c r="C3808" s="15"/>
      <c r="D3808"/>
      <c r="E3808"/>
      <c r="F3808" s="16"/>
      <c r="G3808"/>
      <c r="H3808"/>
      <c r="I3808" s="16"/>
      <c r="J3808"/>
      <c r="K3808"/>
      <c r="L3808"/>
      <c r="M3808" s="17"/>
      <c r="N3808"/>
      <c r="O3808"/>
      <c r="P3808" s="34"/>
    </row>
    <row r="3809" spans="1:16" x14ac:dyDescent="0.25">
      <c r="A3809" s="14"/>
      <c r="B3809"/>
      <c r="C3809" s="15"/>
      <c r="D3809"/>
      <c r="E3809"/>
      <c r="F3809" s="16"/>
      <c r="G3809"/>
      <c r="H3809"/>
      <c r="I3809" s="16"/>
      <c r="J3809"/>
      <c r="K3809"/>
      <c r="L3809"/>
      <c r="M3809" s="17"/>
      <c r="N3809"/>
      <c r="O3809"/>
      <c r="P3809" s="34"/>
    </row>
    <row r="3810" spans="1:16" x14ac:dyDescent="0.25">
      <c r="A3810" s="14"/>
      <c r="B3810"/>
      <c r="C3810" s="15"/>
      <c r="D3810"/>
      <c r="E3810"/>
      <c r="F3810" s="16"/>
      <c r="G3810"/>
      <c r="H3810"/>
      <c r="I3810" s="16"/>
      <c r="J3810"/>
      <c r="K3810"/>
      <c r="L3810"/>
      <c r="M3810" s="17"/>
      <c r="N3810"/>
      <c r="O3810"/>
      <c r="P3810" s="34"/>
    </row>
    <row r="3811" spans="1:16" x14ac:dyDescent="0.25">
      <c r="A3811" s="14"/>
      <c r="B3811"/>
      <c r="C3811" s="15"/>
      <c r="D3811"/>
      <c r="E3811"/>
      <c r="F3811" s="16"/>
      <c r="G3811"/>
      <c r="H3811"/>
      <c r="I3811" s="16"/>
      <c r="J3811"/>
      <c r="K3811"/>
      <c r="L3811"/>
      <c r="M3811" s="17"/>
      <c r="N3811"/>
      <c r="O3811"/>
      <c r="P3811" s="34"/>
    </row>
    <row r="3812" spans="1:16" x14ac:dyDescent="0.25">
      <c r="A3812" s="14"/>
      <c r="B3812"/>
      <c r="C3812" s="15"/>
      <c r="D3812"/>
      <c r="E3812"/>
      <c r="F3812" s="16"/>
      <c r="G3812"/>
      <c r="H3812"/>
      <c r="I3812" s="16"/>
      <c r="J3812"/>
      <c r="K3812"/>
      <c r="L3812"/>
      <c r="M3812" s="17"/>
      <c r="N3812"/>
      <c r="O3812"/>
      <c r="P3812" s="34"/>
    </row>
    <row r="3813" spans="1:16" x14ac:dyDescent="0.25">
      <c r="A3813" s="14"/>
      <c r="B3813"/>
      <c r="C3813" s="15"/>
      <c r="D3813"/>
      <c r="E3813"/>
      <c r="F3813" s="16"/>
      <c r="G3813"/>
      <c r="H3813"/>
      <c r="I3813" s="16"/>
      <c r="J3813"/>
      <c r="K3813"/>
      <c r="L3813"/>
      <c r="M3813" s="17"/>
      <c r="N3813"/>
      <c r="O3813"/>
      <c r="P3813" s="34"/>
    </row>
    <row r="3814" spans="1:16" x14ac:dyDescent="0.25">
      <c r="A3814" s="14"/>
      <c r="B3814"/>
      <c r="C3814" s="15"/>
      <c r="D3814"/>
      <c r="E3814"/>
      <c r="F3814" s="16"/>
      <c r="G3814"/>
      <c r="H3814"/>
      <c r="I3814" s="16"/>
      <c r="J3814"/>
      <c r="K3814"/>
      <c r="L3814"/>
      <c r="M3814" s="17"/>
      <c r="N3814"/>
      <c r="O3814"/>
      <c r="P3814" s="34"/>
    </row>
    <row r="3815" spans="1:16" x14ac:dyDescent="0.25">
      <c r="A3815" s="14"/>
      <c r="B3815"/>
      <c r="C3815" s="15"/>
      <c r="D3815"/>
      <c r="E3815"/>
      <c r="F3815" s="16"/>
      <c r="G3815"/>
      <c r="H3815"/>
      <c r="I3815" s="16"/>
      <c r="J3815"/>
      <c r="K3815"/>
      <c r="L3815"/>
      <c r="M3815" s="17"/>
      <c r="N3815"/>
      <c r="O3815"/>
      <c r="P3815" s="34"/>
    </row>
    <row r="3816" spans="1:16" x14ac:dyDescent="0.25">
      <c r="A3816" s="14"/>
      <c r="B3816"/>
      <c r="C3816" s="15"/>
      <c r="D3816"/>
      <c r="E3816"/>
      <c r="F3816" s="16"/>
      <c r="G3816"/>
      <c r="H3816"/>
      <c r="I3816" s="16"/>
      <c r="J3816"/>
      <c r="K3816"/>
      <c r="L3816"/>
      <c r="M3816" s="17"/>
      <c r="N3816"/>
      <c r="O3816"/>
      <c r="P3816" s="34"/>
    </row>
    <row r="3817" spans="1:16" x14ac:dyDescent="0.25">
      <c r="A3817" s="14"/>
      <c r="B3817"/>
      <c r="C3817" s="15"/>
      <c r="D3817"/>
      <c r="E3817"/>
      <c r="F3817" s="16"/>
      <c r="G3817"/>
      <c r="H3817"/>
      <c r="I3817" s="16"/>
      <c r="J3817"/>
      <c r="K3817"/>
      <c r="L3817"/>
      <c r="M3817" s="17"/>
      <c r="N3817"/>
      <c r="O3817"/>
      <c r="P3817" s="34"/>
    </row>
    <row r="3818" spans="1:16" x14ac:dyDescent="0.25">
      <c r="A3818" s="14"/>
      <c r="B3818"/>
      <c r="C3818" s="15"/>
      <c r="D3818"/>
      <c r="E3818"/>
      <c r="F3818" s="16"/>
      <c r="G3818"/>
      <c r="H3818"/>
      <c r="I3818" s="16"/>
      <c r="J3818"/>
      <c r="K3818"/>
      <c r="L3818"/>
      <c r="M3818" s="17"/>
      <c r="N3818"/>
      <c r="O3818"/>
      <c r="P3818" s="34"/>
    </row>
    <row r="3819" spans="1:16" x14ac:dyDescent="0.25">
      <c r="A3819" s="14"/>
      <c r="B3819"/>
      <c r="C3819" s="15"/>
      <c r="D3819"/>
      <c r="E3819"/>
      <c r="F3819" s="16"/>
      <c r="G3819"/>
      <c r="H3819"/>
      <c r="I3819" s="16"/>
      <c r="J3819"/>
      <c r="K3819"/>
      <c r="L3819"/>
      <c r="M3819" s="17"/>
      <c r="N3819"/>
      <c r="O3819"/>
      <c r="P3819" s="34"/>
    </row>
    <row r="3820" spans="1:16" x14ac:dyDescent="0.25">
      <c r="A3820" s="14"/>
      <c r="B3820"/>
      <c r="C3820" s="15"/>
      <c r="D3820"/>
      <c r="E3820"/>
      <c r="F3820" s="16"/>
      <c r="G3820"/>
      <c r="H3820"/>
      <c r="I3820" s="16"/>
      <c r="J3820"/>
      <c r="K3820"/>
      <c r="L3820"/>
      <c r="M3820" s="17"/>
      <c r="N3820"/>
      <c r="O3820"/>
      <c r="P3820" s="34"/>
    </row>
    <row r="3821" spans="1:16" x14ac:dyDescent="0.25">
      <c r="A3821" s="14"/>
      <c r="B3821"/>
      <c r="C3821" s="15"/>
      <c r="D3821"/>
      <c r="E3821"/>
      <c r="F3821" s="16"/>
      <c r="G3821"/>
      <c r="H3821"/>
      <c r="I3821" s="16"/>
      <c r="J3821"/>
      <c r="K3821"/>
      <c r="L3821"/>
      <c r="M3821" s="17"/>
      <c r="N3821"/>
      <c r="O3821"/>
      <c r="P3821" s="34"/>
    </row>
    <row r="3822" spans="1:16" x14ac:dyDescent="0.25">
      <c r="A3822" s="14"/>
      <c r="B3822"/>
      <c r="C3822" s="15"/>
      <c r="D3822"/>
      <c r="E3822"/>
      <c r="F3822" s="16"/>
      <c r="G3822"/>
      <c r="H3822"/>
      <c r="I3822" s="16"/>
      <c r="J3822"/>
      <c r="K3822"/>
      <c r="L3822"/>
      <c r="M3822" s="17"/>
      <c r="N3822"/>
      <c r="O3822"/>
      <c r="P3822" s="34"/>
    </row>
    <row r="3823" spans="1:16" x14ac:dyDescent="0.25">
      <c r="A3823" s="14"/>
      <c r="B3823"/>
      <c r="C3823" s="15"/>
      <c r="D3823"/>
      <c r="E3823"/>
      <c r="F3823" s="16"/>
      <c r="G3823"/>
      <c r="H3823"/>
      <c r="I3823" s="16"/>
      <c r="J3823"/>
      <c r="K3823"/>
      <c r="L3823"/>
      <c r="M3823" s="17"/>
      <c r="N3823"/>
      <c r="O3823"/>
      <c r="P3823" s="34"/>
    </row>
    <row r="3824" spans="1:16" x14ac:dyDescent="0.25">
      <c r="A3824" s="14"/>
      <c r="B3824"/>
      <c r="C3824" s="15"/>
      <c r="D3824"/>
      <c r="E3824"/>
      <c r="F3824" s="16"/>
      <c r="G3824"/>
      <c r="H3824"/>
      <c r="I3824" s="16"/>
      <c r="J3824"/>
      <c r="K3824"/>
      <c r="L3824"/>
      <c r="M3824" s="17"/>
      <c r="N3824"/>
      <c r="O3824"/>
      <c r="P3824" s="34"/>
    </row>
    <row r="3825" spans="1:16" x14ac:dyDescent="0.25">
      <c r="A3825" s="14"/>
      <c r="B3825"/>
      <c r="C3825" s="15"/>
      <c r="D3825"/>
      <c r="E3825"/>
      <c r="F3825" s="16"/>
      <c r="G3825"/>
      <c r="H3825"/>
      <c r="I3825" s="16"/>
      <c r="J3825"/>
      <c r="K3825"/>
      <c r="L3825"/>
      <c r="M3825" s="17"/>
      <c r="N3825"/>
      <c r="O3825"/>
      <c r="P3825" s="34"/>
    </row>
    <row r="3826" spans="1:16" x14ac:dyDescent="0.25">
      <c r="A3826" s="14"/>
      <c r="B3826"/>
      <c r="C3826" s="15"/>
      <c r="D3826"/>
      <c r="E3826"/>
      <c r="F3826" s="16"/>
      <c r="G3826"/>
      <c r="H3826"/>
      <c r="I3826" s="16"/>
      <c r="J3826"/>
      <c r="K3826"/>
      <c r="L3826"/>
      <c r="M3826" s="17"/>
      <c r="N3826"/>
      <c r="O3826"/>
      <c r="P3826" s="34"/>
    </row>
    <row r="3827" spans="1:16" x14ac:dyDescent="0.25">
      <c r="A3827" s="14"/>
      <c r="B3827"/>
      <c r="C3827" s="15"/>
      <c r="D3827"/>
      <c r="E3827"/>
      <c r="F3827" s="16"/>
      <c r="G3827"/>
      <c r="H3827"/>
      <c r="I3827" s="16"/>
      <c r="J3827"/>
      <c r="K3827"/>
      <c r="L3827"/>
      <c r="M3827" s="17"/>
      <c r="N3827"/>
      <c r="O3827"/>
      <c r="P3827" s="34"/>
    </row>
    <row r="3828" spans="1:16" x14ac:dyDescent="0.25">
      <c r="A3828" s="14"/>
      <c r="B3828"/>
      <c r="C3828" s="15"/>
      <c r="D3828"/>
      <c r="E3828"/>
      <c r="F3828" s="16"/>
      <c r="G3828"/>
      <c r="H3828"/>
      <c r="I3828" s="16"/>
      <c r="J3828"/>
      <c r="K3828"/>
      <c r="L3828"/>
      <c r="M3828" s="17"/>
      <c r="N3828"/>
      <c r="O3828"/>
      <c r="P3828" s="34"/>
    </row>
    <row r="3829" spans="1:16" x14ac:dyDescent="0.25">
      <c r="A3829" s="14"/>
      <c r="B3829"/>
      <c r="C3829" s="15"/>
      <c r="D3829"/>
      <c r="E3829"/>
      <c r="F3829" s="16"/>
      <c r="G3829"/>
      <c r="H3829"/>
      <c r="I3829" s="16"/>
      <c r="J3829"/>
      <c r="K3829"/>
      <c r="L3829"/>
      <c r="M3829" s="17"/>
      <c r="N3829"/>
      <c r="O3829"/>
      <c r="P3829" s="34"/>
    </row>
    <row r="3830" spans="1:16" x14ac:dyDescent="0.25">
      <c r="A3830" s="14"/>
      <c r="B3830"/>
      <c r="C3830" s="15"/>
      <c r="D3830"/>
      <c r="E3830"/>
      <c r="F3830" s="16"/>
      <c r="G3830"/>
      <c r="H3830"/>
      <c r="I3830" s="16"/>
      <c r="J3830"/>
      <c r="K3830"/>
      <c r="L3830"/>
      <c r="M3830" s="17"/>
      <c r="N3830"/>
      <c r="O3830"/>
      <c r="P3830" s="34"/>
    </row>
    <row r="3831" spans="1:16" x14ac:dyDescent="0.25">
      <c r="A3831" s="14"/>
      <c r="B3831"/>
      <c r="C3831" s="15"/>
      <c r="D3831"/>
      <c r="E3831"/>
      <c r="F3831" s="16"/>
      <c r="G3831"/>
      <c r="H3831"/>
      <c r="I3831" s="16"/>
      <c r="J3831"/>
      <c r="K3831"/>
      <c r="L3831"/>
      <c r="M3831" s="17"/>
      <c r="N3831"/>
      <c r="O3831"/>
      <c r="P3831" s="34"/>
    </row>
    <row r="3832" spans="1:16" x14ac:dyDescent="0.25">
      <c r="A3832" s="14"/>
      <c r="B3832"/>
      <c r="C3832" s="15"/>
      <c r="D3832"/>
      <c r="E3832"/>
      <c r="F3832" s="16"/>
      <c r="G3832"/>
      <c r="H3832"/>
      <c r="I3832" s="16"/>
      <c r="J3832"/>
      <c r="K3832"/>
      <c r="L3832"/>
      <c r="M3832" s="17"/>
      <c r="N3832"/>
      <c r="O3832"/>
      <c r="P3832" s="34"/>
    </row>
    <row r="3833" spans="1:16" x14ac:dyDescent="0.25">
      <c r="A3833" s="14"/>
      <c r="B3833"/>
      <c r="C3833" s="15"/>
      <c r="D3833"/>
      <c r="E3833"/>
      <c r="F3833" s="16"/>
      <c r="G3833"/>
      <c r="H3833"/>
      <c r="I3833" s="16"/>
      <c r="J3833"/>
      <c r="K3833"/>
      <c r="L3833"/>
      <c r="M3833" s="17"/>
      <c r="N3833"/>
      <c r="O3833"/>
      <c r="P3833" s="34"/>
    </row>
    <row r="3834" spans="1:16" x14ac:dyDescent="0.25">
      <c r="A3834" s="14"/>
      <c r="B3834"/>
      <c r="C3834" s="15"/>
      <c r="D3834"/>
      <c r="E3834"/>
      <c r="F3834" s="16"/>
      <c r="G3834"/>
      <c r="H3834"/>
      <c r="I3834" s="16"/>
      <c r="J3834"/>
      <c r="K3834"/>
      <c r="L3834"/>
      <c r="M3834" s="17"/>
      <c r="N3834"/>
      <c r="O3834"/>
      <c r="P3834" s="34"/>
    </row>
    <row r="3835" spans="1:16" x14ac:dyDescent="0.25">
      <c r="A3835" s="14"/>
      <c r="B3835"/>
      <c r="C3835" s="15"/>
      <c r="D3835"/>
      <c r="E3835"/>
      <c r="F3835" s="16"/>
      <c r="G3835"/>
      <c r="H3835"/>
      <c r="I3835" s="16"/>
      <c r="J3835"/>
      <c r="K3835"/>
      <c r="L3835"/>
      <c r="M3835" s="17"/>
      <c r="N3835"/>
      <c r="O3835"/>
      <c r="P3835" s="34"/>
    </row>
    <row r="3836" spans="1:16" x14ac:dyDescent="0.25">
      <c r="A3836" s="14"/>
      <c r="B3836"/>
      <c r="C3836" s="15"/>
      <c r="D3836"/>
      <c r="E3836"/>
      <c r="F3836" s="16"/>
      <c r="G3836"/>
      <c r="H3836"/>
      <c r="I3836" s="16"/>
      <c r="J3836"/>
      <c r="K3836"/>
      <c r="L3836"/>
      <c r="M3836" s="17"/>
      <c r="N3836"/>
      <c r="O3836"/>
      <c r="P3836" s="34"/>
    </row>
    <row r="3837" spans="1:16" x14ac:dyDescent="0.25">
      <c r="A3837" s="14"/>
      <c r="B3837"/>
      <c r="C3837" s="15"/>
      <c r="D3837"/>
      <c r="E3837"/>
      <c r="F3837" s="16"/>
      <c r="G3837"/>
      <c r="H3837"/>
      <c r="I3837" s="16"/>
      <c r="J3837"/>
      <c r="K3837"/>
      <c r="L3837"/>
      <c r="M3837" s="17"/>
      <c r="N3837"/>
      <c r="O3837"/>
      <c r="P3837" s="34"/>
    </row>
    <row r="3838" spans="1:16" x14ac:dyDescent="0.25">
      <c r="A3838" s="14"/>
      <c r="B3838"/>
      <c r="C3838" s="15"/>
      <c r="D3838"/>
      <c r="E3838"/>
      <c r="F3838" s="16"/>
      <c r="G3838"/>
      <c r="H3838"/>
      <c r="I3838" s="16"/>
      <c r="J3838"/>
      <c r="K3838"/>
      <c r="L3838"/>
      <c r="M3838" s="17"/>
      <c r="N3838"/>
      <c r="O3838"/>
      <c r="P3838" s="34"/>
    </row>
    <row r="3839" spans="1:16" x14ac:dyDescent="0.25">
      <c r="A3839" s="14"/>
      <c r="B3839"/>
      <c r="C3839" s="15"/>
      <c r="D3839"/>
      <c r="E3839"/>
      <c r="F3839" s="16"/>
      <c r="G3839"/>
      <c r="H3839"/>
      <c r="I3839" s="16"/>
      <c r="J3839"/>
      <c r="K3839"/>
      <c r="L3839"/>
      <c r="M3839" s="17"/>
      <c r="N3839"/>
      <c r="O3839"/>
      <c r="P3839" s="34"/>
    </row>
    <row r="3840" spans="1:16" x14ac:dyDescent="0.25">
      <c r="A3840" s="14"/>
      <c r="B3840"/>
      <c r="C3840" s="15"/>
      <c r="D3840"/>
      <c r="E3840"/>
      <c r="F3840" s="16"/>
      <c r="G3840"/>
      <c r="H3840"/>
      <c r="I3840" s="16"/>
      <c r="J3840"/>
      <c r="K3840"/>
      <c r="L3840"/>
      <c r="M3840" s="17"/>
      <c r="N3840"/>
      <c r="O3840"/>
      <c r="P3840" s="34"/>
    </row>
    <row r="3841" spans="1:16" x14ac:dyDescent="0.25">
      <c r="A3841" s="14"/>
      <c r="B3841"/>
      <c r="C3841" s="15"/>
      <c r="D3841"/>
      <c r="E3841"/>
      <c r="F3841" s="16"/>
      <c r="G3841"/>
      <c r="H3841"/>
      <c r="I3841" s="16"/>
      <c r="J3841"/>
      <c r="K3841"/>
      <c r="L3841"/>
      <c r="M3841" s="17"/>
      <c r="N3841"/>
      <c r="O3841"/>
      <c r="P3841" s="34"/>
    </row>
    <row r="3842" spans="1:16" x14ac:dyDescent="0.25">
      <c r="A3842" s="14"/>
      <c r="B3842"/>
      <c r="C3842" s="15"/>
      <c r="D3842"/>
      <c r="E3842"/>
      <c r="F3842" s="16"/>
      <c r="G3842"/>
      <c r="H3842"/>
      <c r="I3842" s="16"/>
      <c r="J3842"/>
      <c r="K3842"/>
      <c r="L3842"/>
      <c r="M3842" s="17"/>
      <c r="N3842"/>
      <c r="O3842"/>
      <c r="P3842" s="34"/>
    </row>
    <row r="3843" spans="1:16" x14ac:dyDescent="0.25">
      <c r="A3843" s="14"/>
      <c r="B3843"/>
      <c r="C3843" s="15"/>
      <c r="D3843"/>
      <c r="E3843"/>
      <c r="F3843" s="16"/>
      <c r="G3843"/>
      <c r="H3843"/>
      <c r="I3843" s="16"/>
      <c r="J3843"/>
      <c r="K3843"/>
      <c r="L3843"/>
      <c r="M3843" s="17"/>
      <c r="N3843"/>
      <c r="O3843"/>
      <c r="P3843" s="34"/>
    </row>
    <row r="3844" spans="1:16" x14ac:dyDescent="0.25">
      <c r="A3844" s="14"/>
      <c r="B3844"/>
      <c r="C3844" s="15"/>
      <c r="D3844"/>
      <c r="E3844"/>
      <c r="F3844" s="16"/>
      <c r="G3844"/>
      <c r="H3844"/>
      <c r="I3844" s="16"/>
      <c r="J3844"/>
      <c r="K3844"/>
      <c r="L3844"/>
      <c r="M3844" s="17"/>
      <c r="N3844"/>
      <c r="O3844"/>
      <c r="P3844" s="34"/>
    </row>
    <row r="3845" spans="1:16" x14ac:dyDescent="0.25">
      <c r="A3845" s="14"/>
      <c r="B3845"/>
      <c r="C3845" s="15"/>
      <c r="D3845"/>
      <c r="E3845"/>
      <c r="F3845" s="16"/>
      <c r="G3845"/>
      <c r="H3845"/>
      <c r="I3845" s="16"/>
      <c r="J3845"/>
      <c r="K3845"/>
      <c r="L3845"/>
      <c r="M3845" s="17"/>
      <c r="N3845"/>
      <c r="O3845"/>
      <c r="P3845" s="34"/>
    </row>
    <row r="3846" spans="1:16" x14ac:dyDescent="0.25">
      <c r="A3846" s="14"/>
      <c r="B3846"/>
      <c r="C3846" s="15"/>
      <c r="D3846"/>
      <c r="E3846"/>
      <c r="F3846" s="16"/>
      <c r="G3846"/>
      <c r="H3846"/>
      <c r="I3846" s="16"/>
      <c r="J3846"/>
      <c r="K3846"/>
      <c r="L3846"/>
      <c r="M3846" s="17"/>
      <c r="N3846"/>
      <c r="O3846"/>
      <c r="P3846" s="34"/>
    </row>
    <row r="3847" spans="1:16" x14ac:dyDescent="0.25">
      <c r="A3847" s="14"/>
      <c r="B3847"/>
      <c r="C3847" s="15"/>
      <c r="D3847"/>
      <c r="E3847"/>
      <c r="F3847" s="16"/>
      <c r="G3847"/>
      <c r="H3847"/>
      <c r="I3847" s="16"/>
      <c r="J3847"/>
      <c r="K3847"/>
      <c r="L3847"/>
      <c r="M3847" s="17"/>
      <c r="N3847"/>
      <c r="O3847"/>
      <c r="P3847" s="34"/>
    </row>
    <row r="3848" spans="1:16" x14ac:dyDescent="0.25">
      <c r="A3848" s="14"/>
      <c r="B3848"/>
      <c r="C3848" s="15"/>
      <c r="D3848"/>
      <c r="E3848"/>
      <c r="F3848" s="16"/>
      <c r="G3848"/>
      <c r="H3848"/>
      <c r="I3848" s="16"/>
      <c r="J3848"/>
      <c r="K3848"/>
      <c r="L3848"/>
      <c r="M3848" s="17"/>
      <c r="N3848"/>
      <c r="O3848"/>
      <c r="P3848" s="34"/>
    </row>
    <row r="3849" spans="1:16" x14ac:dyDescent="0.25">
      <c r="A3849" s="14"/>
      <c r="B3849"/>
      <c r="C3849" s="15"/>
      <c r="D3849"/>
      <c r="E3849"/>
      <c r="F3849" s="16"/>
      <c r="G3849"/>
      <c r="H3849"/>
      <c r="I3849" s="16"/>
      <c r="J3849"/>
      <c r="K3849"/>
      <c r="L3849"/>
      <c r="M3849" s="17"/>
      <c r="N3849"/>
      <c r="O3849"/>
      <c r="P3849" s="34"/>
    </row>
    <row r="3850" spans="1:16" x14ac:dyDescent="0.25">
      <c r="A3850" s="14"/>
      <c r="B3850"/>
      <c r="C3850" s="15"/>
      <c r="D3850"/>
      <c r="E3850"/>
      <c r="F3850" s="16"/>
      <c r="G3850"/>
      <c r="H3850"/>
      <c r="I3850" s="16"/>
      <c r="J3850"/>
      <c r="K3850"/>
      <c r="L3850"/>
      <c r="M3850" s="17"/>
      <c r="N3850"/>
      <c r="O3850"/>
      <c r="P3850" s="34"/>
    </row>
    <row r="3851" spans="1:16" x14ac:dyDescent="0.25">
      <c r="A3851" s="14"/>
      <c r="B3851"/>
      <c r="C3851" s="15"/>
      <c r="D3851"/>
      <c r="E3851"/>
      <c r="F3851" s="16"/>
      <c r="G3851"/>
      <c r="H3851"/>
      <c r="I3851" s="16"/>
      <c r="J3851"/>
      <c r="K3851"/>
      <c r="L3851"/>
      <c r="M3851" s="17"/>
      <c r="N3851"/>
      <c r="O3851"/>
      <c r="P3851" s="34"/>
    </row>
    <row r="3852" spans="1:16" x14ac:dyDescent="0.25">
      <c r="A3852" s="14"/>
      <c r="B3852"/>
      <c r="C3852" s="15"/>
      <c r="D3852"/>
      <c r="E3852"/>
      <c r="F3852" s="16"/>
      <c r="G3852"/>
      <c r="H3852"/>
      <c r="I3852" s="16"/>
      <c r="J3852"/>
      <c r="K3852"/>
      <c r="L3852"/>
      <c r="M3852" s="17"/>
      <c r="N3852"/>
      <c r="O3852"/>
      <c r="P3852" s="34"/>
    </row>
    <row r="3853" spans="1:16" x14ac:dyDescent="0.25">
      <c r="A3853" s="14"/>
      <c r="B3853"/>
      <c r="C3853" s="15"/>
      <c r="D3853"/>
      <c r="E3853"/>
      <c r="F3853" s="16"/>
      <c r="G3853"/>
      <c r="H3853"/>
      <c r="I3853" s="16"/>
      <c r="J3853"/>
      <c r="K3853"/>
      <c r="L3853"/>
      <c r="M3853" s="17"/>
      <c r="N3853"/>
      <c r="O3853"/>
      <c r="P3853" s="34"/>
    </row>
    <row r="3854" spans="1:16" x14ac:dyDescent="0.25">
      <c r="A3854" s="14"/>
      <c r="B3854"/>
      <c r="C3854" s="15"/>
      <c r="D3854"/>
      <c r="E3854"/>
      <c r="F3854" s="16"/>
      <c r="G3854"/>
      <c r="H3854"/>
      <c r="I3854" s="16"/>
      <c r="J3854"/>
      <c r="K3854"/>
      <c r="L3854"/>
      <c r="M3854" s="17"/>
      <c r="N3854"/>
      <c r="O3854"/>
      <c r="P3854" s="34"/>
    </row>
    <row r="3855" spans="1:16" x14ac:dyDescent="0.25">
      <c r="A3855" s="14"/>
      <c r="B3855"/>
      <c r="C3855" s="15"/>
      <c r="D3855"/>
      <c r="E3855"/>
      <c r="F3855" s="16"/>
      <c r="G3855"/>
      <c r="H3855"/>
      <c r="I3855" s="16"/>
      <c r="J3855"/>
      <c r="K3855"/>
      <c r="L3855"/>
      <c r="M3855" s="17"/>
      <c r="N3855"/>
      <c r="O3855"/>
      <c r="P3855" s="34"/>
    </row>
    <row r="3856" spans="1:16" x14ac:dyDescent="0.25">
      <c r="A3856" s="14"/>
      <c r="B3856"/>
      <c r="C3856" s="15"/>
      <c r="D3856"/>
      <c r="E3856"/>
      <c r="F3856" s="16"/>
      <c r="G3856"/>
      <c r="H3856"/>
      <c r="I3856" s="16"/>
      <c r="J3856"/>
      <c r="K3856"/>
      <c r="L3856"/>
      <c r="M3856" s="17"/>
      <c r="N3856"/>
      <c r="O3856"/>
      <c r="P3856" s="34"/>
    </row>
    <row r="3857" spans="1:16" x14ac:dyDescent="0.25">
      <c r="A3857" s="14"/>
      <c r="B3857"/>
      <c r="C3857" s="15"/>
      <c r="D3857"/>
      <c r="E3857"/>
      <c r="F3857" s="16"/>
      <c r="G3857"/>
      <c r="H3857"/>
      <c r="I3857" s="16"/>
      <c r="J3857"/>
      <c r="K3857"/>
      <c r="L3857"/>
      <c r="M3857" s="17"/>
      <c r="N3857"/>
      <c r="O3857"/>
      <c r="P3857" s="34"/>
    </row>
    <row r="3858" spans="1:16" x14ac:dyDescent="0.25">
      <c r="A3858" s="14"/>
      <c r="B3858"/>
      <c r="C3858" s="15"/>
      <c r="D3858"/>
      <c r="E3858"/>
      <c r="F3858" s="16"/>
      <c r="G3858"/>
      <c r="H3858"/>
      <c r="I3858" s="16"/>
      <c r="J3858"/>
      <c r="K3858"/>
      <c r="L3858"/>
      <c r="M3858" s="17"/>
      <c r="N3858"/>
      <c r="O3858"/>
      <c r="P3858" s="34"/>
    </row>
    <row r="3859" spans="1:16" x14ac:dyDescent="0.25">
      <c r="A3859" s="14"/>
      <c r="B3859"/>
      <c r="C3859" s="15"/>
      <c r="D3859"/>
      <c r="E3859"/>
      <c r="F3859" s="16"/>
      <c r="G3859"/>
      <c r="H3859"/>
      <c r="I3859" s="16"/>
      <c r="J3859"/>
      <c r="K3859"/>
      <c r="L3859"/>
      <c r="M3859" s="17"/>
      <c r="N3859"/>
      <c r="O3859"/>
      <c r="P3859" s="34"/>
    </row>
    <row r="3860" spans="1:16" x14ac:dyDescent="0.25">
      <c r="A3860" s="14"/>
      <c r="B3860"/>
      <c r="C3860" s="15"/>
      <c r="D3860"/>
      <c r="E3860"/>
      <c r="F3860" s="16"/>
      <c r="G3860"/>
      <c r="H3860"/>
      <c r="I3860" s="16"/>
      <c r="J3860"/>
      <c r="K3860"/>
      <c r="L3860"/>
      <c r="M3860" s="17"/>
      <c r="N3860"/>
      <c r="O3860"/>
      <c r="P3860" s="34"/>
    </row>
    <row r="3861" spans="1:16" x14ac:dyDescent="0.25">
      <c r="A3861" s="14"/>
      <c r="B3861"/>
      <c r="C3861" s="15"/>
      <c r="D3861"/>
      <c r="E3861"/>
      <c r="F3861" s="16"/>
      <c r="G3861"/>
      <c r="H3861"/>
      <c r="I3861" s="16"/>
      <c r="J3861"/>
      <c r="K3861"/>
      <c r="L3861"/>
      <c r="M3861" s="17"/>
      <c r="N3861"/>
      <c r="O3861"/>
      <c r="P3861" s="34"/>
    </row>
    <row r="3862" spans="1:16" x14ac:dyDescent="0.25">
      <c r="A3862" s="14"/>
      <c r="B3862"/>
      <c r="C3862" s="15"/>
      <c r="D3862"/>
      <c r="E3862"/>
      <c r="F3862" s="16"/>
      <c r="G3862"/>
      <c r="H3862"/>
      <c r="I3862" s="16"/>
      <c r="J3862"/>
      <c r="K3862"/>
      <c r="L3862"/>
      <c r="M3862" s="17"/>
      <c r="N3862"/>
      <c r="O3862"/>
      <c r="P3862" s="34"/>
    </row>
    <row r="3863" spans="1:16" x14ac:dyDescent="0.25">
      <c r="A3863" s="14"/>
      <c r="B3863"/>
      <c r="C3863" s="15"/>
      <c r="D3863"/>
      <c r="E3863"/>
      <c r="F3863" s="16"/>
      <c r="G3863"/>
      <c r="H3863"/>
      <c r="I3863" s="16"/>
      <c r="J3863"/>
      <c r="K3863"/>
      <c r="L3863"/>
      <c r="M3863" s="17"/>
      <c r="N3863"/>
      <c r="O3863"/>
      <c r="P3863" s="34"/>
    </row>
    <row r="3864" spans="1:16" x14ac:dyDescent="0.25">
      <c r="A3864" s="14"/>
      <c r="B3864"/>
      <c r="C3864" s="15"/>
      <c r="D3864"/>
      <c r="E3864"/>
      <c r="F3864" s="16"/>
      <c r="G3864"/>
      <c r="H3864"/>
      <c r="I3864" s="16"/>
      <c r="J3864"/>
      <c r="K3864"/>
      <c r="L3864"/>
      <c r="M3864" s="17"/>
      <c r="N3864"/>
      <c r="O3864"/>
      <c r="P3864" s="34"/>
    </row>
    <row r="3865" spans="1:16" x14ac:dyDescent="0.25">
      <c r="A3865" s="14"/>
      <c r="B3865"/>
      <c r="C3865" s="15"/>
      <c r="D3865"/>
      <c r="E3865"/>
      <c r="F3865" s="16"/>
      <c r="G3865"/>
      <c r="H3865"/>
      <c r="I3865" s="16"/>
      <c r="J3865"/>
      <c r="K3865"/>
      <c r="L3865"/>
      <c r="M3865" s="17"/>
      <c r="N3865"/>
      <c r="O3865"/>
      <c r="P3865" s="34"/>
    </row>
    <row r="3866" spans="1:16" x14ac:dyDescent="0.25">
      <c r="A3866" s="14"/>
      <c r="B3866"/>
      <c r="C3866" s="15"/>
      <c r="D3866"/>
      <c r="E3866"/>
      <c r="F3866" s="16"/>
      <c r="G3866"/>
      <c r="H3866"/>
      <c r="I3866" s="16"/>
      <c r="J3866"/>
      <c r="K3866"/>
      <c r="L3866"/>
      <c r="M3866" s="17"/>
      <c r="N3866"/>
      <c r="O3866"/>
      <c r="P3866" s="34"/>
    </row>
    <row r="3867" spans="1:16" x14ac:dyDescent="0.25">
      <c r="A3867" s="14"/>
      <c r="B3867"/>
      <c r="C3867" s="15"/>
      <c r="D3867"/>
      <c r="E3867"/>
      <c r="F3867" s="16"/>
      <c r="G3867"/>
      <c r="H3867"/>
      <c r="I3867" s="16"/>
      <c r="J3867"/>
      <c r="K3867"/>
      <c r="L3867"/>
      <c r="M3867" s="17"/>
      <c r="N3867"/>
      <c r="O3867"/>
      <c r="P3867" s="34"/>
    </row>
    <row r="3868" spans="1:16" x14ac:dyDescent="0.25">
      <c r="A3868" s="14"/>
      <c r="B3868"/>
      <c r="C3868" s="15"/>
      <c r="D3868"/>
      <c r="E3868"/>
      <c r="F3868" s="16"/>
      <c r="G3868"/>
      <c r="H3868"/>
      <c r="I3868" s="16"/>
      <c r="J3868"/>
      <c r="K3868"/>
      <c r="L3868"/>
      <c r="M3868" s="17"/>
      <c r="N3868"/>
      <c r="O3868"/>
      <c r="P3868" s="34"/>
    </row>
    <row r="3869" spans="1:16" x14ac:dyDescent="0.25">
      <c r="A3869" s="14"/>
      <c r="B3869"/>
      <c r="C3869" s="15"/>
      <c r="D3869"/>
      <c r="E3869"/>
      <c r="F3869" s="16"/>
      <c r="G3869"/>
      <c r="H3869"/>
      <c r="I3869" s="16"/>
      <c r="J3869"/>
      <c r="K3869"/>
      <c r="L3869"/>
      <c r="M3869" s="17"/>
      <c r="N3869"/>
      <c r="O3869"/>
      <c r="P3869" s="34"/>
    </row>
    <row r="3870" spans="1:16" x14ac:dyDescent="0.25">
      <c r="A3870" s="14"/>
      <c r="B3870"/>
      <c r="C3870" s="15"/>
      <c r="D3870"/>
      <c r="E3870"/>
      <c r="F3870" s="16"/>
      <c r="G3870"/>
      <c r="H3870"/>
      <c r="I3870" s="16"/>
      <c r="J3870"/>
      <c r="K3870"/>
      <c r="L3870"/>
      <c r="M3870" s="17"/>
      <c r="N3870"/>
      <c r="O3870"/>
      <c r="P3870" s="34"/>
    </row>
    <row r="3871" spans="1:16" x14ac:dyDescent="0.25">
      <c r="A3871" s="14"/>
      <c r="B3871"/>
      <c r="C3871" s="15"/>
      <c r="D3871"/>
      <c r="E3871"/>
      <c r="F3871" s="16"/>
      <c r="G3871"/>
      <c r="H3871"/>
      <c r="I3871" s="16"/>
      <c r="J3871"/>
      <c r="K3871"/>
      <c r="L3871"/>
      <c r="M3871" s="17"/>
      <c r="N3871"/>
      <c r="O3871"/>
      <c r="P3871" s="34"/>
    </row>
    <row r="3872" spans="1:16" x14ac:dyDescent="0.25">
      <c r="A3872" s="14"/>
      <c r="B3872"/>
      <c r="C3872" s="15"/>
      <c r="D3872"/>
      <c r="E3872"/>
      <c r="F3872" s="16"/>
      <c r="G3872"/>
      <c r="H3872"/>
      <c r="I3872" s="16"/>
      <c r="J3872"/>
      <c r="K3872"/>
      <c r="L3872"/>
      <c r="M3872" s="17"/>
      <c r="N3872"/>
      <c r="O3872"/>
      <c r="P3872" s="34"/>
    </row>
    <row r="3873" spans="1:16" x14ac:dyDescent="0.25">
      <c r="A3873" s="14"/>
      <c r="B3873"/>
      <c r="C3873" s="15"/>
      <c r="D3873"/>
      <c r="E3873"/>
      <c r="F3873" s="16"/>
      <c r="G3873"/>
      <c r="H3873"/>
      <c r="I3873" s="16"/>
      <c r="J3873"/>
      <c r="K3873"/>
      <c r="L3873"/>
      <c r="M3873" s="17"/>
      <c r="N3873"/>
      <c r="O3873"/>
      <c r="P3873" s="34"/>
    </row>
    <row r="3874" spans="1:16" x14ac:dyDescent="0.25">
      <c r="A3874" s="14"/>
      <c r="B3874"/>
      <c r="C3874" s="15"/>
      <c r="D3874"/>
      <c r="E3874"/>
      <c r="F3874" s="16"/>
      <c r="G3874"/>
      <c r="H3874"/>
      <c r="I3874" s="16"/>
      <c r="J3874"/>
      <c r="K3874"/>
      <c r="L3874"/>
      <c r="M3874" s="17"/>
      <c r="N3874"/>
      <c r="O3874"/>
      <c r="P3874" s="34"/>
    </row>
    <row r="3875" spans="1:16" x14ac:dyDescent="0.25">
      <c r="A3875" s="14"/>
      <c r="B3875"/>
      <c r="C3875" s="15"/>
      <c r="D3875"/>
      <c r="E3875"/>
      <c r="F3875" s="16"/>
      <c r="G3875"/>
      <c r="H3875"/>
      <c r="I3875" s="16"/>
      <c r="J3875"/>
      <c r="K3875"/>
      <c r="L3875"/>
      <c r="M3875" s="17"/>
      <c r="N3875"/>
      <c r="O3875"/>
      <c r="P3875" s="34"/>
    </row>
    <row r="3876" spans="1:16" x14ac:dyDescent="0.25">
      <c r="A3876" s="14"/>
      <c r="B3876"/>
      <c r="C3876" s="15"/>
      <c r="D3876"/>
      <c r="E3876"/>
      <c r="F3876" s="16"/>
      <c r="G3876"/>
      <c r="H3876"/>
      <c r="I3876" s="16"/>
      <c r="J3876"/>
      <c r="K3876"/>
      <c r="L3876"/>
      <c r="M3876" s="17"/>
      <c r="N3876"/>
      <c r="O3876"/>
      <c r="P3876" s="34"/>
    </row>
    <row r="3877" spans="1:16" x14ac:dyDescent="0.25">
      <c r="A3877" s="14"/>
      <c r="B3877"/>
      <c r="C3877" s="15"/>
      <c r="D3877"/>
      <c r="E3877"/>
      <c r="F3877" s="16"/>
      <c r="G3877"/>
      <c r="H3877"/>
      <c r="I3877" s="16"/>
      <c r="J3877"/>
      <c r="K3877"/>
      <c r="L3877"/>
      <c r="M3877" s="17"/>
      <c r="N3877"/>
      <c r="O3877"/>
      <c r="P3877" s="34"/>
    </row>
    <row r="3878" spans="1:16" x14ac:dyDescent="0.25">
      <c r="A3878" s="14"/>
      <c r="B3878"/>
      <c r="C3878" s="15"/>
      <c r="D3878"/>
      <c r="E3878"/>
      <c r="F3878" s="16"/>
      <c r="G3878"/>
      <c r="H3878"/>
      <c r="I3878" s="16"/>
      <c r="J3878"/>
      <c r="K3878"/>
      <c r="L3878"/>
      <c r="M3878" s="17"/>
      <c r="N3878"/>
      <c r="O3878"/>
      <c r="P3878" s="34"/>
    </row>
    <row r="3879" spans="1:16" x14ac:dyDescent="0.25">
      <c r="A3879" s="14"/>
      <c r="B3879"/>
      <c r="C3879" s="15"/>
      <c r="D3879"/>
      <c r="E3879"/>
      <c r="F3879" s="16"/>
      <c r="G3879"/>
      <c r="H3879"/>
      <c r="I3879" s="16"/>
      <c r="J3879"/>
      <c r="K3879"/>
      <c r="L3879"/>
      <c r="M3879" s="17"/>
      <c r="N3879"/>
      <c r="O3879"/>
      <c r="P3879" s="34"/>
    </row>
    <row r="3880" spans="1:16" x14ac:dyDescent="0.25">
      <c r="A3880" s="14"/>
      <c r="B3880"/>
      <c r="C3880" s="15"/>
      <c r="D3880"/>
      <c r="E3880"/>
      <c r="F3880" s="16"/>
      <c r="G3880"/>
      <c r="H3880"/>
      <c r="I3880" s="16"/>
      <c r="J3880"/>
      <c r="K3880"/>
      <c r="L3880"/>
      <c r="M3880" s="17"/>
      <c r="N3880"/>
      <c r="O3880"/>
      <c r="P3880" s="34"/>
    </row>
    <row r="3881" spans="1:16" x14ac:dyDescent="0.25">
      <c r="A3881" s="14"/>
      <c r="B3881"/>
      <c r="C3881" s="15"/>
      <c r="D3881"/>
      <c r="E3881"/>
      <c r="F3881" s="16"/>
      <c r="G3881"/>
      <c r="H3881"/>
      <c r="I3881" s="16"/>
      <c r="J3881"/>
      <c r="K3881"/>
      <c r="L3881"/>
      <c r="M3881" s="17"/>
      <c r="N3881"/>
      <c r="O3881"/>
      <c r="P3881" s="34"/>
    </row>
    <row r="3882" spans="1:16" x14ac:dyDescent="0.25">
      <c r="A3882" s="14"/>
      <c r="B3882"/>
      <c r="C3882" s="15"/>
      <c r="D3882"/>
      <c r="E3882"/>
      <c r="F3882" s="16"/>
      <c r="G3882"/>
      <c r="H3882"/>
      <c r="I3882" s="16"/>
      <c r="J3882"/>
      <c r="K3882"/>
      <c r="L3882"/>
      <c r="M3882" s="17"/>
      <c r="N3882"/>
      <c r="O3882"/>
      <c r="P3882" s="34"/>
    </row>
    <row r="3883" spans="1:16" x14ac:dyDescent="0.25">
      <c r="A3883" s="14"/>
      <c r="B3883"/>
      <c r="C3883" s="15"/>
      <c r="D3883"/>
      <c r="E3883"/>
      <c r="F3883" s="16"/>
      <c r="G3883"/>
      <c r="H3883"/>
      <c r="I3883" s="16"/>
      <c r="J3883"/>
      <c r="K3883"/>
      <c r="L3883"/>
      <c r="M3883" s="17"/>
      <c r="N3883"/>
      <c r="O3883"/>
      <c r="P3883" s="34"/>
    </row>
    <row r="3884" spans="1:16" x14ac:dyDescent="0.25">
      <c r="A3884" s="14"/>
      <c r="B3884"/>
      <c r="C3884" s="15"/>
      <c r="D3884"/>
      <c r="E3884"/>
      <c r="F3884" s="16"/>
      <c r="G3884"/>
      <c r="H3884"/>
      <c r="I3884" s="16"/>
      <c r="J3884"/>
      <c r="K3884"/>
      <c r="L3884"/>
      <c r="M3884" s="17"/>
      <c r="N3884"/>
      <c r="O3884"/>
      <c r="P3884" s="34"/>
    </row>
    <row r="3885" spans="1:16" x14ac:dyDescent="0.25">
      <c r="A3885" s="14"/>
      <c r="B3885"/>
      <c r="C3885" s="15"/>
      <c r="D3885"/>
      <c r="E3885"/>
      <c r="F3885" s="16"/>
      <c r="G3885"/>
      <c r="H3885"/>
      <c r="I3885" s="16"/>
      <c r="J3885"/>
      <c r="K3885"/>
      <c r="L3885"/>
      <c r="M3885" s="17"/>
      <c r="N3885"/>
      <c r="O3885"/>
      <c r="P3885" s="34"/>
    </row>
    <row r="3886" spans="1:16" x14ac:dyDescent="0.25">
      <c r="A3886" s="14"/>
      <c r="B3886"/>
      <c r="C3886" s="15"/>
      <c r="D3886"/>
      <c r="E3886"/>
      <c r="F3886" s="16"/>
      <c r="G3886"/>
      <c r="H3886"/>
      <c r="I3886" s="16"/>
      <c r="J3886"/>
      <c r="K3886"/>
      <c r="L3886"/>
      <c r="M3886" s="17"/>
      <c r="N3886"/>
      <c r="O3886"/>
      <c r="P3886" s="34"/>
    </row>
    <row r="3887" spans="1:16" x14ac:dyDescent="0.25">
      <c r="A3887" s="14"/>
      <c r="B3887"/>
      <c r="C3887" s="15"/>
      <c r="D3887"/>
      <c r="E3887"/>
      <c r="F3887" s="16"/>
      <c r="G3887"/>
      <c r="H3887"/>
      <c r="I3887" s="16"/>
      <c r="J3887"/>
      <c r="K3887"/>
      <c r="L3887"/>
      <c r="M3887" s="17"/>
      <c r="N3887"/>
      <c r="O3887"/>
      <c r="P3887" s="34"/>
    </row>
    <row r="3888" spans="1:16" x14ac:dyDescent="0.25">
      <c r="A3888" s="14"/>
      <c r="B3888"/>
      <c r="C3888" s="15"/>
      <c r="D3888"/>
      <c r="E3888"/>
      <c r="F3888" s="16"/>
      <c r="G3888"/>
      <c r="H3888"/>
      <c r="I3888" s="16"/>
      <c r="J3888"/>
      <c r="K3888"/>
      <c r="L3888"/>
      <c r="M3888" s="17"/>
      <c r="N3888"/>
      <c r="O3888"/>
      <c r="P3888" s="34"/>
    </row>
    <row r="3889" spans="1:16" x14ac:dyDescent="0.25">
      <c r="A3889" s="14"/>
      <c r="B3889"/>
      <c r="C3889" s="15"/>
      <c r="D3889"/>
      <c r="E3889"/>
      <c r="F3889" s="16"/>
      <c r="G3889"/>
      <c r="H3889"/>
      <c r="I3889" s="16"/>
      <c r="J3889"/>
      <c r="K3889"/>
      <c r="L3889"/>
      <c r="M3889" s="17"/>
      <c r="N3889"/>
      <c r="O3889"/>
      <c r="P3889" s="34"/>
    </row>
    <row r="3890" spans="1:16" x14ac:dyDescent="0.25">
      <c r="A3890" s="14"/>
      <c r="B3890"/>
      <c r="C3890" s="15"/>
      <c r="D3890"/>
      <c r="E3890"/>
      <c r="F3890" s="16"/>
      <c r="G3890"/>
      <c r="H3890"/>
      <c r="I3890" s="16"/>
      <c r="J3890"/>
      <c r="K3890"/>
      <c r="L3890"/>
      <c r="M3890" s="17"/>
      <c r="N3890"/>
      <c r="O3890"/>
      <c r="P3890" s="34"/>
    </row>
    <row r="3891" spans="1:16" x14ac:dyDescent="0.25">
      <c r="A3891" s="14"/>
      <c r="B3891"/>
      <c r="C3891" s="15"/>
      <c r="D3891"/>
      <c r="E3891"/>
      <c r="F3891" s="16"/>
      <c r="G3891"/>
      <c r="H3891"/>
      <c r="I3891" s="16"/>
      <c r="J3891"/>
      <c r="K3891"/>
      <c r="L3891"/>
      <c r="M3891" s="17"/>
      <c r="N3891"/>
      <c r="O3891"/>
      <c r="P3891" s="34"/>
    </row>
    <row r="3892" spans="1:16" x14ac:dyDescent="0.25">
      <c r="A3892" s="14"/>
      <c r="B3892"/>
      <c r="C3892" s="15"/>
      <c r="D3892"/>
      <c r="E3892"/>
      <c r="F3892" s="16"/>
      <c r="G3892"/>
      <c r="H3892"/>
      <c r="I3892" s="16"/>
      <c r="J3892"/>
      <c r="K3892"/>
      <c r="L3892"/>
      <c r="M3892" s="17"/>
      <c r="N3892"/>
      <c r="O3892"/>
      <c r="P3892" s="34"/>
    </row>
    <row r="3893" spans="1:16" x14ac:dyDescent="0.25">
      <c r="A3893" s="14"/>
      <c r="B3893"/>
      <c r="C3893" s="15"/>
      <c r="D3893"/>
      <c r="E3893"/>
      <c r="F3893" s="16"/>
      <c r="G3893"/>
      <c r="H3893"/>
      <c r="I3893" s="16"/>
      <c r="J3893"/>
      <c r="K3893"/>
      <c r="L3893"/>
      <c r="M3893" s="17"/>
      <c r="N3893"/>
      <c r="O3893"/>
      <c r="P3893" s="34"/>
    </row>
    <row r="3894" spans="1:16" x14ac:dyDescent="0.25">
      <c r="A3894" s="14"/>
      <c r="B3894"/>
      <c r="C3894" s="15"/>
      <c r="D3894"/>
      <c r="E3894"/>
      <c r="F3894" s="16"/>
      <c r="G3894"/>
      <c r="H3894"/>
      <c r="I3894" s="16"/>
      <c r="J3894"/>
      <c r="K3894"/>
      <c r="L3894"/>
      <c r="M3894" s="17"/>
      <c r="N3894"/>
      <c r="O3894"/>
      <c r="P3894" s="34"/>
    </row>
    <row r="3895" spans="1:16" x14ac:dyDescent="0.25">
      <c r="A3895" s="14"/>
      <c r="B3895"/>
      <c r="C3895" s="15"/>
      <c r="D3895"/>
      <c r="E3895"/>
      <c r="F3895" s="16"/>
      <c r="G3895"/>
      <c r="H3895"/>
      <c r="I3895" s="16"/>
      <c r="J3895"/>
      <c r="K3895"/>
      <c r="L3895"/>
      <c r="M3895" s="17"/>
      <c r="N3895"/>
      <c r="O3895"/>
      <c r="P3895" s="34"/>
    </row>
    <row r="3896" spans="1:16" x14ac:dyDescent="0.25">
      <c r="A3896" s="14"/>
      <c r="B3896"/>
      <c r="C3896" s="15"/>
      <c r="D3896"/>
      <c r="E3896"/>
      <c r="F3896" s="16"/>
      <c r="G3896"/>
      <c r="H3896"/>
      <c r="I3896" s="16"/>
      <c r="J3896"/>
      <c r="K3896"/>
      <c r="L3896"/>
      <c r="M3896" s="17"/>
      <c r="N3896"/>
      <c r="O3896"/>
      <c r="P3896" s="34"/>
    </row>
    <row r="3897" spans="1:16" x14ac:dyDescent="0.25">
      <c r="A3897" s="14"/>
      <c r="B3897"/>
      <c r="C3897" s="15"/>
      <c r="D3897"/>
      <c r="E3897"/>
      <c r="F3897" s="16"/>
      <c r="G3897"/>
      <c r="H3897"/>
      <c r="I3897" s="16"/>
      <c r="J3897"/>
      <c r="K3897"/>
      <c r="L3897"/>
      <c r="M3897" s="17"/>
      <c r="N3897"/>
      <c r="O3897"/>
      <c r="P3897" s="34"/>
    </row>
    <row r="3898" spans="1:16" x14ac:dyDescent="0.25">
      <c r="A3898" s="14"/>
      <c r="B3898"/>
      <c r="C3898" s="15"/>
      <c r="D3898"/>
      <c r="E3898"/>
      <c r="F3898" s="16"/>
      <c r="G3898"/>
      <c r="H3898"/>
      <c r="I3898" s="16"/>
      <c r="J3898"/>
      <c r="K3898"/>
      <c r="L3898"/>
      <c r="M3898" s="17"/>
      <c r="N3898"/>
      <c r="O3898"/>
      <c r="P3898" s="34"/>
    </row>
    <row r="3899" spans="1:16" x14ac:dyDescent="0.25">
      <c r="A3899" s="14"/>
      <c r="B3899"/>
      <c r="C3899" s="15"/>
      <c r="D3899"/>
      <c r="E3899"/>
      <c r="F3899" s="16"/>
      <c r="G3899"/>
      <c r="H3899"/>
      <c r="I3899" s="16"/>
      <c r="J3899"/>
      <c r="K3899"/>
      <c r="L3899"/>
      <c r="M3899" s="17"/>
      <c r="N3899"/>
      <c r="O3899"/>
      <c r="P3899" s="34"/>
    </row>
    <row r="3900" spans="1:16" x14ac:dyDescent="0.25">
      <c r="A3900" s="14"/>
      <c r="B3900"/>
      <c r="C3900" s="15"/>
      <c r="D3900"/>
      <c r="E3900"/>
      <c r="F3900" s="16"/>
      <c r="G3900"/>
      <c r="H3900"/>
      <c r="I3900" s="16"/>
      <c r="J3900"/>
      <c r="K3900"/>
      <c r="L3900"/>
      <c r="M3900" s="17"/>
      <c r="N3900"/>
      <c r="O3900"/>
      <c r="P3900" s="34"/>
    </row>
    <row r="3901" spans="1:16" x14ac:dyDescent="0.25">
      <c r="A3901" s="14"/>
      <c r="B3901"/>
      <c r="C3901" s="15"/>
      <c r="D3901"/>
      <c r="E3901"/>
      <c r="F3901" s="16"/>
      <c r="G3901"/>
      <c r="H3901"/>
      <c r="I3901" s="16"/>
      <c r="J3901"/>
      <c r="K3901"/>
      <c r="L3901"/>
      <c r="M3901" s="17"/>
      <c r="N3901"/>
      <c r="O3901"/>
      <c r="P3901" s="34"/>
    </row>
    <row r="3902" spans="1:16" x14ac:dyDescent="0.25">
      <c r="A3902" s="14"/>
      <c r="B3902"/>
      <c r="C3902" s="15"/>
      <c r="D3902"/>
      <c r="E3902"/>
      <c r="F3902" s="16"/>
      <c r="G3902"/>
      <c r="H3902"/>
      <c r="I3902" s="16"/>
      <c r="J3902"/>
      <c r="K3902"/>
      <c r="L3902"/>
      <c r="M3902" s="17"/>
      <c r="N3902"/>
      <c r="O3902"/>
      <c r="P3902" s="34"/>
    </row>
    <row r="3903" spans="1:16" x14ac:dyDescent="0.25">
      <c r="A3903" s="14"/>
      <c r="B3903"/>
      <c r="C3903" s="15"/>
      <c r="D3903"/>
      <c r="E3903"/>
      <c r="F3903" s="16"/>
      <c r="G3903"/>
      <c r="H3903"/>
      <c r="I3903" s="16"/>
      <c r="J3903"/>
      <c r="K3903"/>
      <c r="L3903"/>
      <c r="M3903" s="17"/>
      <c r="N3903"/>
      <c r="O3903"/>
      <c r="P3903" s="34"/>
    </row>
    <row r="3904" spans="1:16" x14ac:dyDescent="0.25">
      <c r="A3904" s="14"/>
      <c r="B3904"/>
      <c r="C3904" s="15"/>
      <c r="D3904"/>
      <c r="E3904"/>
      <c r="F3904" s="16"/>
      <c r="G3904"/>
      <c r="H3904"/>
      <c r="I3904" s="16"/>
      <c r="J3904"/>
      <c r="K3904"/>
      <c r="L3904"/>
      <c r="M3904" s="17"/>
      <c r="N3904"/>
      <c r="O3904"/>
      <c r="P3904" s="34"/>
    </row>
    <row r="3905" spans="1:16" x14ac:dyDescent="0.25">
      <c r="A3905" s="14"/>
      <c r="B3905"/>
      <c r="C3905" s="15"/>
      <c r="D3905"/>
      <c r="E3905"/>
      <c r="F3905" s="16"/>
      <c r="G3905"/>
      <c r="H3905"/>
      <c r="I3905" s="16"/>
      <c r="J3905"/>
      <c r="K3905"/>
      <c r="L3905"/>
      <c r="M3905" s="17"/>
      <c r="N3905"/>
      <c r="O3905"/>
      <c r="P3905" s="34"/>
    </row>
    <row r="3906" spans="1:16" x14ac:dyDescent="0.25">
      <c r="A3906" s="14"/>
      <c r="B3906"/>
      <c r="C3906" s="15"/>
      <c r="D3906"/>
      <c r="E3906"/>
      <c r="F3906" s="16"/>
      <c r="G3906"/>
      <c r="H3906"/>
      <c r="I3906" s="16"/>
      <c r="J3906"/>
      <c r="K3906"/>
      <c r="L3906"/>
      <c r="M3906" s="17"/>
      <c r="N3906"/>
      <c r="O3906"/>
      <c r="P3906" s="34"/>
    </row>
    <row r="3907" spans="1:16" x14ac:dyDescent="0.25">
      <c r="A3907" s="14"/>
      <c r="B3907"/>
      <c r="C3907" s="15"/>
      <c r="D3907"/>
      <c r="E3907"/>
      <c r="F3907" s="16"/>
      <c r="G3907"/>
      <c r="H3907"/>
      <c r="I3907" s="16"/>
      <c r="J3907"/>
      <c r="K3907"/>
      <c r="L3907"/>
      <c r="M3907" s="17"/>
      <c r="N3907"/>
      <c r="O3907"/>
      <c r="P3907" s="34"/>
    </row>
    <row r="3908" spans="1:16" x14ac:dyDescent="0.25">
      <c r="A3908" s="14"/>
      <c r="B3908"/>
      <c r="C3908" s="15"/>
      <c r="D3908"/>
      <c r="E3908"/>
      <c r="F3908" s="16"/>
      <c r="G3908"/>
      <c r="H3908"/>
      <c r="I3908" s="16"/>
      <c r="J3908"/>
      <c r="K3908"/>
      <c r="L3908"/>
      <c r="M3908" s="17"/>
      <c r="N3908"/>
      <c r="O3908"/>
      <c r="P3908" s="34"/>
    </row>
    <row r="3909" spans="1:16" x14ac:dyDescent="0.25">
      <c r="A3909" s="14"/>
      <c r="B3909"/>
      <c r="C3909" s="15"/>
      <c r="D3909"/>
      <c r="E3909"/>
      <c r="F3909" s="16"/>
      <c r="G3909"/>
      <c r="H3909"/>
      <c r="I3909" s="16"/>
      <c r="J3909"/>
      <c r="K3909"/>
      <c r="L3909"/>
      <c r="M3909" s="17"/>
      <c r="N3909"/>
      <c r="O3909"/>
      <c r="P3909" s="34"/>
    </row>
    <row r="3910" spans="1:16" x14ac:dyDescent="0.25">
      <c r="A3910" s="14"/>
      <c r="B3910"/>
      <c r="C3910" s="15"/>
      <c r="D3910"/>
      <c r="E3910"/>
      <c r="F3910" s="16"/>
      <c r="G3910"/>
      <c r="H3910"/>
      <c r="I3910" s="16"/>
      <c r="J3910"/>
      <c r="K3910"/>
      <c r="L3910"/>
      <c r="M3910" s="17"/>
      <c r="N3910"/>
      <c r="O3910"/>
      <c r="P3910" s="34"/>
    </row>
    <row r="3911" spans="1:16" x14ac:dyDescent="0.25">
      <c r="A3911" s="14"/>
      <c r="B3911"/>
      <c r="C3911" s="15"/>
      <c r="D3911"/>
      <c r="E3911"/>
      <c r="F3911" s="16"/>
      <c r="G3911"/>
      <c r="H3911"/>
      <c r="I3911" s="16"/>
      <c r="J3911"/>
      <c r="K3911"/>
      <c r="L3911"/>
      <c r="M3911" s="17"/>
      <c r="N3911"/>
      <c r="O3911"/>
      <c r="P3911" s="34"/>
    </row>
    <row r="3912" spans="1:16" x14ac:dyDescent="0.25">
      <c r="A3912" s="14"/>
      <c r="B3912"/>
      <c r="C3912" s="15"/>
      <c r="D3912"/>
      <c r="E3912"/>
      <c r="F3912" s="16"/>
      <c r="G3912"/>
      <c r="H3912"/>
      <c r="I3912" s="16"/>
      <c r="J3912"/>
      <c r="K3912"/>
      <c r="L3912"/>
      <c r="M3912" s="17"/>
      <c r="N3912"/>
      <c r="O3912"/>
      <c r="P3912" s="34"/>
    </row>
    <row r="3913" spans="1:16" x14ac:dyDescent="0.25">
      <c r="A3913" s="14"/>
      <c r="B3913"/>
      <c r="C3913" s="15"/>
      <c r="D3913"/>
      <c r="E3913"/>
      <c r="F3913" s="16"/>
      <c r="G3913"/>
      <c r="H3913"/>
      <c r="I3913" s="16"/>
      <c r="J3913"/>
      <c r="K3913"/>
      <c r="L3913"/>
      <c r="M3913" s="17"/>
      <c r="N3913"/>
      <c r="O3913"/>
      <c r="P3913" s="34"/>
    </row>
    <row r="3914" spans="1:16" x14ac:dyDescent="0.25">
      <c r="A3914" s="14"/>
      <c r="B3914"/>
      <c r="C3914" s="15"/>
      <c r="D3914"/>
      <c r="E3914"/>
      <c r="F3914" s="16"/>
      <c r="G3914"/>
      <c r="H3914"/>
      <c r="I3914" s="16"/>
      <c r="J3914"/>
      <c r="K3914"/>
      <c r="L3914"/>
      <c r="M3914" s="17"/>
      <c r="N3914"/>
      <c r="O3914"/>
      <c r="P3914" s="34"/>
    </row>
    <row r="3915" spans="1:16" x14ac:dyDescent="0.25">
      <c r="A3915" s="14"/>
      <c r="B3915"/>
      <c r="C3915" s="15"/>
      <c r="D3915"/>
      <c r="E3915"/>
      <c r="F3915" s="16"/>
      <c r="G3915"/>
      <c r="H3915"/>
      <c r="I3915" s="16"/>
      <c r="J3915"/>
      <c r="K3915"/>
      <c r="L3915"/>
      <c r="M3915" s="17"/>
      <c r="N3915"/>
      <c r="O3915"/>
      <c r="P3915" s="34"/>
    </row>
    <row r="3916" spans="1:16" x14ac:dyDescent="0.25">
      <c r="A3916" s="14"/>
      <c r="B3916"/>
      <c r="C3916" s="15"/>
      <c r="D3916"/>
      <c r="E3916"/>
      <c r="F3916" s="16"/>
      <c r="G3916"/>
      <c r="H3916"/>
      <c r="I3916" s="16"/>
      <c r="J3916"/>
      <c r="K3916"/>
      <c r="L3916"/>
      <c r="M3916" s="17"/>
      <c r="N3916"/>
      <c r="O3916"/>
      <c r="P3916" s="34"/>
    </row>
    <row r="3917" spans="1:16" x14ac:dyDescent="0.25">
      <c r="A3917" s="14"/>
      <c r="B3917"/>
      <c r="C3917" s="15"/>
      <c r="D3917"/>
      <c r="E3917"/>
      <c r="F3917" s="16"/>
      <c r="G3917"/>
      <c r="H3917"/>
      <c r="I3917" s="16"/>
      <c r="J3917"/>
      <c r="K3917"/>
      <c r="L3917"/>
      <c r="M3917" s="17"/>
      <c r="N3917"/>
      <c r="O3917"/>
      <c r="P3917" s="34"/>
    </row>
    <row r="3918" spans="1:16" x14ac:dyDescent="0.25">
      <c r="A3918" s="14"/>
      <c r="B3918"/>
      <c r="C3918" s="15"/>
      <c r="D3918"/>
      <c r="E3918"/>
      <c r="F3918" s="16"/>
      <c r="G3918"/>
      <c r="H3918"/>
      <c r="I3918" s="16"/>
      <c r="J3918"/>
      <c r="K3918"/>
      <c r="L3918"/>
      <c r="M3918" s="17"/>
      <c r="N3918"/>
      <c r="O3918"/>
      <c r="P3918" s="34"/>
    </row>
    <row r="3919" spans="1:16" x14ac:dyDescent="0.25">
      <c r="A3919" s="14"/>
      <c r="B3919"/>
      <c r="C3919" s="15"/>
      <c r="D3919"/>
      <c r="E3919"/>
      <c r="F3919" s="16"/>
      <c r="G3919"/>
      <c r="H3919"/>
      <c r="I3919" s="16"/>
      <c r="J3919"/>
      <c r="K3919"/>
      <c r="L3919"/>
      <c r="M3919" s="17"/>
      <c r="N3919"/>
      <c r="O3919"/>
      <c r="P3919" s="34"/>
    </row>
    <row r="3920" spans="1:16" x14ac:dyDescent="0.25">
      <c r="A3920" s="14"/>
      <c r="B3920"/>
      <c r="C3920" s="15"/>
      <c r="D3920"/>
      <c r="E3920"/>
      <c r="F3920" s="16"/>
      <c r="G3920"/>
      <c r="H3920"/>
      <c r="I3920" s="16"/>
      <c r="J3920"/>
      <c r="K3920"/>
      <c r="L3920"/>
      <c r="M3920" s="17"/>
      <c r="N3920"/>
      <c r="O3920"/>
      <c r="P3920" s="34"/>
    </row>
    <row r="3921" spans="1:16" x14ac:dyDescent="0.25">
      <c r="A3921" s="14"/>
      <c r="B3921"/>
      <c r="C3921" s="15"/>
      <c r="D3921"/>
      <c r="E3921"/>
      <c r="F3921" s="16"/>
      <c r="G3921"/>
      <c r="H3921"/>
      <c r="I3921" s="16"/>
      <c r="J3921"/>
      <c r="K3921"/>
      <c r="L3921"/>
      <c r="M3921" s="17"/>
      <c r="N3921"/>
      <c r="O3921"/>
      <c r="P3921" s="34"/>
    </row>
    <row r="3922" spans="1:16" x14ac:dyDescent="0.25">
      <c r="A3922" s="14"/>
      <c r="B3922"/>
      <c r="C3922" s="15"/>
      <c r="D3922"/>
      <c r="E3922"/>
      <c r="F3922" s="16"/>
      <c r="G3922"/>
      <c r="H3922"/>
      <c r="I3922" s="16"/>
      <c r="J3922"/>
      <c r="K3922"/>
      <c r="L3922"/>
      <c r="M3922" s="17"/>
      <c r="N3922"/>
      <c r="O3922"/>
      <c r="P3922" s="34"/>
    </row>
    <row r="3923" spans="1:16" x14ac:dyDescent="0.25">
      <c r="A3923" s="14"/>
      <c r="B3923"/>
      <c r="C3923" s="15"/>
      <c r="D3923"/>
      <c r="E3923"/>
      <c r="F3923" s="16"/>
      <c r="G3923"/>
      <c r="H3923"/>
      <c r="I3923" s="16"/>
      <c r="J3923"/>
      <c r="K3923"/>
      <c r="L3923"/>
      <c r="M3923" s="17"/>
      <c r="N3923"/>
      <c r="O3923"/>
      <c r="P3923" s="34"/>
    </row>
    <row r="3924" spans="1:16" x14ac:dyDescent="0.25">
      <c r="A3924" s="14"/>
      <c r="B3924"/>
      <c r="C3924" s="15"/>
      <c r="D3924"/>
      <c r="E3924"/>
      <c r="F3924" s="16"/>
      <c r="G3924"/>
      <c r="H3924"/>
      <c r="I3924" s="16"/>
      <c r="J3924"/>
      <c r="K3924"/>
      <c r="L3924"/>
      <c r="M3924" s="17"/>
      <c r="N3924"/>
      <c r="O3924"/>
      <c r="P3924" s="34"/>
    </row>
    <row r="3925" spans="1:16" x14ac:dyDescent="0.25">
      <c r="A3925" s="14"/>
      <c r="B3925"/>
      <c r="C3925" s="15"/>
      <c r="D3925"/>
      <c r="E3925"/>
      <c r="F3925" s="16"/>
      <c r="G3925"/>
      <c r="H3925"/>
      <c r="I3925" s="16"/>
      <c r="J3925"/>
      <c r="K3925"/>
      <c r="L3925"/>
      <c r="M3925" s="17"/>
      <c r="N3925"/>
      <c r="O3925"/>
      <c r="P3925" s="34"/>
    </row>
    <row r="3926" spans="1:16" x14ac:dyDescent="0.25">
      <c r="A3926" s="14"/>
      <c r="B3926"/>
      <c r="C3926" s="15"/>
      <c r="D3926"/>
      <c r="E3926"/>
      <c r="F3926" s="16"/>
      <c r="G3926"/>
      <c r="H3926"/>
      <c r="I3926" s="16"/>
      <c r="J3926"/>
      <c r="K3926"/>
      <c r="L3926"/>
      <c r="M3926" s="17"/>
      <c r="N3926"/>
      <c r="O3926"/>
      <c r="P3926" s="34"/>
    </row>
    <row r="3927" spans="1:16" x14ac:dyDescent="0.25">
      <c r="A3927" s="14"/>
      <c r="B3927"/>
      <c r="C3927" s="15"/>
      <c r="D3927"/>
      <c r="E3927"/>
      <c r="F3927" s="16"/>
      <c r="G3927"/>
      <c r="H3927"/>
      <c r="I3927" s="16"/>
      <c r="J3927"/>
      <c r="K3927"/>
      <c r="L3927"/>
      <c r="M3927" s="17"/>
      <c r="N3927"/>
      <c r="O3927"/>
      <c r="P3927" s="34"/>
    </row>
    <row r="3928" spans="1:16" x14ac:dyDescent="0.25">
      <c r="A3928" s="14"/>
      <c r="B3928"/>
      <c r="C3928" s="15"/>
      <c r="D3928"/>
      <c r="E3928"/>
      <c r="F3928" s="16"/>
      <c r="G3928"/>
      <c r="H3928"/>
      <c r="I3928" s="16"/>
      <c r="J3928"/>
      <c r="K3928"/>
      <c r="L3928"/>
      <c r="M3928" s="17"/>
      <c r="N3928"/>
      <c r="O3928"/>
      <c r="P3928" s="34"/>
    </row>
    <row r="3929" spans="1:16" x14ac:dyDescent="0.25">
      <c r="A3929" s="14"/>
      <c r="B3929"/>
      <c r="C3929" s="15"/>
      <c r="D3929"/>
      <c r="E3929"/>
      <c r="F3929" s="16"/>
      <c r="G3929"/>
      <c r="H3929"/>
      <c r="I3929" s="16"/>
      <c r="J3929"/>
      <c r="K3929"/>
      <c r="L3929"/>
      <c r="M3929" s="17"/>
      <c r="N3929"/>
      <c r="O3929"/>
      <c r="P3929" s="34"/>
    </row>
    <row r="3930" spans="1:16" x14ac:dyDescent="0.25">
      <c r="A3930" s="14"/>
      <c r="B3930"/>
      <c r="C3930" s="15"/>
      <c r="D3930"/>
      <c r="E3930"/>
      <c r="F3930" s="16"/>
      <c r="G3930"/>
      <c r="H3930"/>
      <c r="I3930" s="16"/>
      <c r="J3930"/>
      <c r="K3930"/>
      <c r="L3930"/>
      <c r="M3930" s="17"/>
      <c r="N3930"/>
      <c r="O3930"/>
      <c r="P3930" s="34"/>
    </row>
    <row r="3931" spans="1:16" x14ac:dyDescent="0.25">
      <c r="A3931" s="14"/>
      <c r="B3931"/>
      <c r="C3931" s="15"/>
      <c r="D3931"/>
      <c r="E3931"/>
      <c r="F3931" s="16"/>
      <c r="G3931"/>
      <c r="H3931"/>
      <c r="I3931" s="16"/>
      <c r="J3931"/>
      <c r="K3931"/>
      <c r="L3931"/>
      <c r="M3931" s="17"/>
      <c r="N3931"/>
      <c r="O3931"/>
      <c r="P3931" s="34"/>
    </row>
    <row r="3932" spans="1:16" x14ac:dyDescent="0.25">
      <c r="A3932" s="14"/>
      <c r="B3932"/>
      <c r="C3932" s="15"/>
      <c r="D3932"/>
      <c r="E3932"/>
      <c r="F3932" s="16"/>
      <c r="G3932"/>
      <c r="H3932"/>
      <c r="I3932" s="16"/>
      <c r="J3932"/>
      <c r="K3932"/>
      <c r="L3932"/>
      <c r="M3932" s="17"/>
      <c r="N3932"/>
      <c r="O3932"/>
      <c r="P3932" s="34"/>
    </row>
    <row r="3933" spans="1:16" x14ac:dyDescent="0.25">
      <c r="A3933" s="14"/>
      <c r="B3933"/>
      <c r="C3933" s="15"/>
      <c r="D3933"/>
      <c r="E3933"/>
      <c r="F3933" s="16"/>
      <c r="G3933"/>
      <c r="H3933"/>
      <c r="I3933" s="16"/>
      <c r="J3933"/>
      <c r="K3933"/>
      <c r="L3933"/>
      <c r="M3933" s="17"/>
      <c r="N3933"/>
      <c r="O3933"/>
      <c r="P3933" s="34"/>
    </row>
    <row r="3934" spans="1:16" x14ac:dyDescent="0.25">
      <c r="A3934" s="14"/>
      <c r="B3934"/>
      <c r="C3934" s="15"/>
      <c r="D3934"/>
      <c r="E3934"/>
      <c r="F3934" s="16"/>
      <c r="G3934"/>
      <c r="H3934"/>
      <c r="I3934" s="16"/>
      <c r="J3934"/>
      <c r="K3934"/>
      <c r="L3934"/>
      <c r="M3934" s="17"/>
      <c r="N3934"/>
      <c r="O3934"/>
      <c r="P3934" s="34"/>
    </row>
    <row r="3935" spans="1:16" x14ac:dyDescent="0.25">
      <c r="A3935" s="14"/>
      <c r="B3935"/>
      <c r="C3935" s="15"/>
      <c r="D3935"/>
      <c r="E3935"/>
      <c r="F3935" s="16"/>
      <c r="G3935"/>
      <c r="H3935"/>
      <c r="I3935" s="16"/>
      <c r="J3935"/>
      <c r="K3935"/>
      <c r="L3935"/>
      <c r="M3935" s="17"/>
      <c r="N3935"/>
      <c r="O3935"/>
      <c r="P3935" s="34"/>
    </row>
    <row r="3936" spans="1:16" x14ac:dyDescent="0.25">
      <c r="A3936" s="14"/>
      <c r="B3936"/>
      <c r="C3936" s="15"/>
      <c r="D3936"/>
      <c r="E3936"/>
      <c r="F3936" s="16"/>
      <c r="G3936"/>
      <c r="H3936"/>
      <c r="I3936" s="16"/>
      <c r="J3936"/>
      <c r="K3936"/>
      <c r="L3936"/>
      <c r="M3936" s="17"/>
      <c r="N3936"/>
      <c r="O3936"/>
      <c r="P3936" s="34"/>
    </row>
    <row r="3937" spans="1:16" x14ac:dyDescent="0.25">
      <c r="A3937" s="14"/>
      <c r="B3937"/>
      <c r="C3937" s="15"/>
      <c r="D3937"/>
      <c r="E3937"/>
      <c r="F3937" s="16"/>
      <c r="G3937"/>
      <c r="H3937"/>
      <c r="I3937" s="16"/>
      <c r="J3937"/>
      <c r="K3937"/>
      <c r="L3937"/>
      <c r="M3937" s="17"/>
      <c r="N3937"/>
      <c r="O3937"/>
      <c r="P3937" s="34"/>
    </row>
    <row r="3938" spans="1:16" x14ac:dyDescent="0.25">
      <c r="A3938" s="14"/>
      <c r="B3938"/>
      <c r="C3938" s="15"/>
      <c r="D3938"/>
      <c r="E3938"/>
      <c r="F3938" s="16"/>
      <c r="G3938"/>
      <c r="H3938"/>
      <c r="I3938" s="16"/>
      <c r="J3938"/>
      <c r="K3938"/>
      <c r="L3938"/>
      <c r="M3938" s="17"/>
      <c r="N3938"/>
      <c r="O3938"/>
      <c r="P3938" s="34"/>
    </row>
    <row r="3939" spans="1:16" x14ac:dyDescent="0.25">
      <c r="A3939" s="14"/>
      <c r="B3939"/>
      <c r="C3939" s="15"/>
      <c r="D3939"/>
      <c r="E3939"/>
      <c r="F3939" s="16"/>
      <c r="G3939"/>
      <c r="H3939"/>
      <c r="I3939" s="16"/>
      <c r="J3939"/>
      <c r="K3939"/>
      <c r="L3939"/>
      <c r="M3939" s="17"/>
      <c r="N3939"/>
      <c r="O3939"/>
      <c r="P3939" s="34"/>
    </row>
    <row r="3940" spans="1:16" x14ac:dyDescent="0.25">
      <c r="A3940" s="14"/>
      <c r="B3940"/>
      <c r="C3940" s="15"/>
      <c r="D3940"/>
      <c r="E3940"/>
      <c r="F3940" s="16"/>
      <c r="G3940"/>
      <c r="H3940"/>
      <c r="I3940" s="16"/>
      <c r="J3940"/>
      <c r="K3940"/>
      <c r="L3940"/>
      <c r="M3940" s="17"/>
      <c r="N3940"/>
      <c r="O3940"/>
      <c r="P3940" s="34"/>
    </row>
    <row r="3941" spans="1:16" x14ac:dyDescent="0.25">
      <c r="A3941" s="14"/>
      <c r="B3941"/>
      <c r="C3941" s="15"/>
      <c r="D3941"/>
      <c r="E3941"/>
      <c r="F3941" s="16"/>
      <c r="G3941"/>
      <c r="H3941"/>
      <c r="I3941" s="16"/>
      <c r="J3941"/>
      <c r="K3941"/>
      <c r="L3941"/>
      <c r="M3941" s="17"/>
      <c r="N3941"/>
      <c r="O3941"/>
      <c r="P3941" s="34"/>
    </row>
    <row r="3942" spans="1:16" x14ac:dyDescent="0.25">
      <c r="A3942" s="14"/>
      <c r="B3942"/>
      <c r="C3942" s="15"/>
      <c r="D3942"/>
      <c r="E3942"/>
      <c r="F3942" s="16"/>
      <c r="G3942"/>
      <c r="H3942"/>
      <c r="I3942" s="16"/>
      <c r="J3942"/>
      <c r="K3942"/>
      <c r="L3942"/>
      <c r="M3942" s="17"/>
      <c r="N3942"/>
      <c r="O3942"/>
      <c r="P3942" s="34"/>
    </row>
    <row r="3943" spans="1:16" x14ac:dyDescent="0.25">
      <c r="A3943" s="14"/>
      <c r="B3943"/>
      <c r="C3943" s="15"/>
      <c r="D3943"/>
      <c r="E3943"/>
      <c r="F3943" s="16"/>
      <c r="G3943"/>
      <c r="H3943"/>
      <c r="I3943" s="16"/>
      <c r="J3943"/>
      <c r="K3943"/>
      <c r="L3943"/>
      <c r="M3943" s="17"/>
      <c r="N3943"/>
      <c r="O3943"/>
      <c r="P3943" s="34"/>
    </row>
    <row r="3944" spans="1:16" x14ac:dyDescent="0.25">
      <c r="A3944" s="14"/>
      <c r="B3944"/>
      <c r="C3944" s="15"/>
      <c r="D3944"/>
      <c r="E3944"/>
      <c r="F3944" s="16"/>
      <c r="G3944"/>
      <c r="H3944"/>
      <c r="I3944" s="16"/>
      <c r="J3944"/>
      <c r="K3944"/>
      <c r="L3944"/>
      <c r="M3944" s="17"/>
      <c r="N3944"/>
      <c r="O3944"/>
      <c r="P3944" s="34"/>
    </row>
    <row r="3945" spans="1:16" x14ac:dyDescent="0.25">
      <c r="A3945" s="14"/>
      <c r="B3945"/>
      <c r="C3945" s="15"/>
      <c r="D3945"/>
      <c r="E3945"/>
      <c r="F3945" s="16"/>
      <c r="G3945"/>
      <c r="H3945"/>
      <c r="I3945" s="16"/>
      <c r="J3945"/>
      <c r="K3945"/>
      <c r="L3945"/>
      <c r="M3945" s="17"/>
      <c r="N3945"/>
      <c r="O3945"/>
      <c r="P3945" s="34"/>
    </row>
    <row r="3946" spans="1:16" x14ac:dyDescent="0.25">
      <c r="A3946" s="14"/>
      <c r="B3946"/>
      <c r="C3946" s="15"/>
      <c r="D3946"/>
      <c r="E3946"/>
      <c r="F3946" s="16"/>
      <c r="G3946"/>
      <c r="H3946"/>
      <c r="I3946" s="16"/>
      <c r="J3946"/>
      <c r="K3946"/>
      <c r="L3946"/>
      <c r="M3946" s="17"/>
      <c r="N3946"/>
      <c r="O3946"/>
      <c r="P3946" s="34"/>
    </row>
    <row r="3947" spans="1:16" x14ac:dyDescent="0.25">
      <c r="A3947" s="14"/>
      <c r="B3947"/>
      <c r="C3947" s="15"/>
      <c r="D3947"/>
      <c r="E3947"/>
      <c r="F3947" s="16"/>
      <c r="G3947"/>
      <c r="H3947"/>
      <c r="I3947" s="16"/>
      <c r="J3947"/>
      <c r="K3947"/>
      <c r="L3947"/>
      <c r="M3947" s="17"/>
      <c r="N3947"/>
      <c r="O3947"/>
      <c r="P3947" s="34"/>
    </row>
    <row r="3948" spans="1:16" x14ac:dyDescent="0.25">
      <c r="A3948" s="14"/>
      <c r="B3948"/>
      <c r="C3948" s="15"/>
      <c r="D3948"/>
      <c r="E3948"/>
      <c r="F3948" s="16"/>
      <c r="G3948"/>
      <c r="H3948"/>
      <c r="I3948" s="16"/>
      <c r="J3948"/>
      <c r="K3948"/>
      <c r="L3948"/>
      <c r="M3948" s="17"/>
      <c r="N3948"/>
      <c r="O3948"/>
      <c r="P3948" s="34"/>
    </row>
    <row r="3949" spans="1:16" x14ac:dyDescent="0.25">
      <c r="A3949" s="14"/>
      <c r="B3949"/>
      <c r="C3949" s="15"/>
      <c r="D3949"/>
      <c r="E3949"/>
      <c r="F3949" s="16"/>
      <c r="G3949"/>
      <c r="H3949"/>
      <c r="I3949" s="16"/>
      <c r="J3949"/>
      <c r="K3949"/>
      <c r="L3949"/>
      <c r="M3949" s="17"/>
      <c r="N3949"/>
      <c r="O3949"/>
      <c r="P3949" s="34"/>
    </row>
    <row r="3950" spans="1:16" x14ac:dyDescent="0.25">
      <c r="A3950" s="14"/>
      <c r="B3950"/>
      <c r="C3950" s="15"/>
      <c r="D3950"/>
      <c r="E3950"/>
      <c r="F3950" s="16"/>
      <c r="G3950"/>
      <c r="H3950"/>
      <c r="I3950" s="16"/>
      <c r="J3950"/>
      <c r="K3950"/>
      <c r="L3950"/>
      <c r="M3950" s="17"/>
      <c r="N3950"/>
      <c r="O3950"/>
      <c r="P3950" s="34"/>
    </row>
    <row r="3951" spans="1:16" x14ac:dyDescent="0.25">
      <c r="A3951" s="14"/>
      <c r="B3951"/>
      <c r="C3951" s="15"/>
      <c r="D3951"/>
      <c r="E3951"/>
      <c r="F3951" s="16"/>
      <c r="G3951"/>
      <c r="H3951"/>
      <c r="I3951" s="16"/>
      <c r="J3951"/>
      <c r="K3951"/>
      <c r="L3951"/>
      <c r="M3951" s="17"/>
      <c r="N3951"/>
      <c r="O3951"/>
      <c r="P3951" s="34"/>
    </row>
    <row r="3952" spans="1:16" x14ac:dyDescent="0.25">
      <c r="A3952" s="14"/>
      <c r="B3952"/>
      <c r="C3952" s="15"/>
      <c r="D3952"/>
      <c r="E3952"/>
      <c r="F3952" s="16"/>
      <c r="G3952"/>
      <c r="H3952"/>
      <c r="I3952" s="16"/>
      <c r="J3952"/>
      <c r="K3952"/>
      <c r="L3952"/>
      <c r="M3952" s="17"/>
      <c r="N3952"/>
      <c r="O3952"/>
      <c r="P3952" s="34"/>
    </row>
    <row r="3953" spans="1:16" x14ac:dyDescent="0.25">
      <c r="A3953" s="14"/>
      <c r="B3953"/>
      <c r="C3953" s="15"/>
      <c r="D3953"/>
      <c r="E3953"/>
      <c r="F3953" s="16"/>
      <c r="G3953"/>
      <c r="H3953"/>
      <c r="I3953" s="16"/>
      <c r="J3953"/>
      <c r="K3953"/>
      <c r="L3953"/>
      <c r="M3953" s="17"/>
      <c r="N3953"/>
      <c r="O3953"/>
      <c r="P3953" s="34"/>
    </row>
    <row r="3954" spans="1:16" x14ac:dyDescent="0.25">
      <c r="A3954" s="14"/>
      <c r="B3954"/>
      <c r="C3954" s="15"/>
      <c r="D3954"/>
      <c r="E3954"/>
      <c r="F3954" s="16"/>
      <c r="G3954"/>
      <c r="H3954"/>
      <c r="I3954" s="16"/>
      <c r="J3954"/>
      <c r="K3954"/>
      <c r="L3954"/>
      <c r="M3954" s="17"/>
      <c r="N3954"/>
      <c r="O3954"/>
      <c r="P3954" s="34"/>
    </row>
    <row r="3955" spans="1:16" x14ac:dyDescent="0.25">
      <c r="A3955" s="14"/>
      <c r="B3955"/>
      <c r="C3955" s="15"/>
      <c r="D3955"/>
      <c r="E3955"/>
      <c r="F3955" s="16"/>
      <c r="G3955"/>
      <c r="H3955"/>
      <c r="I3955" s="16"/>
      <c r="J3955"/>
      <c r="K3955"/>
      <c r="L3955"/>
      <c r="M3955" s="17"/>
      <c r="N3955"/>
      <c r="O3955"/>
      <c r="P3955" s="34"/>
    </row>
    <row r="3956" spans="1:16" x14ac:dyDescent="0.25">
      <c r="A3956" s="14"/>
      <c r="B3956"/>
      <c r="C3956" s="15"/>
      <c r="D3956"/>
      <c r="E3956"/>
      <c r="F3956" s="16"/>
      <c r="G3956"/>
      <c r="H3956"/>
      <c r="I3956" s="16"/>
      <c r="J3956"/>
      <c r="K3956"/>
      <c r="L3956"/>
      <c r="M3956" s="17"/>
      <c r="N3956"/>
      <c r="O3956"/>
      <c r="P3956" s="34"/>
    </row>
    <row r="3957" spans="1:16" x14ac:dyDescent="0.25">
      <c r="A3957" s="14"/>
      <c r="B3957"/>
      <c r="C3957" s="15"/>
      <c r="D3957"/>
      <c r="E3957"/>
      <c r="F3957" s="16"/>
      <c r="G3957"/>
      <c r="H3957"/>
      <c r="I3957" s="16"/>
      <c r="J3957"/>
      <c r="K3957"/>
      <c r="L3957"/>
      <c r="M3957" s="17"/>
      <c r="N3957"/>
      <c r="O3957"/>
      <c r="P3957" s="34"/>
    </row>
    <row r="3958" spans="1:16" x14ac:dyDescent="0.25">
      <c r="A3958" s="14"/>
      <c r="B3958"/>
      <c r="C3958" s="15"/>
      <c r="D3958"/>
      <c r="E3958"/>
      <c r="F3958" s="16"/>
      <c r="G3958"/>
      <c r="H3958"/>
      <c r="I3958" s="16"/>
      <c r="J3958"/>
      <c r="K3958"/>
      <c r="L3958"/>
      <c r="M3958" s="17"/>
      <c r="N3958"/>
      <c r="O3958"/>
      <c r="P3958" s="34"/>
    </row>
    <row r="3959" spans="1:16" x14ac:dyDescent="0.25">
      <c r="A3959" s="14"/>
      <c r="B3959"/>
      <c r="C3959" s="15"/>
      <c r="D3959"/>
      <c r="E3959"/>
      <c r="F3959" s="16"/>
      <c r="G3959"/>
      <c r="H3959"/>
      <c r="I3959" s="16"/>
      <c r="J3959"/>
      <c r="K3959"/>
      <c r="L3959"/>
      <c r="M3959" s="17"/>
      <c r="N3959"/>
      <c r="O3959"/>
      <c r="P3959" s="34"/>
    </row>
    <row r="3960" spans="1:16" x14ac:dyDescent="0.25">
      <c r="A3960" s="14"/>
      <c r="B3960"/>
      <c r="C3960" s="15"/>
      <c r="D3960"/>
      <c r="E3960"/>
      <c r="F3960" s="16"/>
      <c r="G3960"/>
      <c r="H3960"/>
      <c r="I3960" s="16"/>
      <c r="J3960"/>
      <c r="K3960"/>
      <c r="L3960"/>
      <c r="M3960" s="17"/>
      <c r="N3960"/>
      <c r="O3960"/>
      <c r="P3960" s="34"/>
    </row>
    <row r="3961" spans="1:16" x14ac:dyDescent="0.25">
      <c r="A3961" s="14"/>
      <c r="B3961"/>
      <c r="C3961" s="15"/>
      <c r="D3961"/>
      <c r="E3961"/>
      <c r="F3961" s="16"/>
      <c r="G3961"/>
      <c r="H3961"/>
      <c r="I3961" s="16"/>
      <c r="J3961"/>
      <c r="K3961"/>
      <c r="L3961"/>
      <c r="M3961" s="17"/>
      <c r="N3961"/>
      <c r="O3961"/>
      <c r="P3961" s="34"/>
    </row>
    <row r="3962" spans="1:16" x14ac:dyDescent="0.25">
      <c r="A3962" s="14"/>
      <c r="B3962"/>
      <c r="C3962" s="15"/>
      <c r="D3962"/>
      <c r="E3962"/>
      <c r="F3962" s="16"/>
      <c r="G3962"/>
      <c r="H3962"/>
      <c r="I3962" s="16"/>
      <c r="J3962"/>
      <c r="K3962"/>
      <c r="L3962"/>
      <c r="M3962" s="17"/>
      <c r="N3962"/>
      <c r="O3962"/>
      <c r="P3962" s="34"/>
    </row>
    <row r="3963" spans="1:16" x14ac:dyDescent="0.25">
      <c r="A3963" s="14"/>
      <c r="B3963"/>
      <c r="C3963" s="15"/>
      <c r="D3963"/>
      <c r="E3963"/>
      <c r="F3963" s="16"/>
      <c r="G3963"/>
      <c r="H3963"/>
      <c r="I3963" s="16"/>
      <c r="J3963"/>
      <c r="K3963"/>
      <c r="L3963"/>
      <c r="M3963" s="17"/>
      <c r="N3963"/>
      <c r="O3963"/>
      <c r="P3963" s="34"/>
    </row>
    <row r="3964" spans="1:16" x14ac:dyDescent="0.25">
      <c r="A3964" s="14"/>
      <c r="B3964"/>
      <c r="C3964" s="15"/>
      <c r="D3964"/>
      <c r="E3964"/>
      <c r="F3964" s="16"/>
      <c r="G3964"/>
      <c r="H3964"/>
      <c r="I3964" s="16"/>
      <c r="J3964"/>
      <c r="K3964"/>
      <c r="L3964"/>
      <c r="M3964" s="17"/>
      <c r="N3964"/>
      <c r="O3964"/>
      <c r="P3964" s="34"/>
    </row>
    <row r="3965" spans="1:16" x14ac:dyDescent="0.25">
      <c r="A3965" s="14"/>
      <c r="B3965"/>
      <c r="C3965" s="15"/>
      <c r="D3965"/>
      <c r="E3965"/>
      <c r="F3965" s="16"/>
      <c r="G3965"/>
      <c r="H3965"/>
      <c r="I3965" s="16"/>
      <c r="J3965"/>
      <c r="K3965"/>
      <c r="L3965"/>
      <c r="M3965" s="17"/>
      <c r="N3965"/>
      <c r="O3965"/>
      <c r="P3965" s="34"/>
    </row>
    <row r="3966" spans="1:16" x14ac:dyDescent="0.25">
      <c r="A3966" s="14"/>
      <c r="B3966"/>
      <c r="C3966" s="15"/>
      <c r="D3966"/>
      <c r="E3966"/>
      <c r="F3966" s="16"/>
      <c r="G3966"/>
      <c r="H3966"/>
      <c r="I3966" s="16"/>
      <c r="J3966"/>
      <c r="K3966"/>
      <c r="L3966"/>
      <c r="M3966" s="17"/>
      <c r="N3966"/>
      <c r="O3966"/>
      <c r="P3966" s="34"/>
    </row>
    <row r="3967" spans="1:16" x14ac:dyDescent="0.25">
      <c r="A3967" s="14"/>
      <c r="B3967"/>
      <c r="C3967" s="15"/>
      <c r="D3967"/>
      <c r="E3967"/>
      <c r="F3967" s="16"/>
      <c r="G3967"/>
      <c r="H3967"/>
      <c r="I3967" s="16"/>
      <c r="J3967"/>
      <c r="K3967"/>
      <c r="L3967"/>
      <c r="M3967" s="17"/>
      <c r="N3967"/>
      <c r="O3967"/>
      <c r="P3967" s="34"/>
    </row>
    <row r="3968" spans="1:16" x14ac:dyDescent="0.25">
      <c r="A3968" s="14"/>
      <c r="B3968"/>
      <c r="C3968" s="15"/>
      <c r="D3968"/>
      <c r="E3968"/>
      <c r="F3968" s="16"/>
      <c r="G3968"/>
      <c r="H3968"/>
      <c r="I3968" s="16"/>
      <c r="J3968"/>
      <c r="K3968"/>
      <c r="L3968"/>
      <c r="M3968" s="17"/>
      <c r="N3968"/>
      <c r="O3968"/>
      <c r="P3968" s="34"/>
    </row>
    <row r="3969" spans="1:16" x14ac:dyDescent="0.25">
      <c r="A3969" s="14"/>
      <c r="B3969"/>
      <c r="C3969" s="15"/>
      <c r="D3969"/>
      <c r="E3969"/>
      <c r="F3969" s="16"/>
      <c r="G3969"/>
      <c r="H3969"/>
      <c r="I3969" s="16"/>
      <c r="J3969"/>
      <c r="K3969"/>
      <c r="L3969"/>
      <c r="M3969" s="17"/>
      <c r="N3969"/>
      <c r="O3969"/>
      <c r="P3969" s="34"/>
    </row>
    <row r="3970" spans="1:16" x14ac:dyDescent="0.25">
      <c r="A3970" s="14"/>
      <c r="B3970"/>
      <c r="C3970" s="15"/>
      <c r="D3970"/>
      <c r="E3970"/>
      <c r="F3970" s="16"/>
      <c r="G3970"/>
      <c r="H3970"/>
      <c r="I3970" s="16"/>
      <c r="J3970"/>
      <c r="K3970"/>
      <c r="L3970"/>
      <c r="M3970" s="17"/>
      <c r="N3970"/>
      <c r="O3970"/>
      <c r="P3970" s="34"/>
    </row>
    <row r="3971" spans="1:16" x14ac:dyDescent="0.25">
      <c r="A3971" s="14"/>
      <c r="B3971"/>
      <c r="C3971" s="15"/>
      <c r="D3971"/>
      <c r="E3971"/>
      <c r="F3971" s="16"/>
      <c r="G3971"/>
      <c r="H3971"/>
      <c r="I3971" s="16"/>
      <c r="J3971"/>
      <c r="K3971"/>
      <c r="L3971"/>
      <c r="M3971" s="17"/>
      <c r="N3971"/>
      <c r="O3971"/>
      <c r="P3971" s="34"/>
    </row>
    <row r="3972" spans="1:16" x14ac:dyDescent="0.25">
      <c r="A3972" s="14"/>
      <c r="B3972"/>
      <c r="C3972" s="15"/>
      <c r="D3972"/>
      <c r="E3972"/>
      <c r="F3972" s="16"/>
      <c r="G3972"/>
      <c r="H3972"/>
      <c r="I3972" s="16"/>
      <c r="J3972"/>
      <c r="K3972"/>
      <c r="L3972"/>
      <c r="M3972" s="17"/>
      <c r="N3972"/>
      <c r="O3972"/>
      <c r="P3972" s="34"/>
    </row>
    <row r="3973" spans="1:16" x14ac:dyDescent="0.25">
      <c r="A3973" s="14"/>
      <c r="B3973"/>
      <c r="C3973" s="15"/>
      <c r="D3973"/>
      <c r="E3973"/>
      <c r="F3973" s="16"/>
      <c r="G3973"/>
      <c r="H3973"/>
      <c r="I3973" s="16"/>
      <c r="J3973"/>
      <c r="K3973"/>
      <c r="L3973"/>
      <c r="M3973" s="17"/>
      <c r="N3973"/>
      <c r="O3973"/>
      <c r="P3973" s="34"/>
    </row>
    <row r="3974" spans="1:16" x14ac:dyDescent="0.25">
      <c r="A3974" s="14"/>
      <c r="B3974"/>
      <c r="C3974" s="15"/>
      <c r="D3974"/>
      <c r="E3974"/>
      <c r="F3974" s="16"/>
      <c r="G3974"/>
      <c r="H3974"/>
      <c r="I3974" s="16"/>
      <c r="J3974"/>
      <c r="K3974"/>
      <c r="L3974"/>
      <c r="M3974" s="17"/>
      <c r="N3974"/>
      <c r="O3974"/>
      <c r="P3974" s="34"/>
    </row>
    <row r="3975" spans="1:16" x14ac:dyDescent="0.25">
      <c r="A3975" s="14"/>
      <c r="B3975"/>
      <c r="C3975" s="15"/>
      <c r="D3975"/>
      <c r="E3975"/>
      <c r="F3975" s="16"/>
      <c r="G3975"/>
      <c r="H3975"/>
      <c r="I3975" s="16"/>
      <c r="J3975"/>
      <c r="K3975"/>
      <c r="L3975"/>
      <c r="M3975" s="17"/>
      <c r="N3975"/>
      <c r="O3975"/>
      <c r="P3975" s="34"/>
    </row>
    <row r="3976" spans="1:16" x14ac:dyDescent="0.25">
      <c r="A3976" s="14"/>
      <c r="B3976"/>
      <c r="C3976" s="15"/>
      <c r="D3976"/>
      <c r="E3976"/>
      <c r="F3976" s="16"/>
      <c r="G3976"/>
      <c r="H3976"/>
      <c r="I3976" s="16"/>
      <c r="J3976"/>
      <c r="K3976"/>
      <c r="L3976"/>
      <c r="M3976" s="17"/>
      <c r="N3976"/>
      <c r="O3976"/>
      <c r="P3976" s="34"/>
    </row>
    <row r="3977" spans="1:16" x14ac:dyDescent="0.25">
      <c r="A3977" s="14"/>
      <c r="B3977"/>
      <c r="C3977" s="15"/>
      <c r="D3977"/>
      <c r="E3977"/>
      <c r="F3977" s="16"/>
      <c r="G3977"/>
      <c r="H3977"/>
      <c r="I3977" s="16"/>
      <c r="J3977"/>
      <c r="K3977"/>
      <c r="L3977"/>
      <c r="M3977" s="17"/>
      <c r="N3977"/>
      <c r="O3977"/>
      <c r="P3977" s="34"/>
    </row>
    <row r="3978" spans="1:16" x14ac:dyDescent="0.25">
      <c r="A3978" s="14"/>
      <c r="B3978"/>
      <c r="C3978" s="15"/>
      <c r="D3978"/>
      <c r="E3978"/>
      <c r="F3978" s="16"/>
      <c r="G3978"/>
      <c r="H3978"/>
      <c r="I3978" s="16"/>
      <c r="J3978"/>
      <c r="K3978"/>
      <c r="L3978"/>
      <c r="M3978" s="17"/>
      <c r="N3978"/>
      <c r="O3978"/>
      <c r="P3978" s="34"/>
    </row>
    <row r="3979" spans="1:16" x14ac:dyDescent="0.25">
      <c r="A3979" s="14"/>
      <c r="B3979"/>
      <c r="C3979" s="15"/>
      <c r="D3979"/>
      <c r="E3979"/>
      <c r="F3979" s="16"/>
      <c r="G3979"/>
      <c r="H3979"/>
      <c r="I3979" s="16"/>
      <c r="J3979"/>
      <c r="K3979"/>
      <c r="L3979"/>
      <c r="M3979" s="17"/>
      <c r="N3979"/>
      <c r="O3979"/>
      <c r="P3979" s="34"/>
    </row>
    <row r="3980" spans="1:16" x14ac:dyDescent="0.25">
      <c r="A3980" s="14"/>
      <c r="B3980"/>
      <c r="C3980" s="15"/>
      <c r="D3980"/>
      <c r="E3980"/>
      <c r="F3980" s="16"/>
      <c r="G3980"/>
      <c r="H3980"/>
      <c r="I3980" s="16"/>
      <c r="J3980"/>
      <c r="K3980"/>
      <c r="L3980"/>
      <c r="M3980" s="17"/>
      <c r="N3980"/>
      <c r="O3980"/>
      <c r="P3980" s="34"/>
    </row>
    <row r="3981" spans="1:16" x14ac:dyDescent="0.25">
      <c r="A3981" s="14"/>
      <c r="B3981"/>
      <c r="C3981" s="15"/>
      <c r="D3981"/>
      <c r="E3981"/>
      <c r="F3981" s="16"/>
      <c r="G3981"/>
      <c r="H3981"/>
      <c r="I3981" s="16"/>
      <c r="J3981"/>
      <c r="K3981"/>
      <c r="L3981"/>
      <c r="M3981" s="17"/>
      <c r="N3981"/>
      <c r="O3981"/>
      <c r="P3981" s="34"/>
    </row>
    <row r="3982" spans="1:16" x14ac:dyDescent="0.25">
      <c r="A3982" s="14"/>
      <c r="B3982"/>
      <c r="C3982" s="15"/>
      <c r="D3982"/>
      <c r="E3982"/>
      <c r="F3982" s="16"/>
      <c r="G3982"/>
      <c r="H3982"/>
      <c r="I3982" s="16"/>
      <c r="J3982"/>
      <c r="K3982"/>
      <c r="L3982"/>
      <c r="M3982" s="17"/>
      <c r="N3982"/>
      <c r="O3982"/>
      <c r="P3982" s="34"/>
    </row>
    <row r="3983" spans="1:16" x14ac:dyDescent="0.25">
      <c r="A3983" s="14"/>
      <c r="B3983"/>
      <c r="C3983" s="15"/>
      <c r="D3983"/>
      <c r="E3983"/>
      <c r="F3983" s="16"/>
      <c r="G3983"/>
      <c r="H3983"/>
      <c r="I3983" s="16"/>
      <c r="J3983"/>
      <c r="K3983"/>
      <c r="L3983"/>
      <c r="M3983" s="17"/>
      <c r="N3983"/>
      <c r="O3983"/>
      <c r="P3983" s="34"/>
    </row>
    <row r="3984" spans="1:16" x14ac:dyDescent="0.25">
      <c r="A3984" s="14"/>
      <c r="B3984"/>
      <c r="C3984" s="15"/>
      <c r="D3984"/>
      <c r="E3984"/>
      <c r="F3984" s="16"/>
      <c r="G3984"/>
      <c r="H3984"/>
      <c r="I3984" s="16"/>
      <c r="J3984"/>
      <c r="K3984"/>
      <c r="L3984"/>
      <c r="M3984" s="17"/>
      <c r="N3984"/>
      <c r="O3984"/>
      <c r="P3984" s="34"/>
    </row>
    <row r="3985" spans="1:16" x14ac:dyDescent="0.25">
      <c r="A3985" s="14"/>
      <c r="B3985"/>
      <c r="C3985" s="15"/>
      <c r="D3985"/>
      <c r="E3985"/>
      <c r="F3985" s="16"/>
      <c r="G3985"/>
      <c r="H3985"/>
      <c r="I3985" s="16"/>
      <c r="J3985"/>
      <c r="K3985"/>
      <c r="L3985"/>
      <c r="M3985" s="17"/>
      <c r="N3985"/>
      <c r="O3985"/>
      <c r="P3985" s="34"/>
    </row>
    <row r="3986" spans="1:16" x14ac:dyDescent="0.25">
      <c r="A3986" s="14"/>
      <c r="B3986"/>
      <c r="C3986" s="15"/>
      <c r="D3986"/>
      <c r="E3986"/>
      <c r="F3986" s="16"/>
      <c r="G3986"/>
      <c r="H3986"/>
      <c r="I3986" s="16"/>
      <c r="J3986"/>
      <c r="K3986"/>
      <c r="L3986"/>
      <c r="M3986" s="17"/>
      <c r="N3986"/>
      <c r="O3986"/>
      <c r="P3986" s="34"/>
    </row>
    <row r="3987" spans="1:16" x14ac:dyDescent="0.25">
      <c r="A3987" s="14"/>
      <c r="B3987"/>
      <c r="C3987" s="15"/>
      <c r="D3987"/>
      <c r="E3987"/>
      <c r="F3987" s="16"/>
      <c r="G3987"/>
      <c r="H3987"/>
      <c r="I3987" s="16"/>
      <c r="J3987"/>
      <c r="K3987"/>
      <c r="L3987"/>
      <c r="M3987" s="17"/>
      <c r="N3987"/>
      <c r="O3987"/>
      <c r="P3987" s="34"/>
    </row>
    <row r="3988" spans="1:16" x14ac:dyDescent="0.25">
      <c r="A3988" s="14"/>
      <c r="B3988"/>
      <c r="C3988" s="15"/>
      <c r="D3988"/>
      <c r="E3988"/>
      <c r="F3988" s="16"/>
      <c r="G3988"/>
      <c r="H3988"/>
      <c r="I3988" s="16"/>
      <c r="J3988"/>
      <c r="K3988"/>
      <c r="L3988"/>
      <c r="M3988" s="17"/>
      <c r="N3988"/>
      <c r="O3988"/>
      <c r="P3988" s="34"/>
    </row>
    <row r="3989" spans="1:16" x14ac:dyDescent="0.25">
      <c r="A3989" s="14"/>
      <c r="B3989"/>
      <c r="C3989" s="15"/>
      <c r="D3989"/>
      <c r="E3989"/>
      <c r="F3989" s="16"/>
      <c r="G3989"/>
      <c r="H3989"/>
      <c r="I3989" s="16"/>
      <c r="J3989"/>
      <c r="K3989"/>
      <c r="L3989"/>
      <c r="M3989" s="17"/>
      <c r="N3989"/>
      <c r="O3989"/>
      <c r="P3989" s="34"/>
    </row>
    <row r="3990" spans="1:16" x14ac:dyDescent="0.25">
      <c r="A3990" s="14"/>
      <c r="B3990"/>
      <c r="C3990" s="15"/>
      <c r="D3990"/>
      <c r="E3990"/>
      <c r="F3990" s="16"/>
      <c r="G3990"/>
      <c r="H3990"/>
      <c r="I3990" s="16"/>
      <c r="J3990"/>
      <c r="K3990"/>
      <c r="L3990"/>
      <c r="M3990" s="17"/>
      <c r="N3990"/>
      <c r="O3990"/>
      <c r="P3990" s="34"/>
    </row>
    <row r="3991" spans="1:16" x14ac:dyDescent="0.25">
      <c r="A3991" s="14"/>
      <c r="B3991"/>
      <c r="C3991" s="15"/>
      <c r="D3991"/>
      <c r="E3991"/>
      <c r="F3991" s="16"/>
      <c r="G3991"/>
      <c r="H3991"/>
      <c r="I3991" s="16"/>
      <c r="J3991"/>
      <c r="K3991"/>
      <c r="L3991"/>
      <c r="M3991" s="17"/>
      <c r="N3991"/>
      <c r="O3991"/>
      <c r="P3991" s="34"/>
    </row>
    <row r="3992" spans="1:16" x14ac:dyDescent="0.25">
      <c r="A3992" s="14"/>
      <c r="B3992"/>
      <c r="C3992" s="15"/>
      <c r="D3992"/>
      <c r="E3992"/>
      <c r="F3992" s="16"/>
      <c r="G3992"/>
      <c r="H3992"/>
      <c r="I3992" s="16"/>
      <c r="J3992"/>
      <c r="K3992"/>
      <c r="L3992"/>
      <c r="M3992" s="17"/>
      <c r="N3992"/>
      <c r="O3992"/>
      <c r="P3992" s="34"/>
    </row>
    <row r="3993" spans="1:16" x14ac:dyDescent="0.25">
      <c r="A3993" s="14"/>
      <c r="B3993"/>
      <c r="C3993" s="15"/>
      <c r="D3993"/>
      <c r="E3993"/>
      <c r="F3993" s="16"/>
      <c r="G3993"/>
      <c r="H3993"/>
      <c r="I3993" s="16"/>
      <c r="J3993"/>
      <c r="K3993"/>
      <c r="L3993"/>
      <c r="M3993" s="17"/>
      <c r="N3993"/>
      <c r="O3993"/>
      <c r="P3993" s="34"/>
    </row>
    <row r="3994" spans="1:16" x14ac:dyDescent="0.25">
      <c r="A3994" s="14"/>
      <c r="B3994"/>
      <c r="C3994" s="15"/>
      <c r="D3994"/>
      <c r="E3994"/>
      <c r="F3994" s="16"/>
      <c r="G3994"/>
      <c r="H3994"/>
      <c r="I3994" s="16"/>
      <c r="J3994"/>
      <c r="K3994"/>
      <c r="L3994"/>
      <c r="M3994" s="17"/>
      <c r="N3994"/>
      <c r="O3994"/>
      <c r="P3994" s="34"/>
    </row>
    <row r="3995" spans="1:16" x14ac:dyDescent="0.25">
      <c r="A3995" s="14"/>
      <c r="B3995"/>
      <c r="C3995" s="15"/>
      <c r="D3995"/>
      <c r="E3995"/>
      <c r="F3995" s="16"/>
      <c r="G3995"/>
      <c r="H3995"/>
      <c r="I3995" s="16"/>
      <c r="J3995"/>
      <c r="K3995"/>
      <c r="L3995"/>
      <c r="M3995" s="17"/>
      <c r="N3995"/>
      <c r="O3995"/>
      <c r="P3995" s="34"/>
    </row>
    <row r="3996" spans="1:16" x14ac:dyDescent="0.25">
      <c r="A3996" s="14"/>
      <c r="B3996"/>
      <c r="C3996" s="15"/>
      <c r="D3996"/>
      <c r="E3996"/>
      <c r="F3996" s="16"/>
      <c r="G3996"/>
      <c r="H3996"/>
      <c r="I3996" s="16"/>
      <c r="J3996"/>
      <c r="K3996"/>
      <c r="L3996"/>
      <c r="M3996" s="17"/>
      <c r="N3996"/>
      <c r="O3996"/>
      <c r="P3996" s="34"/>
    </row>
    <row r="3997" spans="1:16" x14ac:dyDescent="0.25">
      <c r="A3997" s="14"/>
      <c r="B3997"/>
      <c r="C3997" s="15"/>
      <c r="D3997"/>
      <c r="E3997"/>
      <c r="F3997" s="16"/>
      <c r="G3997"/>
      <c r="H3997"/>
      <c r="I3997" s="16"/>
      <c r="J3997"/>
      <c r="K3997"/>
      <c r="L3997"/>
      <c r="M3997" s="17"/>
      <c r="N3997"/>
      <c r="O3997"/>
      <c r="P3997" s="34"/>
    </row>
    <row r="3998" spans="1:16" x14ac:dyDescent="0.25">
      <c r="A3998" s="14"/>
      <c r="B3998"/>
      <c r="C3998" s="15"/>
      <c r="D3998"/>
      <c r="E3998"/>
      <c r="F3998" s="16"/>
      <c r="G3998"/>
      <c r="H3998"/>
      <c r="I3998" s="16"/>
      <c r="J3998"/>
      <c r="K3998"/>
      <c r="L3998"/>
      <c r="M3998" s="17"/>
      <c r="N3998"/>
      <c r="O3998"/>
      <c r="P3998" s="34"/>
    </row>
    <row r="3999" spans="1:16" x14ac:dyDescent="0.25">
      <c r="A3999" s="14"/>
      <c r="B3999"/>
      <c r="C3999" s="15"/>
      <c r="D3999"/>
      <c r="E3999"/>
      <c r="F3999" s="16"/>
      <c r="G3999"/>
      <c r="H3999"/>
      <c r="I3999" s="16"/>
      <c r="J3999"/>
      <c r="K3999"/>
      <c r="L3999"/>
      <c r="M3999" s="17"/>
      <c r="N3999"/>
      <c r="O3999"/>
      <c r="P3999" s="34"/>
    </row>
    <row r="4000" spans="1:16" x14ac:dyDescent="0.25">
      <c r="A4000" s="14"/>
      <c r="B4000"/>
      <c r="C4000" s="15"/>
      <c r="D4000"/>
      <c r="E4000"/>
      <c r="F4000" s="16"/>
      <c r="G4000"/>
      <c r="H4000"/>
      <c r="I4000" s="16"/>
      <c r="J4000"/>
      <c r="K4000"/>
      <c r="L4000"/>
      <c r="M4000" s="17"/>
      <c r="N4000"/>
      <c r="O4000"/>
      <c r="P4000" s="34"/>
    </row>
    <row r="4001" spans="1:16" x14ac:dyDescent="0.25">
      <c r="A4001" s="14"/>
      <c r="B4001"/>
      <c r="C4001" s="15"/>
      <c r="D4001"/>
      <c r="E4001"/>
      <c r="F4001" s="16"/>
      <c r="G4001"/>
      <c r="H4001"/>
      <c r="I4001" s="16"/>
      <c r="J4001"/>
      <c r="K4001"/>
      <c r="L4001"/>
      <c r="M4001" s="17"/>
      <c r="N4001"/>
      <c r="O4001"/>
      <c r="P4001" s="34"/>
    </row>
    <row r="4002" spans="1:16" x14ac:dyDescent="0.25">
      <c r="A4002" s="14"/>
      <c r="B4002"/>
      <c r="C4002" s="15"/>
      <c r="D4002"/>
      <c r="E4002"/>
      <c r="F4002" s="16"/>
      <c r="G4002"/>
      <c r="H4002"/>
      <c r="I4002" s="16"/>
      <c r="J4002"/>
      <c r="K4002"/>
      <c r="L4002"/>
      <c r="M4002" s="17"/>
      <c r="N4002"/>
      <c r="O4002"/>
      <c r="P4002" s="34"/>
    </row>
    <row r="4003" spans="1:16" x14ac:dyDescent="0.25">
      <c r="A4003" s="14"/>
      <c r="B4003"/>
      <c r="C4003" s="15"/>
      <c r="D4003"/>
      <c r="E4003"/>
      <c r="F4003" s="16"/>
      <c r="G4003"/>
      <c r="H4003"/>
      <c r="I4003" s="16"/>
      <c r="J4003"/>
      <c r="K4003"/>
      <c r="L4003"/>
      <c r="M4003" s="17"/>
      <c r="N4003"/>
      <c r="O4003"/>
      <c r="P4003" s="34"/>
    </row>
    <row r="4004" spans="1:16" x14ac:dyDescent="0.25">
      <c r="A4004" s="14"/>
      <c r="B4004"/>
      <c r="C4004" s="15"/>
      <c r="D4004"/>
      <c r="E4004"/>
      <c r="F4004" s="16"/>
      <c r="G4004"/>
      <c r="H4004"/>
      <c r="I4004" s="16"/>
      <c r="J4004"/>
      <c r="K4004"/>
      <c r="L4004"/>
      <c r="M4004" s="17"/>
      <c r="N4004"/>
      <c r="O4004"/>
      <c r="P4004" s="34"/>
    </row>
    <row r="4005" spans="1:16" x14ac:dyDescent="0.25">
      <c r="A4005" s="14"/>
      <c r="B4005"/>
      <c r="C4005" s="15"/>
      <c r="D4005"/>
      <c r="E4005"/>
      <c r="F4005" s="16"/>
      <c r="G4005"/>
      <c r="H4005"/>
      <c r="I4005" s="16"/>
      <c r="J4005"/>
      <c r="K4005"/>
      <c r="L4005"/>
      <c r="M4005" s="17"/>
      <c r="N4005"/>
      <c r="O4005"/>
      <c r="P4005" s="34"/>
    </row>
    <row r="4006" spans="1:16" x14ac:dyDescent="0.25">
      <c r="A4006" s="14"/>
      <c r="B4006"/>
      <c r="C4006" s="15"/>
      <c r="D4006"/>
      <c r="E4006"/>
      <c r="F4006" s="16"/>
      <c r="G4006"/>
      <c r="H4006"/>
      <c r="I4006" s="16"/>
      <c r="J4006"/>
      <c r="K4006"/>
      <c r="L4006"/>
      <c r="M4006" s="17"/>
      <c r="N4006"/>
      <c r="O4006"/>
      <c r="P4006" s="34"/>
    </row>
    <row r="4007" spans="1:16" x14ac:dyDescent="0.25">
      <c r="A4007" s="14"/>
      <c r="B4007"/>
      <c r="C4007" s="15"/>
      <c r="D4007"/>
      <c r="E4007"/>
      <c r="F4007" s="16"/>
      <c r="G4007"/>
      <c r="H4007"/>
      <c r="I4007" s="16"/>
      <c r="J4007"/>
      <c r="K4007"/>
      <c r="L4007"/>
      <c r="M4007" s="17"/>
      <c r="N4007"/>
      <c r="O4007"/>
      <c r="P4007" s="34"/>
    </row>
    <row r="4008" spans="1:16" x14ac:dyDescent="0.25">
      <c r="A4008" s="14"/>
      <c r="B4008"/>
      <c r="C4008" s="15"/>
      <c r="D4008"/>
      <c r="E4008"/>
      <c r="F4008" s="16"/>
      <c r="G4008"/>
      <c r="H4008"/>
      <c r="I4008" s="16"/>
      <c r="J4008"/>
      <c r="K4008"/>
      <c r="L4008"/>
      <c r="M4008" s="17"/>
      <c r="N4008"/>
      <c r="O4008"/>
      <c r="P4008" s="34"/>
    </row>
    <row r="4009" spans="1:16" x14ac:dyDescent="0.25">
      <c r="A4009" s="14"/>
      <c r="B4009"/>
      <c r="C4009" s="15"/>
      <c r="D4009"/>
      <c r="E4009"/>
      <c r="F4009" s="16"/>
      <c r="G4009"/>
      <c r="H4009"/>
      <c r="I4009" s="16"/>
      <c r="J4009"/>
      <c r="K4009"/>
      <c r="L4009"/>
      <c r="M4009" s="17"/>
      <c r="N4009"/>
      <c r="O4009"/>
      <c r="P4009" s="34"/>
    </row>
    <row r="4010" spans="1:16" x14ac:dyDescent="0.25">
      <c r="A4010" s="14"/>
      <c r="B4010"/>
      <c r="C4010" s="15"/>
      <c r="D4010"/>
      <c r="E4010"/>
      <c r="F4010" s="16"/>
      <c r="G4010"/>
      <c r="H4010"/>
      <c r="I4010" s="16"/>
      <c r="J4010"/>
      <c r="K4010"/>
      <c r="L4010"/>
      <c r="M4010" s="17"/>
      <c r="N4010"/>
      <c r="O4010"/>
      <c r="P4010" s="34"/>
    </row>
    <row r="4011" spans="1:16" x14ac:dyDescent="0.25">
      <c r="A4011" s="14"/>
      <c r="B4011"/>
      <c r="C4011" s="15"/>
      <c r="D4011"/>
      <c r="E4011"/>
      <c r="F4011" s="16"/>
      <c r="G4011"/>
      <c r="H4011"/>
      <c r="I4011" s="16"/>
      <c r="J4011"/>
      <c r="K4011"/>
      <c r="L4011"/>
      <c r="M4011" s="17"/>
      <c r="N4011"/>
      <c r="O4011"/>
      <c r="P4011" s="34"/>
    </row>
    <row r="4012" spans="1:16" x14ac:dyDescent="0.25">
      <c r="A4012" s="14"/>
      <c r="B4012"/>
      <c r="C4012" s="15"/>
      <c r="D4012"/>
      <c r="E4012"/>
      <c r="F4012" s="16"/>
      <c r="G4012"/>
      <c r="H4012"/>
      <c r="I4012" s="16"/>
      <c r="J4012"/>
      <c r="K4012"/>
      <c r="L4012"/>
      <c r="M4012" s="17"/>
      <c r="N4012"/>
      <c r="O4012"/>
      <c r="P4012" s="34"/>
    </row>
    <row r="4013" spans="1:16" x14ac:dyDescent="0.25">
      <c r="A4013" s="14"/>
      <c r="B4013"/>
      <c r="C4013" s="15"/>
      <c r="D4013"/>
      <c r="E4013"/>
      <c r="F4013" s="16"/>
      <c r="G4013"/>
      <c r="H4013"/>
      <c r="I4013" s="16"/>
      <c r="J4013"/>
      <c r="K4013"/>
      <c r="L4013"/>
      <c r="M4013" s="17"/>
      <c r="N4013"/>
      <c r="O4013"/>
      <c r="P4013" s="34"/>
    </row>
    <row r="4014" spans="1:16" x14ac:dyDescent="0.25">
      <c r="A4014" s="14"/>
      <c r="B4014"/>
      <c r="C4014" s="15"/>
      <c r="D4014"/>
      <c r="E4014"/>
      <c r="F4014" s="16"/>
      <c r="G4014"/>
      <c r="H4014"/>
      <c r="I4014" s="16"/>
      <c r="J4014"/>
      <c r="K4014"/>
      <c r="L4014"/>
      <c r="M4014" s="17"/>
      <c r="N4014"/>
      <c r="O4014"/>
      <c r="P4014" s="34"/>
    </row>
    <row r="4015" spans="1:16" x14ac:dyDescent="0.25">
      <c r="A4015" s="14"/>
      <c r="B4015"/>
      <c r="C4015" s="15"/>
      <c r="D4015"/>
      <c r="E4015"/>
      <c r="F4015" s="16"/>
      <c r="G4015"/>
      <c r="H4015"/>
      <c r="I4015" s="16"/>
      <c r="J4015"/>
      <c r="K4015"/>
      <c r="L4015"/>
      <c r="M4015" s="17"/>
      <c r="N4015"/>
      <c r="O4015"/>
      <c r="P4015" s="34"/>
    </row>
    <row r="4016" spans="1:16" x14ac:dyDescent="0.25">
      <c r="A4016" s="14"/>
      <c r="B4016"/>
      <c r="C4016" s="15"/>
      <c r="D4016"/>
      <c r="E4016"/>
      <c r="F4016" s="16"/>
      <c r="G4016"/>
      <c r="H4016"/>
      <c r="I4016" s="16"/>
      <c r="J4016"/>
      <c r="K4016"/>
      <c r="L4016"/>
      <c r="M4016" s="17"/>
      <c r="N4016"/>
      <c r="O4016"/>
      <c r="P4016" s="34"/>
    </row>
    <row r="4017" spans="1:16" x14ac:dyDescent="0.25">
      <c r="A4017" s="14"/>
      <c r="B4017"/>
      <c r="C4017" s="15"/>
      <c r="D4017"/>
      <c r="E4017"/>
      <c r="F4017" s="16"/>
      <c r="G4017"/>
      <c r="H4017"/>
      <c r="I4017" s="16"/>
      <c r="J4017"/>
      <c r="K4017"/>
      <c r="L4017"/>
      <c r="M4017" s="17"/>
      <c r="N4017"/>
      <c r="O4017"/>
      <c r="P4017" s="34"/>
    </row>
    <row r="4018" spans="1:16" x14ac:dyDescent="0.25">
      <c r="A4018" s="14"/>
      <c r="B4018"/>
      <c r="C4018" s="15"/>
      <c r="D4018"/>
      <c r="E4018"/>
      <c r="F4018" s="16"/>
      <c r="G4018"/>
      <c r="H4018"/>
      <c r="I4018" s="16"/>
      <c r="J4018"/>
      <c r="K4018"/>
      <c r="L4018"/>
      <c r="M4018" s="17"/>
      <c r="N4018"/>
      <c r="O4018"/>
      <c r="P4018" s="34"/>
    </row>
    <row r="4019" spans="1:16" x14ac:dyDescent="0.25">
      <c r="A4019" s="14"/>
      <c r="B4019"/>
      <c r="C4019" s="15"/>
      <c r="D4019"/>
      <c r="E4019"/>
      <c r="F4019" s="16"/>
      <c r="G4019"/>
      <c r="H4019"/>
      <c r="I4019" s="16"/>
      <c r="J4019"/>
      <c r="K4019"/>
      <c r="L4019"/>
      <c r="M4019" s="17"/>
      <c r="N4019"/>
      <c r="O4019"/>
      <c r="P4019" s="34"/>
    </row>
    <row r="4020" spans="1:16" x14ac:dyDescent="0.25">
      <c r="A4020" s="14"/>
      <c r="B4020"/>
      <c r="C4020" s="15"/>
      <c r="D4020"/>
      <c r="E4020"/>
      <c r="F4020" s="16"/>
      <c r="G4020"/>
      <c r="H4020"/>
      <c r="I4020" s="16"/>
      <c r="J4020"/>
      <c r="K4020"/>
      <c r="L4020"/>
      <c r="M4020" s="17"/>
      <c r="N4020"/>
      <c r="O4020"/>
      <c r="P4020" s="34"/>
    </row>
    <row r="4021" spans="1:16" x14ac:dyDescent="0.25">
      <c r="A4021" s="14"/>
      <c r="B4021"/>
      <c r="C4021" s="15"/>
      <c r="D4021"/>
      <c r="E4021"/>
      <c r="F4021" s="16"/>
      <c r="G4021"/>
      <c r="H4021"/>
      <c r="I4021" s="16"/>
      <c r="J4021"/>
      <c r="K4021"/>
      <c r="L4021"/>
      <c r="M4021" s="17"/>
      <c r="N4021"/>
      <c r="O4021"/>
      <c r="P4021" s="34"/>
    </row>
    <row r="4022" spans="1:16" x14ac:dyDescent="0.25">
      <c r="A4022" s="14"/>
      <c r="B4022"/>
      <c r="C4022" s="15"/>
      <c r="D4022"/>
      <c r="E4022"/>
      <c r="F4022" s="16"/>
      <c r="G4022"/>
      <c r="H4022"/>
      <c r="I4022" s="16"/>
      <c r="J4022"/>
      <c r="K4022"/>
      <c r="L4022"/>
      <c r="M4022" s="17"/>
      <c r="N4022"/>
      <c r="O4022"/>
      <c r="P4022" s="34"/>
    </row>
    <row r="4023" spans="1:16" x14ac:dyDescent="0.25">
      <c r="A4023" s="14"/>
      <c r="B4023"/>
      <c r="C4023" s="15"/>
      <c r="D4023"/>
      <c r="E4023"/>
      <c r="F4023" s="16"/>
      <c r="G4023"/>
      <c r="H4023"/>
      <c r="I4023" s="16"/>
      <c r="J4023"/>
      <c r="K4023"/>
      <c r="L4023"/>
      <c r="M4023" s="17"/>
      <c r="N4023"/>
      <c r="O4023"/>
      <c r="P4023" s="34"/>
    </row>
    <row r="4024" spans="1:16" x14ac:dyDescent="0.25">
      <c r="A4024" s="14"/>
      <c r="B4024"/>
      <c r="C4024" s="15"/>
      <c r="D4024"/>
      <c r="E4024"/>
      <c r="F4024" s="16"/>
      <c r="G4024"/>
      <c r="H4024"/>
      <c r="I4024" s="16"/>
      <c r="J4024"/>
      <c r="K4024"/>
      <c r="L4024"/>
      <c r="M4024" s="17"/>
      <c r="N4024"/>
      <c r="O4024"/>
      <c r="P4024" s="34"/>
    </row>
    <row r="4025" spans="1:16" x14ac:dyDescent="0.25">
      <c r="A4025" s="14"/>
      <c r="B4025"/>
      <c r="C4025" s="15"/>
      <c r="D4025"/>
      <c r="E4025"/>
      <c r="F4025" s="16"/>
      <c r="G4025"/>
      <c r="H4025"/>
      <c r="I4025" s="16"/>
      <c r="J4025"/>
      <c r="K4025"/>
      <c r="L4025"/>
      <c r="M4025" s="17"/>
      <c r="N4025"/>
      <c r="O4025"/>
      <c r="P4025" s="34"/>
    </row>
    <row r="4026" spans="1:16" x14ac:dyDescent="0.25">
      <c r="A4026" s="14"/>
      <c r="B4026"/>
      <c r="C4026" s="15"/>
      <c r="D4026"/>
      <c r="E4026"/>
      <c r="F4026" s="16"/>
      <c r="G4026"/>
      <c r="H4026"/>
      <c r="I4026" s="16"/>
      <c r="J4026"/>
      <c r="K4026"/>
      <c r="L4026"/>
      <c r="M4026" s="17"/>
      <c r="N4026"/>
      <c r="O4026"/>
      <c r="P4026" s="34"/>
    </row>
    <row r="4027" spans="1:16" x14ac:dyDescent="0.25">
      <c r="A4027" s="14"/>
      <c r="B4027"/>
      <c r="C4027" s="15"/>
      <c r="D4027"/>
      <c r="E4027"/>
      <c r="F4027" s="16"/>
      <c r="G4027"/>
      <c r="H4027"/>
      <c r="I4027" s="16"/>
      <c r="J4027"/>
      <c r="K4027"/>
      <c r="L4027"/>
      <c r="M4027" s="17"/>
      <c r="N4027"/>
      <c r="O4027"/>
      <c r="P4027" s="34"/>
    </row>
    <row r="4028" spans="1:16" x14ac:dyDescent="0.25">
      <c r="A4028" s="14"/>
      <c r="B4028"/>
      <c r="C4028" s="15"/>
      <c r="D4028"/>
      <c r="E4028"/>
      <c r="F4028" s="16"/>
      <c r="G4028"/>
      <c r="H4028"/>
      <c r="I4028" s="16"/>
      <c r="J4028"/>
      <c r="K4028"/>
      <c r="L4028"/>
      <c r="M4028" s="17"/>
      <c r="N4028"/>
      <c r="O4028"/>
      <c r="P4028" s="34"/>
    </row>
    <row r="4029" spans="1:16" x14ac:dyDescent="0.25">
      <c r="A4029" s="14"/>
      <c r="B4029"/>
      <c r="C4029" s="15"/>
      <c r="D4029"/>
      <c r="E4029"/>
      <c r="F4029" s="16"/>
      <c r="G4029"/>
      <c r="H4029"/>
      <c r="I4029" s="16"/>
      <c r="J4029"/>
      <c r="K4029"/>
      <c r="L4029"/>
      <c r="M4029" s="17"/>
      <c r="N4029"/>
      <c r="O4029"/>
      <c r="P4029" s="34"/>
    </row>
    <row r="4030" spans="1:16" x14ac:dyDescent="0.25">
      <c r="A4030" s="14"/>
      <c r="B4030"/>
      <c r="C4030" s="15"/>
      <c r="D4030"/>
      <c r="E4030"/>
      <c r="F4030" s="16"/>
      <c r="G4030"/>
      <c r="H4030"/>
      <c r="I4030" s="16"/>
      <c r="J4030"/>
      <c r="K4030"/>
      <c r="L4030"/>
      <c r="M4030" s="17"/>
      <c r="N4030"/>
      <c r="O4030"/>
      <c r="P4030" s="34"/>
    </row>
    <row r="4031" spans="1:16" x14ac:dyDescent="0.25">
      <c r="A4031" s="14"/>
      <c r="B4031"/>
      <c r="C4031" s="15"/>
      <c r="D4031"/>
      <c r="E4031"/>
      <c r="F4031" s="16"/>
      <c r="G4031"/>
      <c r="H4031"/>
      <c r="I4031" s="16"/>
      <c r="J4031"/>
      <c r="K4031"/>
      <c r="L4031"/>
      <c r="M4031" s="17"/>
      <c r="N4031"/>
      <c r="O4031"/>
      <c r="P4031" s="34"/>
    </row>
    <row r="4032" spans="1:16" x14ac:dyDescent="0.25">
      <c r="A4032" s="14"/>
      <c r="B4032"/>
      <c r="C4032" s="15"/>
      <c r="D4032"/>
      <c r="E4032"/>
      <c r="F4032" s="16"/>
      <c r="G4032"/>
      <c r="H4032"/>
      <c r="I4032" s="16"/>
      <c r="J4032"/>
      <c r="K4032"/>
      <c r="L4032"/>
      <c r="M4032" s="17"/>
      <c r="N4032"/>
      <c r="O4032"/>
      <c r="P4032" s="34"/>
    </row>
    <row r="4033" spans="1:16" x14ac:dyDescent="0.25">
      <c r="A4033" s="14"/>
      <c r="B4033"/>
      <c r="C4033" s="15"/>
      <c r="D4033"/>
      <c r="E4033"/>
      <c r="F4033" s="16"/>
      <c r="G4033"/>
      <c r="H4033"/>
      <c r="I4033" s="16"/>
      <c r="J4033"/>
      <c r="K4033"/>
      <c r="L4033"/>
      <c r="M4033" s="17"/>
      <c r="N4033"/>
      <c r="O4033"/>
      <c r="P4033" s="34"/>
    </row>
    <row r="4034" spans="1:16" x14ac:dyDescent="0.25">
      <c r="A4034" s="14"/>
      <c r="B4034"/>
      <c r="C4034" s="15"/>
      <c r="D4034"/>
      <c r="E4034"/>
      <c r="F4034" s="16"/>
      <c r="G4034"/>
      <c r="H4034"/>
      <c r="I4034" s="16"/>
      <c r="J4034"/>
      <c r="K4034"/>
      <c r="L4034"/>
      <c r="M4034" s="17"/>
      <c r="N4034"/>
      <c r="O4034"/>
      <c r="P4034" s="34"/>
    </row>
    <row r="4035" spans="1:16" x14ac:dyDescent="0.25">
      <c r="A4035" s="14"/>
      <c r="B4035"/>
      <c r="C4035" s="15"/>
      <c r="D4035"/>
      <c r="E4035"/>
      <c r="F4035" s="16"/>
      <c r="G4035"/>
      <c r="H4035"/>
      <c r="I4035" s="16"/>
      <c r="J4035"/>
      <c r="K4035"/>
      <c r="L4035"/>
      <c r="M4035" s="17"/>
      <c r="N4035"/>
      <c r="O4035"/>
      <c r="P4035" s="34"/>
    </row>
    <row r="4036" spans="1:16" x14ac:dyDescent="0.25">
      <c r="A4036" s="14"/>
      <c r="B4036"/>
      <c r="C4036" s="15"/>
      <c r="D4036"/>
      <c r="E4036"/>
      <c r="F4036" s="16"/>
      <c r="G4036"/>
      <c r="H4036"/>
      <c r="I4036" s="16"/>
      <c r="J4036"/>
      <c r="K4036"/>
      <c r="L4036"/>
      <c r="M4036" s="17"/>
      <c r="N4036"/>
      <c r="O4036"/>
      <c r="P4036" s="34"/>
    </row>
    <row r="4037" spans="1:16" x14ac:dyDescent="0.25">
      <c r="A4037" s="14"/>
      <c r="B4037"/>
      <c r="C4037" s="15"/>
      <c r="D4037"/>
      <c r="E4037"/>
      <c r="F4037" s="16"/>
      <c r="G4037"/>
      <c r="H4037"/>
      <c r="I4037" s="16"/>
      <c r="J4037"/>
      <c r="K4037"/>
      <c r="L4037"/>
      <c r="M4037" s="17"/>
      <c r="N4037"/>
      <c r="O4037"/>
      <c r="P4037" s="34"/>
    </row>
    <row r="4038" spans="1:16" x14ac:dyDescent="0.25">
      <c r="A4038" s="14"/>
      <c r="B4038"/>
      <c r="C4038" s="15"/>
      <c r="D4038"/>
      <c r="E4038"/>
      <c r="F4038" s="16"/>
      <c r="G4038"/>
      <c r="H4038"/>
      <c r="I4038" s="16"/>
      <c r="J4038"/>
      <c r="K4038"/>
      <c r="L4038"/>
      <c r="M4038" s="17"/>
      <c r="N4038"/>
      <c r="O4038"/>
      <c r="P4038" s="34"/>
    </row>
    <row r="4039" spans="1:16" x14ac:dyDescent="0.25">
      <c r="A4039" s="14"/>
      <c r="B4039"/>
      <c r="C4039" s="15"/>
      <c r="D4039"/>
      <c r="E4039"/>
      <c r="F4039" s="16"/>
      <c r="G4039"/>
      <c r="H4039"/>
      <c r="I4039" s="16"/>
      <c r="J4039"/>
      <c r="K4039"/>
      <c r="L4039"/>
      <c r="M4039" s="17"/>
      <c r="N4039"/>
      <c r="O4039"/>
      <c r="P4039" s="34"/>
    </row>
    <row r="4040" spans="1:16" x14ac:dyDescent="0.25">
      <c r="A4040" s="14"/>
      <c r="B4040"/>
      <c r="C4040" s="15"/>
      <c r="D4040"/>
      <c r="E4040"/>
      <c r="F4040" s="16"/>
      <c r="G4040"/>
      <c r="H4040"/>
      <c r="I4040" s="16"/>
      <c r="J4040"/>
      <c r="K4040"/>
      <c r="L4040"/>
      <c r="M4040" s="17"/>
      <c r="N4040"/>
      <c r="O4040"/>
      <c r="P4040" s="34"/>
    </row>
    <row r="4041" spans="1:16" x14ac:dyDescent="0.25">
      <c r="A4041" s="14"/>
      <c r="B4041"/>
      <c r="C4041" s="15"/>
      <c r="D4041"/>
      <c r="E4041"/>
      <c r="F4041" s="16"/>
      <c r="G4041"/>
      <c r="H4041"/>
      <c r="I4041" s="16"/>
      <c r="J4041"/>
      <c r="K4041"/>
      <c r="L4041"/>
      <c r="M4041" s="17"/>
      <c r="N4041"/>
      <c r="O4041"/>
      <c r="P4041" s="34"/>
    </row>
    <row r="4042" spans="1:16" x14ac:dyDescent="0.25">
      <c r="A4042" s="14"/>
      <c r="B4042"/>
      <c r="C4042" s="15"/>
      <c r="D4042"/>
      <c r="E4042"/>
      <c r="F4042" s="16"/>
      <c r="G4042"/>
      <c r="H4042"/>
      <c r="I4042" s="16"/>
      <c r="J4042"/>
      <c r="K4042"/>
      <c r="L4042"/>
      <c r="M4042" s="17"/>
      <c r="N4042"/>
      <c r="O4042"/>
      <c r="P4042" s="34"/>
    </row>
    <row r="4043" spans="1:16" x14ac:dyDescent="0.25">
      <c r="A4043" s="14"/>
      <c r="B4043"/>
      <c r="C4043" s="15"/>
      <c r="D4043"/>
      <c r="E4043"/>
      <c r="F4043" s="16"/>
      <c r="G4043"/>
      <c r="H4043"/>
      <c r="I4043" s="16"/>
      <c r="J4043"/>
      <c r="K4043"/>
      <c r="L4043"/>
      <c r="M4043" s="17"/>
      <c r="N4043"/>
      <c r="O4043"/>
      <c r="P4043" s="34"/>
    </row>
    <row r="4044" spans="1:16" x14ac:dyDescent="0.25">
      <c r="A4044" s="14"/>
      <c r="B4044"/>
      <c r="C4044" s="15"/>
      <c r="D4044"/>
      <c r="E4044"/>
      <c r="F4044" s="16"/>
      <c r="G4044"/>
      <c r="H4044"/>
      <c r="I4044" s="16"/>
      <c r="J4044"/>
      <c r="K4044"/>
      <c r="L4044"/>
      <c r="M4044" s="17"/>
      <c r="N4044"/>
      <c r="O4044"/>
      <c r="P4044" s="34"/>
    </row>
    <row r="4045" spans="1:16" x14ac:dyDescent="0.25">
      <c r="A4045" s="14"/>
      <c r="B4045"/>
      <c r="C4045" s="15"/>
      <c r="D4045"/>
      <c r="E4045"/>
      <c r="F4045" s="16"/>
      <c r="G4045"/>
      <c r="H4045"/>
      <c r="I4045" s="16"/>
      <c r="J4045"/>
      <c r="K4045"/>
      <c r="L4045"/>
      <c r="M4045" s="17"/>
      <c r="N4045"/>
      <c r="O4045"/>
      <c r="P4045" s="34"/>
    </row>
    <row r="4046" spans="1:16" x14ac:dyDescent="0.25">
      <c r="A4046" s="14"/>
      <c r="B4046"/>
      <c r="C4046" s="15"/>
      <c r="D4046"/>
      <c r="E4046"/>
      <c r="F4046" s="16"/>
      <c r="G4046"/>
      <c r="H4046"/>
      <c r="I4046" s="16"/>
      <c r="J4046"/>
      <c r="K4046"/>
      <c r="L4046"/>
      <c r="M4046" s="17"/>
      <c r="N4046"/>
      <c r="O4046"/>
      <c r="P4046" s="34"/>
    </row>
    <row r="4047" spans="1:16" x14ac:dyDescent="0.25">
      <c r="A4047" s="14"/>
      <c r="B4047"/>
      <c r="C4047" s="15"/>
      <c r="D4047"/>
      <c r="E4047"/>
      <c r="F4047" s="16"/>
      <c r="G4047"/>
      <c r="H4047"/>
      <c r="I4047" s="16"/>
      <c r="J4047"/>
      <c r="K4047"/>
      <c r="L4047"/>
      <c r="M4047" s="17"/>
      <c r="N4047"/>
      <c r="O4047"/>
      <c r="P4047" s="34"/>
    </row>
    <row r="4048" spans="1:16" x14ac:dyDescent="0.25">
      <c r="A4048" s="14"/>
      <c r="B4048"/>
      <c r="C4048" s="15"/>
      <c r="D4048"/>
      <c r="E4048"/>
      <c r="F4048" s="16"/>
      <c r="G4048"/>
      <c r="H4048"/>
      <c r="I4048" s="16"/>
      <c r="J4048"/>
      <c r="K4048"/>
      <c r="L4048"/>
      <c r="M4048" s="17"/>
      <c r="N4048"/>
      <c r="O4048"/>
      <c r="P4048" s="34"/>
    </row>
    <row r="4049" spans="1:16" x14ac:dyDescent="0.25">
      <c r="A4049" s="14"/>
      <c r="B4049"/>
      <c r="C4049" s="15"/>
      <c r="D4049"/>
      <c r="E4049"/>
      <c r="F4049" s="16"/>
      <c r="G4049"/>
      <c r="H4049"/>
      <c r="I4049" s="16"/>
      <c r="J4049"/>
      <c r="K4049"/>
      <c r="L4049"/>
      <c r="M4049" s="17"/>
      <c r="N4049"/>
      <c r="O4049"/>
      <c r="P4049" s="34"/>
    </row>
    <row r="4050" spans="1:16" x14ac:dyDescent="0.25">
      <c r="A4050" s="14"/>
      <c r="B4050"/>
      <c r="C4050" s="15"/>
      <c r="D4050"/>
      <c r="E4050"/>
      <c r="F4050" s="16"/>
      <c r="G4050"/>
      <c r="H4050"/>
      <c r="I4050" s="16"/>
      <c r="J4050"/>
      <c r="K4050"/>
      <c r="L4050"/>
      <c r="M4050" s="17"/>
      <c r="N4050"/>
      <c r="O4050"/>
      <c r="P4050" s="34"/>
    </row>
    <row r="4051" spans="1:16" x14ac:dyDescent="0.25">
      <c r="A4051" s="14"/>
      <c r="B4051"/>
      <c r="C4051" s="15"/>
      <c r="D4051"/>
      <c r="E4051"/>
      <c r="F4051" s="16"/>
      <c r="G4051"/>
      <c r="H4051"/>
      <c r="I4051" s="16"/>
      <c r="J4051"/>
      <c r="K4051"/>
      <c r="L4051"/>
      <c r="M4051" s="17"/>
      <c r="N4051"/>
      <c r="O4051"/>
      <c r="P4051" s="34"/>
    </row>
    <row r="4052" spans="1:16" x14ac:dyDescent="0.25">
      <c r="A4052" s="14"/>
      <c r="B4052"/>
      <c r="C4052" s="15"/>
      <c r="D4052"/>
      <c r="E4052"/>
      <c r="F4052" s="16"/>
      <c r="G4052"/>
      <c r="H4052"/>
      <c r="I4052" s="16"/>
      <c r="J4052"/>
      <c r="K4052"/>
      <c r="L4052"/>
      <c r="M4052" s="17"/>
      <c r="N4052"/>
      <c r="O4052"/>
      <c r="P4052" s="34"/>
    </row>
    <row r="4053" spans="1:16" x14ac:dyDescent="0.25">
      <c r="A4053" s="14"/>
      <c r="B4053"/>
      <c r="C4053" s="15"/>
      <c r="D4053"/>
      <c r="E4053"/>
      <c r="F4053" s="16"/>
      <c r="G4053"/>
      <c r="H4053"/>
      <c r="I4053" s="16"/>
      <c r="J4053"/>
      <c r="K4053"/>
      <c r="L4053"/>
      <c r="M4053" s="17"/>
      <c r="N4053"/>
      <c r="O4053"/>
      <c r="P4053" s="34"/>
    </row>
    <row r="4054" spans="1:16" x14ac:dyDescent="0.25">
      <c r="A4054" s="14"/>
      <c r="B4054"/>
      <c r="C4054" s="15"/>
      <c r="D4054"/>
      <c r="E4054"/>
      <c r="F4054" s="16"/>
      <c r="G4054"/>
      <c r="H4054"/>
      <c r="I4054" s="16"/>
      <c r="J4054"/>
      <c r="K4054"/>
      <c r="L4054"/>
      <c r="M4054" s="17"/>
      <c r="N4054"/>
      <c r="O4054"/>
      <c r="P4054" s="34"/>
    </row>
    <row r="4055" spans="1:16" x14ac:dyDescent="0.25">
      <c r="A4055" s="14"/>
      <c r="B4055"/>
      <c r="C4055" s="15"/>
      <c r="D4055"/>
      <c r="E4055"/>
      <c r="F4055" s="16"/>
      <c r="G4055"/>
      <c r="H4055"/>
      <c r="I4055" s="16"/>
      <c r="J4055"/>
      <c r="K4055"/>
      <c r="L4055"/>
      <c r="M4055" s="17"/>
      <c r="N4055"/>
      <c r="O4055"/>
      <c r="P4055" s="34"/>
    </row>
    <row r="4056" spans="1:16" x14ac:dyDescent="0.25">
      <c r="A4056" s="14"/>
      <c r="B4056"/>
      <c r="C4056" s="15"/>
      <c r="D4056"/>
      <c r="E4056"/>
      <c r="F4056" s="16"/>
      <c r="G4056"/>
      <c r="H4056"/>
      <c r="I4056" s="16"/>
      <c r="J4056"/>
      <c r="K4056"/>
      <c r="L4056"/>
      <c r="M4056" s="17"/>
      <c r="N4056"/>
      <c r="O4056"/>
      <c r="P4056" s="34"/>
    </row>
    <row r="4057" spans="1:16" x14ac:dyDescent="0.25">
      <c r="A4057" s="14"/>
      <c r="B4057"/>
      <c r="C4057" s="15"/>
      <c r="D4057"/>
      <c r="E4057"/>
      <c r="F4057" s="16"/>
      <c r="G4057"/>
      <c r="H4057"/>
      <c r="I4057" s="16"/>
      <c r="J4057"/>
      <c r="K4057"/>
      <c r="L4057"/>
      <c r="M4057" s="17"/>
      <c r="N4057"/>
      <c r="O4057"/>
      <c r="P4057" s="34"/>
    </row>
    <row r="4058" spans="1:16" x14ac:dyDescent="0.25">
      <c r="A4058" s="14"/>
      <c r="B4058"/>
      <c r="C4058" s="15"/>
      <c r="D4058"/>
      <c r="E4058"/>
      <c r="F4058" s="16"/>
      <c r="G4058"/>
      <c r="H4058"/>
      <c r="I4058" s="16"/>
      <c r="J4058"/>
      <c r="K4058"/>
      <c r="L4058"/>
      <c r="M4058" s="17"/>
      <c r="N4058"/>
      <c r="O4058"/>
      <c r="P4058" s="34"/>
    </row>
    <row r="4059" spans="1:16" x14ac:dyDescent="0.25">
      <c r="A4059" s="14"/>
      <c r="B4059"/>
      <c r="C4059" s="15"/>
      <c r="D4059"/>
      <c r="E4059"/>
      <c r="F4059" s="16"/>
      <c r="G4059"/>
      <c r="H4059"/>
      <c r="I4059" s="16"/>
      <c r="J4059"/>
      <c r="K4059"/>
      <c r="L4059"/>
      <c r="M4059" s="17"/>
      <c r="N4059"/>
      <c r="O4059"/>
      <c r="P4059" s="34"/>
    </row>
    <row r="4060" spans="1:16" x14ac:dyDescent="0.25">
      <c r="A4060" s="14"/>
      <c r="B4060"/>
      <c r="C4060" s="15"/>
      <c r="D4060"/>
      <c r="E4060"/>
      <c r="F4060" s="16"/>
      <c r="G4060"/>
      <c r="H4060"/>
      <c r="I4060" s="16"/>
      <c r="J4060"/>
      <c r="K4060"/>
      <c r="L4060"/>
      <c r="M4060" s="17"/>
      <c r="N4060"/>
      <c r="O4060"/>
      <c r="P4060" s="34"/>
    </row>
    <row r="4061" spans="1:16" x14ac:dyDescent="0.25">
      <c r="A4061" s="14"/>
      <c r="B4061"/>
      <c r="C4061" s="15"/>
      <c r="D4061"/>
      <c r="E4061"/>
      <c r="F4061" s="16"/>
      <c r="G4061"/>
      <c r="H4061"/>
      <c r="I4061" s="16"/>
      <c r="J4061"/>
      <c r="K4061"/>
      <c r="L4061"/>
      <c r="M4061" s="17"/>
      <c r="N4061"/>
      <c r="O4061"/>
      <c r="P4061" s="34"/>
    </row>
    <row r="4062" spans="1:16" x14ac:dyDescent="0.25">
      <c r="A4062" s="14"/>
      <c r="B4062"/>
      <c r="C4062" s="15"/>
      <c r="D4062"/>
      <c r="E4062"/>
      <c r="F4062" s="16"/>
      <c r="G4062"/>
      <c r="H4062"/>
      <c r="I4062" s="16"/>
      <c r="J4062"/>
      <c r="K4062"/>
      <c r="L4062"/>
      <c r="M4062" s="17"/>
      <c r="N4062"/>
      <c r="O4062"/>
      <c r="P4062" s="34"/>
    </row>
    <row r="4063" spans="1:16" x14ac:dyDescent="0.25">
      <c r="A4063" s="14"/>
      <c r="B4063"/>
      <c r="C4063" s="15"/>
      <c r="D4063"/>
      <c r="E4063"/>
      <c r="F4063" s="16"/>
      <c r="G4063"/>
      <c r="H4063"/>
      <c r="I4063" s="16"/>
      <c r="J4063"/>
      <c r="K4063"/>
      <c r="L4063"/>
      <c r="M4063" s="17"/>
      <c r="N4063"/>
      <c r="O4063"/>
      <c r="P4063" s="34"/>
    </row>
    <row r="4064" spans="1:16" x14ac:dyDescent="0.25">
      <c r="A4064" s="14"/>
      <c r="B4064"/>
      <c r="C4064" s="15"/>
      <c r="D4064"/>
      <c r="E4064"/>
      <c r="F4064" s="16"/>
      <c r="G4064"/>
      <c r="H4064"/>
      <c r="I4064" s="16"/>
      <c r="J4064"/>
      <c r="K4064"/>
      <c r="L4064"/>
      <c r="M4064" s="17"/>
      <c r="N4064"/>
      <c r="O4064"/>
      <c r="P4064" s="34"/>
    </row>
    <row r="4065" spans="1:16" x14ac:dyDescent="0.25">
      <c r="A4065" s="14"/>
      <c r="B4065"/>
      <c r="C4065" s="15"/>
      <c r="D4065"/>
      <c r="E4065"/>
      <c r="F4065" s="16"/>
      <c r="G4065"/>
      <c r="H4065"/>
      <c r="I4065" s="16"/>
      <c r="J4065"/>
      <c r="K4065"/>
      <c r="L4065"/>
      <c r="M4065" s="17"/>
      <c r="N4065"/>
      <c r="O4065"/>
      <c r="P4065" s="34"/>
    </row>
    <row r="4066" spans="1:16" x14ac:dyDescent="0.25">
      <c r="A4066" s="14"/>
      <c r="B4066"/>
      <c r="C4066" s="15"/>
      <c r="D4066"/>
      <c r="E4066"/>
      <c r="F4066" s="16"/>
      <c r="G4066"/>
      <c r="H4066"/>
      <c r="I4066" s="16"/>
      <c r="J4066"/>
      <c r="K4066"/>
      <c r="L4066"/>
      <c r="M4066" s="17"/>
      <c r="N4066"/>
      <c r="O4066"/>
      <c r="P4066" s="34"/>
    </row>
    <row r="4067" spans="1:16" x14ac:dyDescent="0.25">
      <c r="A4067" s="14"/>
      <c r="B4067"/>
      <c r="C4067" s="15"/>
      <c r="D4067"/>
      <c r="E4067"/>
      <c r="F4067" s="16"/>
      <c r="G4067"/>
      <c r="H4067"/>
      <c r="I4067" s="16"/>
      <c r="J4067"/>
      <c r="K4067"/>
      <c r="L4067"/>
      <c r="M4067" s="17"/>
      <c r="N4067"/>
      <c r="O4067"/>
      <c r="P4067" s="34"/>
    </row>
    <row r="4068" spans="1:16" x14ac:dyDescent="0.25">
      <c r="A4068" s="14"/>
      <c r="B4068"/>
      <c r="C4068" s="15"/>
      <c r="D4068"/>
      <c r="E4068"/>
      <c r="F4068" s="16"/>
      <c r="G4068"/>
      <c r="H4068"/>
      <c r="I4068" s="16"/>
      <c r="J4068"/>
      <c r="K4068"/>
      <c r="L4068"/>
      <c r="M4068" s="17"/>
      <c r="N4068"/>
      <c r="O4068"/>
      <c r="P4068" s="34"/>
    </row>
    <row r="4069" spans="1:16" x14ac:dyDescent="0.25">
      <c r="A4069" s="14"/>
      <c r="B4069"/>
      <c r="C4069" s="15"/>
      <c r="D4069"/>
      <c r="E4069"/>
      <c r="F4069" s="16"/>
      <c r="G4069"/>
      <c r="H4069"/>
      <c r="I4069" s="16"/>
      <c r="J4069"/>
      <c r="K4069"/>
      <c r="L4069"/>
      <c r="M4069" s="17"/>
      <c r="N4069"/>
      <c r="O4069"/>
      <c r="P4069" s="34"/>
    </row>
    <row r="4070" spans="1:16" x14ac:dyDescent="0.25">
      <c r="A4070" s="14"/>
      <c r="B4070"/>
      <c r="C4070" s="15"/>
      <c r="D4070"/>
      <c r="E4070"/>
      <c r="F4070" s="16"/>
      <c r="G4070"/>
      <c r="H4070"/>
      <c r="I4070" s="16"/>
      <c r="J4070"/>
      <c r="K4070"/>
      <c r="L4070"/>
      <c r="M4070" s="17"/>
      <c r="N4070"/>
      <c r="O4070"/>
      <c r="P4070" s="34"/>
    </row>
    <row r="4071" spans="1:16" x14ac:dyDescent="0.25">
      <c r="A4071" s="14"/>
      <c r="B4071"/>
      <c r="C4071" s="15"/>
      <c r="D4071"/>
      <c r="E4071"/>
      <c r="F4071" s="16"/>
      <c r="G4071"/>
      <c r="H4071"/>
      <c r="I4071" s="16"/>
      <c r="J4071"/>
      <c r="K4071"/>
      <c r="L4071"/>
      <c r="M4071" s="17"/>
      <c r="N4071"/>
      <c r="O4071"/>
      <c r="P4071" s="34"/>
    </row>
    <row r="4072" spans="1:16" x14ac:dyDescent="0.25">
      <c r="A4072" s="14"/>
      <c r="B4072"/>
      <c r="C4072" s="15"/>
      <c r="D4072"/>
      <c r="E4072"/>
      <c r="F4072" s="16"/>
      <c r="G4072"/>
      <c r="H4072"/>
      <c r="I4072" s="16"/>
      <c r="J4072"/>
      <c r="K4072"/>
      <c r="L4072"/>
      <c r="M4072" s="17"/>
      <c r="N4072"/>
      <c r="O4072"/>
      <c r="P4072" s="34"/>
    </row>
    <row r="4073" spans="1:16" x14ac:dyDescent="0.25">
      <c r="A4073" s="14"/>
      <c r="B4073"/>
      <c r="C4073" s="15"/>
      <c r="D4073"/>
      <c r="E4073"/>
      <c r="F4073" s="16"/>
      <c r="G4073"/>
      <c r="H4073"/>
      <c r="I4073" s="16"/>
      <c r="J4073"/>
      <c r="K4073"/>
      <c r="L4073"/>
      <c r="M4073" s="17"/>
      <c r="N4073"/>
      <c r="O4073"/>
      <c r="P4073" s="34"/>
    </row>
    <row r="4074" spans="1:16" x14ac:dyDescent="0.25">
      <c r="A4074" s="14"/>
      <c r="B4074"/>
      <c r="C4074" s="15"/>
      <c r="D4074"/>
      <c r="E4074"/>
      <c r="F4074" s="16"/>
      <c r="G4074"/>
      <c r="H4074"/>
      <c r="I4074" s="16"/>
      <c r="J4074"/>
      <c r="K4074"/>
      <c r="L4074"/>
      <c r="M4074" s="17"/>
      <c r="N4074"/>
      <c r="O4074"/>
      <c r="P4074" s="34"/>
    </row>
    <row r="4075" spans="1:16" x14ac:dyDescent="0.25">
      <c r="A4075" s="14"/>
      <c r="B4075"/>
      <c r="C4075" s="15"/>
      <c r="D4075"/>
      <c r="E4075"/>
      <c r="F4075" s="16"/>
      <c r="G4075"/>
      <c r="H4075"/>
      <c r="I4075" s="16"/>
      <c r="J4075"/>
      <c r="K4075"/>
      <c r="L4075"/>
      <c r="M4075" s="17"/>
      <c r="N4075"/>
      <c r="O4075"/>
      <c r="P4075" s="34"/>
    </row>
    <row r="4076" spans="1:16" x14ac:dyDescent="0.25">
      <c r="A4076" s="14"/>
      <c r="B4076"/>
      <c r="C4076" s="15"/>
      <c r="D4076"/>
      <c r="E4076"/>
      <c r="F4076" s="16"/>
      <c r="G4076"/>
      <c r="H4076"/>
      <c r="I4076" s="16"/>
      <c r="J4076"/>
      <c r="K4076"/>
      <c r="L4076"/>
      <c r="M4076" s="17"/>
      <c r="N4076"/>
      <c r="O4076"/>
      <c r="P4076" s="34"/>
    </row>
    <row r="4077" spans="1:16" x14ac:dyDescent="0.25">
      <c r="A4077" s="14"/>
      <c r="B4077"/>
      <c r="C4077" s="15"/>
      <c r="D4077"/>
      <c r="E4077"/>
      <c r="F4077" s="16"/>
      <c r="G4077"/>
      <c r="H4077"/>
      <c r="I4077" s="16"/>
      <c r="J4077"/>
      <c r="K4077"/>
      <c r="L4077"/>
      <c r="M4077" s="17"/>
      <c r="N4077"/>
      <c r="O4077"/>
      <c r="P4077" s="34"/>
    </row>
    <row r="4078" spans="1:16" x14ac:dyDescent="0.25">
      <c r="A4078" s="14"/>
      <c r="B4078"/>
      <c r="C4078" s="15"/>
      <c r="D4078"/>
      <c r="E4078"/>
      <c r="F4078" s="16"/>
      <c r="G4078"/>
      <c r="H4078"/>
      <c r="I4078" s="16"/>
      <c r="J4078"/>
      <c r="K4078"/>
      <c r="L4078"/>
      <c r="M4078" s="17"/>
      <c r="N4078"/>
      <c r="O4078"/>
      <c r="P4078" s="34"/>
    </row>
    <row r="4079" spans="1:16" x14ac:dyDescent="0.25">
      <c r="A4079" s="14"/>
      <c r="B4079"/>
      <c r="C4079" s="15"/>
      <c r="D4079"/>
      <c r="E4079"/>
      <c r="F4079" s="16"/>
      <c r="G4079"/>
      <c r="H4079"/>
      <c r="I4079" s="16"/>
      <c r="J4079"/>
      <c r="K4079"/>
      <c r="L4079"/>
      <c r="M4079" s="17"/>
      <c r="N4079"/>
      <c r="O4079"/>
      <c r="P4079" s="34"/>
    </row>
    <row r="4080" spans="1:16" x14ac:dyDescent="0.25">
      <c r="A4080" s="14"/>
      <c r="B4080"/>
      <c r="C4080" s="15"/>
      <c r="D4080"/>
      <c r="E4080"/>
      <c r="F4080" s="16"/>
      <c r="G4080"/>
      <c r="H4080"/>
      <c r="I4080" s="16"/>
      <c r="J4080"/>
      <c r="K4080"/>
      <c r="L4080"/>
      <c r="M4080" s="17"/>
      <c r="N4080"/>
      <c r="O4080"/>
      <c r="P4080" s="34"/>
    </row>
    <row r="4081" spans="1:16" x14ac:dyDescent="0.25">
      <c r="A4081" s="14"/>
      <c r="B4081"/>
      <c r="C4081" s="15"/>
      <c r="D4081"/>
      <c r="E4081"/>
      <c r="F4081" s="16"/>
      <c r="G4081"/>
      <c r="H4081"/>
      <c r="I4081" s="16"/>
      <c r="J4081"/>
      <c r="K4081"/>
      <c r="L4081"/>
      <c r="M4081" s="17"/>
      <c r="N4081"/>
      <c r="O4081"/>
      <c r="P4081" s="34"/>
    </row>
    <row r="4082" spans="1:16" x14ac:dyDescent="0.25">
      <c r="A4082" s="14"/>
      <c r="B4082"/>
      <c r="C4082" s="15"/>
      <c r="D4082"/>
      <c r="E4082"/>
      <c r="F4082" s="16"/>
      <c r="G4082"/>
      <c r="H4082"/>
      <c r="I4082" s="16"/>
      <c r="J4082"/>
      <c r="K4082"/>
      <c r="L4082"/>
      <c r="M4082" s="17"/>
      <c r="N4082"/>
      <c r="O4082"/>
      <c r="P4082" s="34"/>
    </row>
    <row r="4083" spans="1:16" x14ac:dyDescent="0.25">
      <c r="A4083" s="14"/>
      <c r="B4083"/>
      <c r="C4083" s="15"/>
      <c r="D4083"/>
      <c r="E4083"/>
      <c r="F4083" s="16"/>
      <c r="G4083"/>
      <c r="H4083"/>
      <c r="I4083" s="16"/>
      <c r="J4083"/>
      <c r="K4083"/>
      <c r="L4083"/>
      <c r="M4083" s="17"/>
      <c r="N4083"/>
      <c r="O4083"/>
      <c r="P4083" s="34"/>
    </row>
    <row r="4084" spans="1:16" x14ac:dyDescent="0.25">
      <c r="A4084" s="14"/>
      <c r="B4084"/>
      <c r="C4084" s="15"/>
      <c r="D4084"/>
      <c r="E4084"/>
      <c r="F4084" s="16"/>
      <c r="G4084"/>
      <c r="H4084"/>
      <c r="I4084" s="16"/>
      <c r="J4084"/>
      <c r="K4084"/>
      <c r="L4084"/>
      <c r="M4084" s="17"/>
      <c r="N4084"/>
      <c r="O4084"/>
      <c r="P4084" s="34"/>
    </row>
    <row r="4085" spans="1:16" x14ac:dyDescent="0.25">
      <c r="A4085" s="14"/>
      <c r="B4085"/>
      <c r="C4085" s="15"/>
      <c r="D4085"/>
      <c r="E4085"/>
      <c r="F4085" s="16"/>
      <c r="G4085"/>
      <c r="H4085"/>
      <c r="I4085" s="16"/>
      <c r="J4085"/>
      <c r="K4085"/>
      <c r="L4085"/>
      <c r="M4085" s="17"/>
      <c r="N4085"/>
      <c r="O4085"/>
      <c r="P4085" s="34"/>
    </row>
    <row r="4086" spans="1:16" x14ac:dyDescent="0.25">
      <c r="A4086" s="14"/>
      <c r="B4086"/>
      <c r="C4086" s="15"/>
      <c r="D4086"/>
      <c r="E4086"/>
      <c r="F4086" s="16"/>
      <c r="G4086"/>
      <c r="H4086"/>
      <c r="I4086" s="16"/>
      <c r="J4086"/>
      <c r="K4086"/>
      <c r="L4086"/>
      <c r="M4086" s="17"/>
      <c r="N4086"/>
      <c r="O4086"/>
      <c r="P4086" s="34"/>
    </row>
    <row r="4087" spans="1:16" x14ac:dyDescent="0.25">
      <c r="A4087" s="14"/>
      <c r="B4087"/>
      <c r="C4087" s="15"/>
      <c r="D4087"/>
      <c r="E4087"/>
      <c r="F4087" s="16"/>
      <c r="G4087"/>
      <c r="H4087"/>
      <c r="I4087" s="16"/>
      <c r="J4087"/>
      <c r="K4087"/>
      <c r="L4087"/>
      <c r="M4087" s="17"/>
      <c r="N4087"/>
      <c r="O4087"/>
      <c r="P4087" s="34"/>
    </row>
    <row r="4088" spans="1:16" x14ac:dyDescent="0.25">
      <c r="A4088" s="14"/>
      <c r="B4088"/>
      <c r="C4088" s="15"/>
      <c r="D4088"/>
      <c r="E4088"/>
      <c r="F4088" s="16"/>
      <c r="G4088"/>
      <c r="H4088"/>
      <c r="I4088" s="16"/>
      <c r="J4088"/>
      <c r="K4088"/>
      <c r="L4088"/>
      <c r="M4088" s="17"/>
      <c r="N4088"/>
      <c r="O4088"/>
      <c r="P4088" s="34"/>
    </row>
    <row r="4089" spans="1:16" x14ac:dyDescent="0.25">
      <c r="A4089" s="14"/>
      <c r="B4089"/>
      <c r="C4089" s="15"/>
      <c r="D4089"/>
      <c r="E4089"/>
      <c r="F4089" s="16"/>
      <c r="G4089"/>
      <c r="H4089"/>
      <c r="I4089" s="16"/>
      <c r="J4089"/>
      <c r="K4089"/>
      <c r="L4089"/>
      <c r="M4089" s="17"/>
      <c r="N4089"/>
      <c r="O4089"/>
      <c r="P4089" s="34"/>
    </row>
    <row r="4090" spans="1:16" x14ac:dyDescent="0.25">
      <c r="A4090" s="14"/>
      <c r="B4090"/>
      <c r="C4090" s="15"/>
      <c r="D4090"/>
      <c r="E4090"/>
      <c r="F4090" s="16"/>
      <c r="G4090"/>
      <c r="H4090"/>
      <c r="I4090" s="16"/>
      <c r="J4090"/>
      <c r="K4090"/>
      <c r="L4090"/>
      <c r="M4090" s="17"/>
      <c r="N4090"/>
      <c r="O4090"/>
      <c r="P4090" s="34"/>
    </row>
    <row r="4091" spans="1:16" x14ac:dyDescent="0.25">
      <c r="A4091" s="14"/>
      <c r="B4091"/>
      <c r="C4091" s="15"/>
      <c r="D4091"/>
      <c r="E4091"/>
      <c r="F4091" s="16"/>
      <c r="G4091"/>
      <c r="H4091"/>
      <c r="I4091" s="16"/>
      <c r="J4091"/>
      <c r="K4091"/>
      <c r="L4091"/>
      <c r="M4091" s="17"/>
      <c r="N4091"/>
      <c r="O4091"/>
      <c r="P4091" s="34"/>
    </row>
    <row r="4092" spans="1:16" x14ac:dyDescent="0.25">
      <c r="A4092" s="14"/>
      <c r="B4092"/>
      <c r="C4092" s="15"/>
      <c r="D4092"/>
      <c r="E4092"/>
      <c r="F4092" s="16"/>
      <c r="G4092"/>
      <c r="H4092"/>
      <c r="I4092" s="16"/>
      <c r="J4092"/>
      <c r="K4092"/>
      <c r="L4092"/>
      <c r="M4092" s="17"/>
      <c r="N4092"/>
      <c r="O4092"/>
      <c r="P4092" s="34"/>
    </row>
    <row r="4093" spans="1:16" x14ac:dyDescent="0.25">
      <c r="A4093" s="14"/>
      <c r="B4093"/>
      <c r="C4093" s="15"/>
      <c r="D4093"/>
      <c r="E4093"/>
      <c r="F4093" s="16"/>
      <c r="G4093"/>
      <c r="H4093"/>
      <c r="I4093" s="16"/>
      <c r="J4093"/>
      <c r="K4093"/>
      <c r="L4093"/>
      <c r="M4093" s="17"/>
      <c r="N4093"/>
      <c r="O4093"/>
      <c r="P4093" s="34"/>
    </row>
    <row r="4094" spans="1:16" x14ac:dyDescent="0.25">
      <c r="A4094" s="14"/>
      <c r="B4094"/>
      <c r="C4094" s="15"/>
      <c r="D4094"/>
      <c r="E4094"/>
      <c r="F4094" s="16"/>
      <c r="G4094"/>
      <c r="H4094"/>
      <c r="I4094" s="16"/>
      <c r="J4094"/>
      <c r="K4094"/>
      <c r="L4094"/>
      <c r="M4094" s="17"/>
      <c r="N4094"/>
      <c r="O4094"/>
      <c r="P4094" s="34"/>
    </row>
    <row r="4095" spans="1:16" x14ac:dyDescent="0.25">
      <c r="A4095" s="14"/>
      <c r="B4095"/>
      <c r="C4095" s="15"/>
      <c r="D4095"/>
      <c r="E4095"/>
      <c r="F4095" s="16"/>
      <c r="G4095"/>
      <c r="H4095"/>
      <c r="I4095" s="16"/>
      <c r="J4095"/>
      <c r="K4095"/>
      <c r="L4095"/>
      <c r="M4095" s="17"/>
      <c r="N4095"/>
      <c r="O4095"/>
      <c r="P4095" s="34"/>
    </row>
    <row r="4096" spans="1:16" x14ac:dyDescent="0.25">
      <c r="A4096" s="14"/>
      <c r="B4096"/>
      <c r="C4096" s="15"/>
      <c r="D4096"/>
      <c r="E4096"/>
      <c r="F4096" s="16"/>
      <c r="G4096"/>
      <c r="H4096"/>
      <c r="I4096" s="16"/>
      <c r="J4096"/>
      <c r="K4096"/>
      <c r="L4096"/>
      <c r="M4096" s="17"/>
      <c r="N4096"/>
      <c r="O4096"/>
      <c r="P4096" s="34"/>
    </row>
    <row r="4097" spans="1:16" x14ac:dyDescent="0.25">
      <c r="A4097" s="14"/>
      <c r="B4097"/>
      <c r="C4097" s="15"/>
      <c r="D4097"/>
      <c r="E4097"/>
      <c r="F4097" s="16"/>
      <c r="G4097"/>
      <c r="H4097"/>
      <c r="I4097" s="16"/>
      <c r="J4097"/>
      <c r="K4097"/>
      <c r="L4097"/>
      <c r="M4097" s="17"/>
      <c r="N4097"/>
      <c r="O4097"/>
      <c r="P4097" s="34"/>
    </row>
    <row r="4098" spans="1:16" x14ac:dyDescent="0.25">
      <c r="A4098" s="14"/>
      <c r="B4098"/>
      <c r="C4098" s="15"/>
      <c r="D4098"/>
      <c r="E4098"/>
      <c r="F4098" s="16"/>
      <c r="G4098"/>
      <c r="H4098"/>
      <c r="I4098" s="16"/>
      <c r="J4098"/>
      <c r="K4098"/>
      <c r="L4098"/>
      <c r="M4098" s="17"/>
      <c r="N4098"/>
      <c r="O4098"/>
      <c r="P4098" s="34"/>
    </row>
    <row r="4099" spans="1:16" x14ac:dyDescent="0.25">
      <c r="A4099" s="14"/>
      <c r="B4099"/>
      <c r="C4099" s="15"/>
      <c r="D4099"/>
      <c r="E4099"/>
      <c r="F4099" s="16"/>
      <c r="G4099"/>
      <c r="H4099"/>
      <c r="I4099" s="16"/>
      <c r="J4099"/>
      <c r="K4099"/>
      <c r="L4099"/>
      <c r="M4099" s="17"/>
      <c r="N4099"/>
      <c r="O4099"/>
      <c r="P4099" s="34"/>
    </row>
    <row r="4100" spans="1:16" x14ac:dyDescent="0.25">
      <c r="A4100" s="14"/>
      <c r="B4100"/>
      <c r="C4100" s="15"/>
      <c r="D4100"/>
      <c r="E4100"/>
      <c r="F4100" s="16"/>
      <c r="G4100"/>
      <c r="H4100"/>
      <c r="I4100" s="16"/>
      <c r="J4100"/>
      <c r="K4100"/>
      <c r="L4100"/>
      <c r="M4100" s="17"/>
      <c r="N4100"/>
      <c r="O4100"/>
      <c r="P4100" s="34"/>
    </row>
    <row r="4101" spans="1:16" x14ac:dyDescent="0.25">
      <c r="A4101" s="14"/>
      <c r="B4101"/>
      <c r="C4101" s="15"/>
      <c r="D4101"/>
      <c r="E4101"/>
      <c r="F4101" s="16"/>
      <c r="G4101"/>
      <c r="H4101"/>
      <c r="I4101" s="16"/>
      <c r="J4101"/>
      <c r="K4101"/>
      <c r="L4101"/>
      <c r="M4101" s="17"/>
      <c r="N4101"/>
      <c r="O4101"/>
      <c r="P4101" s="34"/>
    </row>
    <row r="4102" spans="1:16" x14ac:dyDescent="0.25">
      <c r="A4102" s="14"/>
      <c r="B4102"/>
      <c r="C4102" s="15"/>
      <c r="D4102"/>
      <c r="E4102"/>
      <c r="F4102" s="16"/>
      <c r="G4102"/>
      <c r="H4102"/>
      <c r="I4102" s="16"/>
      <c r="J4102"/>
      <c r="K4102"/>
      <c r="L4102"/>
      <c r="M4102" s="17"/>
      <c r="N4102"/>
      <c r="O4102"/>
      <c r="P4102" s="34"/>
    </row>
    <row r="4103" spans="1:16" x14ac:dyDescent="0.25">
      <c r="A4103" s="14"/>
      <c r="B4103"/>
      <c r="C4103" s="15"/>
      <c r="D4103"/>
      <c r="E4103"/>
      <c r="F4103" s="16"/>
      <c r="G4103"/>
      <c r="H4103"/>
      <c r="I4103" s="16"/>
      <c r="J4103"/>
      <c r="K4103"/>
      <c r="L4103"/>
      <c r="M4103" s="17"/>
      <c r="N4103"/>
      <c r="O4103"/>
      <c r="P4103" s="34"/>
    </row>
    <row r="4104" spans="1:16" x14ac:dyDescent="0.25">
      <c r="A4104" s="14"/>
      <c r="B4104"/>
      <c r="C4104" s="15"/>
      <c r="D4104"/>
      <c r="E4104"/>
      <c r="F4104" s="16"/>
      <c r="G4104"/>
      <c r="H4104"/>
      <c r="I4104" s="16"/>
      <c r="J4104"/>
      <c r="K4104"/>
      <c r="L4104"/>
      <c r="M4104" s="17"/>
      <c r="N4104"/>
      <c r="O4104"/>
      <c r="P4104" s="34"/>
    </row>
    <row r="4105" spans="1:16" x14ac:dyDescent="0.25">
      <c r="A4105" s="14"/>
      <c r="B4105"/>
      <c r="C4105" s="15"/>
      <c r="D4105"/>
      <c r="E4105"/>
      <c r="F4105" s="16"/>
      <c r="G4105"/>
      <c r="H4105"/>
      <c r="I4105" s="16"/>
      <c r="J4105"/>
      <c r="K4105"/>
      <c r="L4105"/>
      <c r="M4105" s="17"/>
      <c r="N4105"/>
      <c r="O4105"/>
      <c r="P4105" s="34"/>
    </row>
    <row r="4106" spans="1:16" x14ac:dyDescent="0.25">
      <c r="A4106" s="14"/>
      <c r="B4106"/>
      <c r="C4106" s="15"/>
      <c r="D4106"/>
      <c r="E4106"/>
      <c r="F4106" s="16"/>
      <c r="G4106"/>
      <c r="H4106"/>
      <c r="I4106" s="16"/>
      <c r="J4106"/>
      <c r="K4106"/>
      <c r="L4106"/>
      <c r="M4106" s="17"/>
      <c r="N4106"/>
      <c r="O4106"/>
      <c r="P4106" s="34"/>
    </row>
    <row r="4107" spans="1:16" x14ac:dyDescent="0.25">
      <c r="A4107" s="14"/>
      <c r="B4107"/>
      <c r="C4107" s="15"/>
      <c r="D4107"/>
      <c r="E4107"/>
      <c r="F4107" s="16"/>
      <c r="G4107"/>
      <c r="H4107"/>
      <c r="I4107" s="16"/>
      <c r="J4107"/>
      <c r="K4107"/>
      <c r="L4107"/>
      <c r="M4107" s="17"/>
      <c r="N4107"/>
      <c r="O4107"/>
      <c r="P4107" s="34"/>
    </row>
    <row r="4108" spans="1:16" x14ac:dyDescent="0.25">
      <c r="A4108" s="8"/>
      <c r="C4108" s="5"/>
      <c r="M4108" s="9"/>
    </row>
    <row r="4109" spans="1:16" x14ac:dyDescent="0.25">
      <c r="A4109" s="8"/>
      <c r="C4109" s="5"/>
      <c r="M4109" s="9"/>
    </row>
    <row r="4110" spans="1:16" x14ac:dyDescent="0.25">
      <c r="A4110" s="8"/>
      <c r="C4110" s="5"/>
      <c r="M4110" s="9"/>
    </row>
    <row r="4111" spans="1:16" x14ac:dyDescent="0.25">
      <c r="A4111" s="8"/>
      <c r="C4111" s="5"/>
      <c r="M4111" s="9"/>
    </row>
    <row r="4112" spans="1:16" x14ac:dyDescent="0.25">
      <c r="A4112" s="8"/>
      <c r="C4112" s="5"/>
      <c r="M4112" s="9"/>
    </row>
    <row r="4113" spans="1:13" x14ac:dyDescent="0.25">
      <c r="A4113" s="8"/>
      <c r="C4113" s="5"/>
      <c r="M4113" s="9"/>
    </row>
    <row r="4114" spans="1:13" x14ac:dyDescent="0.25">
      <c r="A4114" s="8"/>
      <c r="C4114" s="5"/>
      <c r="M4114" s="9"/>
    </row>
    <row r="4115" spans="1:13" x14ac:dyDescent="0.25">
      <c r="A4115" s="8"/>
      <c r="C4115" s="5"/>
      <c r="M4115" s="9"/>
    </row>
    <row r="4116" spans="1:13" x14ac:dyDescent="0.25">
      <c r="A4116" s="8"/>
      <c r="C4116" s="5"/>
      <c r="M4116" s="9"/>
    </row>
    <row r="4117" spans="1:13" x14ac:dyDescent="0.25">
      <c r="A4117" s="8"/>
      <c r="C4117" s="5"/>
      <c r="M4117" s="9"/>
    </row>
    <row r="4118" spans="1:13" x14ac:dyDescent="0.25">
      <c r="A4118" s="8"/>
      <c r="C4118" s="5"/>
      <c r="M4118" s="9"/>
    </row>
    <row r="4119" spans="1:13" x14ac:dyDescent="0.25">
      <c r="A4119" s="8"/>
      <c r="C4119" s="5"/>
      <c r="M4119" s="9"/>
    </row>
    <row r="4120" spans="1:13" x14ac:dyDescent="0.25">
      <c r="A4120" s="8"/>
      <c r="C4120" s="5"/>
      <c r="M4120" s="9"/>
    </row>
    <row r="4121" spans="1:13" x14ac:dyDescent="0.25">
      <c r="A4121" s="8"/>
      <c r="C4121" s="5"/>
      <c r="M4121" s="9"/>
    </row>
    <row r="4122" spans="1:13" x14ac:dyDescent="0.25">
      <c r="A4122" s="8"/>
      <c r="C4122" s="5"/>
      <c r="M4122" s="9"/>
    </row>
    <row r="4123" spans="1:13" x14ac:dyDescent="0.25">
      <c r="A4123" s="8"/>
      <c r="C4123" s="5"/>
      <c r="M4123" s="9"/>
    </row>
    <row r="4124" spans="1:13" x14ac:dyDescent="0.25">
      <c r="A4124" s="8"/>
      <c r="C4124" s="5"/>
      <c r="M4124" s="9"/>
    </row>
    <row r="4125" spans="1:13" x14ac:dyDescent="0.25">
      <c r="A4125" s="8"/>
      <c r="C4125" s="5"/>
      <c r="M4125" s="9"/>
    </row>
    <row r="4126" spans="1:13" x14ac:dyDescent="0.25">
      <c r="A4126" s="8"/>
      <c r="C4126" s="5"/>
      <c r="M4126" s="9"/>
    </row>
    <row r="4127" spans="1:13" x14ac:dyDescent="0.25">
      <c r="A4127" s="8"/>
      <c r="C4127" s="5"/>
      <c r="M4127" s="9"/>
    </row>
    <row r="4128" spans="1:13" x14ac:dyDescent="0.25">
      <c r="A4128" s="8"/>
      <c r="C4128" s="5"/>
      <c r="M4128" s="9"/>
    </row>
    <row r="4129" spans="1:13" x14ac:dyDescent="0.25">
      <c r="A4129" s="8"/>
      <c r="C4129" s="5"/>
      <c r="M4129" s="9"/>
    </row>
    <row r="4130" spans="1:13" x14ac:dyDescent="0.25">
      <c r="A4130" s="8"/>
      <c r="C4130" s="5"/>
      <c r="M4130" s="9"/>
    </row>
    <row r="4131" spans="1:13" x14ac:dyDescent="0.25">
      <c r="A4131" s="8"/>
      <c r="C4131" s="5"/>
      <c r="M4131" s="9"/>
    </row>
    <row r="4132" spans="1:13" x14ac:dyDescent="0.25">
      <c r="A4132" s="8"/>
      <c r="C4132" s="5"/>
      <c r="M4132" s="9"/>
    </row>
    <row r="4133" spans="1:13" x14ac:dyDescent="0.25">
      <c r="A4133" s="8"/>
      <c r="C4133" s="5"/>
      <c r="M4133" s="9"/>
    </row>
    <row r="4134" spans="1:13" x14ac:dyDescent="0.25">
      <c r="A4134" s="8"/>
      <c r="C4134" s="5"/>
      <c r="M4134" s="9"/>
    </row>
    <row r="4135" spans="1:13" x14ac:dyDescent="0.25">
      <c r="A4135" s="8"/>
      <c r="C4135" s="5"/>
      <c r="M4135" s="9"/>
    </row>
    <row r="4136" spans="1:13" x14ac:dyDescent="0.25">
      <c r="A4136" s="8"/>
      <c r="C4136" s="5"/>
      <c r="M4136" s="9"/>
    </row>
    <row r="4137" spans="1:13" x14ac:dyDescent="0.25">
      <c r="A4137" s="8"/>
      <c r="C4137" s="5"/>
      <c r="M4137" s="9"/>
    </row>
    <row r="4138" spans="1:13" x14ac:dyDescent="0.25">
      <c r="A4138" s="8"/>
      <c r="C4138" s="5"/>
      <c r="M4138" s="9"/>
    </row>
    <row r="4139" spans="1:13" x14ac:dyDescent="0.25">
      <c r="A4139" s="8"/>
      <c r="C4139" s="5"/>
      <c r="M4139" s="9"/>
    </row>
    <row r="4140" spans="1:13" x14ac:dyDescent="0.25">
      <c r="A4140" s="8"/>
      <c r="C4140" s="5"/>
      <c r="M4140" s="9"/>
    </row>
    <row r="4141" spans="1:13" x14ac:dyDescent="0.25">
      <c r="A4141" s="8"/>
      <c r="C4141" s="5"/>
      <c r="M4141" s="9"/>
    </row>
    <row r="4142" spans="1:13" x14ac:dyDescent="0.25">
      <c r="A4142" s="8"/>
      <c r="C4142" s="5"/>
      <c r="M4142" s="9"/>
    </row>
    <row r="4143" spans="1:13" x14ac:dyDescent="0.25">
      <c r="A4143" s="8"/>
      <c r="C4143" s="5"/>
      <c r="M4143" s="9"/>
    </row>
    <row r="4144" spans="1:13" x14ac:dyDescent="0.25">
      <c r="A4144" s="8"/>
      <c r="C4144" s="5"/>
      <c r="M4144" s="9"/>
    </row>
    <row r="4145" spans="1:13" x14ac:dyDescent="0.25">
      <c r="A4145" s="8"/>
      <c r="C4145" s="5"/>
      <c r="M4145" s="9"/>
    </row>
    <row r="4146" spans="1:13" x14ac:dyDescent="0.25">
      <c r="A4146" s="8"/>
      <c r="C4146" s="5"/>
      <c r="M4146" s="9"/>
    </row>
    <row r="4147" spans="1:13" x14ac:dyDescent="0.25">
      <c r="A4147" s="8"/>
      <c r="C4147" s="5"/>
      <c r="M4147" s="9"/>
    </row>
    <row r="4148" spans="1:13" x14ac:dyDescent="0.25">
      <c r="A4148" s="8"/>
      <c r="C4148" s="5"/>
      <c r="M4148" s="9"/>
    </row>
    <row r="4149" spans="1:13" x14ac:dyDescent="0.25">
      <c r="A4149" s="8"/>
      <c r="C4149" s="5"/>
      <c r="M4149" s="9"/>
    </row>
    <row r="4150" spans="1:13" x14ac:dyDescent="0.25">
      <c r="A4150" s="8"/>
      <c r="C4150" s="5"/>
      <c r="M4150" s="9"/>
    </row>
    <row r="4151" spans="1:13" x14ac:dyDescent="0.25">
      <c r="A4151" s="8"/>
      <c r="C4151" s="5"/>
      <c r="M4151" s="9"/>
    </row>
    <row r="4152" spans="1:13" x14ac:dyDescent="0.25">
      <c r="A4152" s="8"/>
      <c r="C4152" s="5"/>
      <c r="M4152" s="9"/>
    </row>
    <row r="4153" spans="1:13" x14ac:dyDescent="0.25">
      <c r="A4153" s="8"/>
      <c r="C4153" s="5"/>
      <c r="M4153" s="9"/>
    </row>
    <row r="4154" spans="1:13" x14ac:dyDescent="0.25">
      <c r="A4154" s="8"/>
      <c r="C4154" s="5"/>
      <c r="M4154" s="9"/>
    </row>
    <row r="4155" spans="1:13" x14ac:dyDescent="0.25">
      <c r="A4155" s="8"/>
      <c r="C4155" s="5"/>
      <c r="M4155" s="9"/>
    </row>
    <row r="4156" spans="1:13" x14ac:dyDescent="0.25">
      <c r="A4156" s="8"/>
      <c r="C4156" s="5"/>
      <c r="M4156" s="9"/>
    </row>
    <row r="4157" spans="1:13" x14ac:dyDescent="0.25">
      <c r="A4157" s="8"/>
      <c r="C4157" s="5"/>
      <c r="M4157" s="9"/>
    </row>
    <row r="4158" spans="1:13" x14ac:dyDescent="0.25">
      <c r="A4158" s="8"/>
      <c r="C4158" s="5"/>
      <c r="M4158" s="9"/>
    </row>
    <row r="4159" spans="1:13" x14ac:dyDescent="0.25">
      <c r="A4159" s="8"/>
      <c r="C4159" s="5"/>
      <c r="M4159" s="9"/>
    </row>
    <row r="4160" spans="1:13" x14ac:dyDescent="0.25">
      <c r="A4160" s="8"/>
      <c r="C4160" s="5"/>
      <c r="M4160" s="9"/>
    </row>
    <row r="4161" spans="1:13" x14ac:dyDescent="0.25">
      <c r="A4161" s="8"/>
      <c r="C4161" s="5"/>
      <c r="M4161" s="9"/>
    </row>
    <row r="4162" spans="1:13" x14ac:dyDescent="0.25">
      <c r="A4162" s="8"/>
      <c r="C4162" s="5"/>
      <c r="M4162" s="9"/>
    </row>
    <row r="4163" spans="1:13" x14ac:dyDescent="0.25">
      <c r="A4163" s="8"/>
      <c r="C4163" s="5"/>
      <c r="M4163" s="9"/>
    </row>
    <row r="4164" spans="1:13" x14ac:dyDescent="0.25">
      <c r="A4164" s="8"/>
      <c r="C4164" s="5"/>
      <c r="M4164" s="9"/>
    </row>
    <row r="4165" spans="1:13" x14ac:dyDescent="0.25">
      <c r="A4165" s="8"/>
      <c r="C4165" s="5"/>
      <c r="M4165" s="9"/>
    </row>
    <row r="4166" spans="1:13" x14ac:dyDescent="0.25">
      <c r="A4166" s="8"/>
      <c r="C4166" s="5"/>
      <c r="M4166" s="9"/>
    </row>
    <row r="4167" spans="1:13" x14ac:dyDescent="0.25">
      <c r="A4167" s="8"/>
      <c r="C4167" s="5"/>
      <c r="M4167" s="9"/>
    </row>
    <row r="4168" spans="1:13" x14ac:dyDescent="0.25">
      <c r="A4168" s="8"/>
      <c r="C4168" s="5"/>
      <c r="M4168" s="9"/>
    </row>
    <row r="4169" spans="1:13" x14ac:dyDescent="0.25">
      <c r="A4169" s="8"/>
      <c r="C4169" s="5"/>
      <c r="M4169" s="9"/>
    </row>
    <row r="4170" spans="1:13" x14ac:dyDescent="0.25">
      <c r="A4170" s="8"/>
      <c r="C4170" s="5"/>
      <c r="M4170" s="9"/>
    </row>
    <row r="4171" spans="1:13" x14ac:dyDescent="0.25">
      <c r="A4171" s="8"/>
      <c r="C4171" s="5"/>
      <c r="M4171" s="9"/>
    </row>
    <row r="4172" spans="1:13" x14ac:dyDescent="0.25">
      <c r="A4172" s="8"/>
      <c r="C4172" s="5"/>
      <c r="M4172" s="9"/>
    </row>
    <row r="4173" spans="1:13" x14ac:dyDescent="0.25">
      <c r="A4173" s="8"/>
      <c r="C4173" s="5"/>
      <c r="M4173" s="9"/>
    </row>
    <row r="4174" spans="1:13" x14ac:dyDescent="0.25">
      <c r="A4174" s="8"/>
      <c r="C4174" s="5"/>
      <c r="M4174" s="9"/>
    </row>
    <row r="4175" spans="1:13" x14ac:dyDescent="0.25">
      <c r="A4175" s="8"/>
      <c r="C4175" s="5"/>
      <c r="M4175" s="9"/>
    </row>
    <row r="4176" spans="1:13" x14ac:dyDescent="0.25">
      <c r="A4176" s="8"/>
      <c r="C4176" s="5"/>
      <c r="M4176" s="9"/>
    </row>
    <row r="4177" spans="1:13" x14ac:dyDescent="0.25">
      <c r="A4177" s="8"/>
      <c r="C4177" s="5"/>
      <c r="M4177" s="9"/>
    </row>
    <row r="4178" spans="1:13" x14ac:dyDescent="0.25">
      <c r="A4178" s="8"/>
      <c r="C4178" s="5"/>
      <c r="M4178" s="9"/>
    </row>
    <row r="4179" spans="1:13" x14ac:dyDescent="0.25">
      <c r="A4179" s="8"/>
      <c r="C4179" s="5"/>
      <c r="M4179" s="9"/>
    </row>
    <row r="4180" spans="1:13" x14ac:dyDescent="0.25">
      <c r="A4180" s="8"/>
      <c r="C4180" s="5"/>
      <c r="M4180" s="9"/>
    </row>
    <row r="4181" spans="1:13" x14ac:dyDescent="0.25">
      <c r="A4181" s="8"/>
      <c r="C4181" s="5"/>
      <c r="M4181" s="9"/>
    </row>
    <row r="4182" spans="1:13" x14ac:dyDescent="0.25">
      <c r="A4182" s="8"/>
      <c r="C4182" s="5"/>
      <c r="M4182" s="9"/>
    </row>
    <row r="4183" spans="1:13" x14ac:dyDescent="0.25">
      <c r="A4183" s="8"/>
      <c r="C4183" s="5"/>
      <c r="M4183" s="9"/>
    </row>
    <row r="4184" spans="1:13" x14ac:dyDescent="0.25">
      <c r="A4184" s="8"/>
      <c r="C4184" s="5"/>
      <c r="M4184" s="9"/>
    </row>
    <row r="4185" spans="1:13" x14ac:dyDescent="0.25">
      <c r="A4185" s="8"/>
      <c r="C4185" s="5"/>
      <c r="M4185" s="9"/>
    </row>
    <row r="4186" spans="1:13" x14ac:dyDescent="0.25">
      <c r="A4186" s="8"/>
      <c r="C4186" s="5"/>
      <c r="M4186" s="9"/>
    </row>
    <row r="4187" spans="1:13" x14ac:dyDescent="0.25">
      <c r="A4187" s="8"/>
      <c r="C4187" s="5"/>
      <c r="M4187" s="9"/>
    </row>
    <row r="4188" spans="1:13" x14ac:dyDescent="0.25">
      <c r="A4188" s="8"/>
      <c r="C4188" s="5"/>
      <c r="M4188" s="9"/>
    </row>
    <row r="4189" spans="1:13" x14ac:dyDescent="0.25">
      <c r="A4189" s="8"/>
      <c r="C4189" s="5"/>
      <c r="M4189" s="9"/>
    </row>
    <row r="4190" spans="1:13" x14ac:dyDescent="0.25">
      <c r="A4190" s="8"/>
      <c r="C4190" s="5"/>
      <c r="M4190" s="9"/>
    </row>
    <row r="4191" spans="1:13" x14ac:dyDescent="0.25">
      <c r="A4191" s="8"/>
      <c r="C4191" s="5"/>
      <c r="M4191" s="9"/>
    </row>
    <row r="4192" spans="1:13" x14ac:dyDescent="0.25">
      <c r="A4192" s="8"/>
      <c r="C4192" s="5"/>
      <c r="M4192" s="9"/>
    </row>
    <row r="4193" spans="1:13" x14ac:dyDescent="0.25">
      <c r="A4193" s="8"/>
      <c r="C4193" s="5"/>
      <c r="M4193" s="9"/>
    </row>
    <row r="4194" spans="1:13" x14ac:dyDescent="0.25">
      <c r="A4194" s="8"/>
      <c r="C4194" s="5"/>
      <c r="M4194" s="9"/>
    </row>
    <row r="4195" spans="1:13" x14ac:dyDescent="0.25">
      <c r="A4195" s="8"/>
      <c r="C4195" s="5"/>
      <c r="M4195" s="9"/>
    </row>
    <row r="4196" spans="1:13" x14ac:dyDescent="0.25">
      <c r="A4196" s="8"/>
      <c r="C4196" s="5"/>
      <c r="M4196" s="9"/>
    </row>
    <row r="4197" spans="1:13" x14ac:dyDescent="0.25">
      <c r="A4197" s="8"/>
      <c r="C4197" s="5"/>
      <c r="M4197" s="9"/>
    </row>
    <row r="4198" spans="1:13" x14ac:dyDescent="0.25">
      <c r="A4198" s="8"/>
      <c r="C4198" s="5"/>
      <c r="M4198" s="9"/>
    </row>
    <row r="4199" spans="1:13" x14ac:dyDescent="0.25">
      <c r="A4199" s="8"/>
      <c r="C4199" s="5"/>
      <c r="M4199" s="9"/>
    </row>
    <row r="4200" spans="1:13" x14ac:dyDescent="0.25">
      <c r="A4200" s="8"/>
      <c r="C4200" s="5"/>
      <c r="M4200" s="9"/>
    </row>
    <row r="4201" spans="1:13" x14ac:dyDescent="0.25">
      <c r="A4201" s="8"/>
      <c r="C4201" s="5"/>
      <c r="M4201" s="9"/>
    </row>
    <row r="4202" spans="1:13" x14ac:dyDescent="0.25">
      <c r="A4202" s="8"/>
      <c r="C4202" s="5"/>
      <c r="M4202" s="9"/>
    </row>
    <row r="4203" spans="1:13" x14ac:dyDescent="0.25">
      <c r="A4203" s="8"/>
      <c r="C4203" s="5"/>
      <c r="M4203" s="9"/>
    </row>
    <row r="4204" spans="1:13" x14ac:dyDescent="0.25">
      <c r="A4204" s="8"/>
      <c r="C4204" s="5"/>
      <c r="M4204" s="9"/>
    </row>
    <row r="4205" spans="1:13" x14ac:dyDescent="0.25">
      <c r="A4205" s="8"/>
      <c r="C4205" s="5"/>
      <c r="M4205" s="9"/>
    </row>
    <row r="4206" spans="1:13" x14ac:dyDescent="0.25">
      <c r="A4206" s="8"/>
      <c r="C4206" s="5"/>
      <c r="M4206" s="9"/>
    </row>
    <row r="4207" spans="1:13" x14ac:dyDescent="0.25">
      <c r="A4207" s="8"/>
      <c r="C4207" s="5"/>
      <c r="M4207" s="9"/>
    </row>
    <row r="4208" spans="1:13" x14ac:dyDescent="0.25">
      <c r="A4208" s="8"/>
      <c r="C4208" s="5"/>
      <c r="M4208" s="9"/>
    </row>
    <row r="4209" spans="1:13" x14ac:dyDescent="0.25">
      <c r="A4209" s="8"/>
      <c r="C4209" s="5"/>
      <c r="M4209" s="9"/>
    </row>
    <row r="4210" spans="1:13" x14ac:dyDescent="0.25">
      <c r="A4210" s="8"/>
      <c r="C4210" s="5"/>
      <c r="M4210" s="9"/>
    </row>
    <row r="4211" spans="1:13" x14ac:dyDescent="0.25">
      <c r="A4211" s="8"/>
      <c r="C4211" s="5"/>
      <c r="M4211" s="9"/>
    </row>
    <row r="4212" spans="1:13" x14ac:dyDescent="0.25">
      <c r="A4212" s="8"/>
      <c r="C4212" s="5"/>
      <c r="M4212" s="9"/>
    </row>
    <row r="4213" spans="1:13" x14ac:dyDescent="0.25">
      <c r="A4213" s="8"/>
      <c r="C4213" s="5"/>
      <c r="M4213" s="9"/>
    </row>
    <row r="4214" spans="1:13" x14ac:dyDescent="0.25">
      <c r="A4214" s="8"/>
      <c r="C4214" s="5"/>
      <c r="M4214" s="9"/>
    </row>
    <row r="4215" spans="1:13" x14ac:dyDescent="0.25">
      <c r="A4215" s="8"/>
      <c r="C4215" s="5"/>
      <c r="M4215" s="9"/>
    </row>
    <row r="4216" spans="1:13" x14ac:dyDescent="0.25">
      <c r="A4216" s="8"/>
      <c r="C4216" s="5"/>
      <c r="M4216" s="9"/>
    </row>
    <row r="4217" spans="1:13" x14ac:dyDescent="0.25">
      <c r="A4217" s="8"/>
      <c r="C4217" s="5"/>
      <c r="M4217" s="9"/>
    </row>
    <row r="4218" spans="1:13" x14ac:dyDescent="0.25">
      <c r="A4218" s="8"/>
      <c r="C4218" s="5"/>
      <c r="M4218" s="9"/>
    </row>
    <row r="4219" spans="1:13" x14ac:dyDescent="0.25">
      <c r="A4219" s="8"/>
      <c r="C4219" s="5"/>
      <c r="M4219" s="9"/>
    </row>
    <row r="4220" spans="1:13" x14ac:dyDescent="0.25">
      <c r="A4220" s="8"/>
      <c r="C4220" s="5"/>
      <c r="M4220" s="9"/>
    </row>
    <row r="4221" spans="1:13" x14ac:dyDescent="0.25">
      <c r="A4221" s="8"/>
      <c r="C4221" s="5"/>
      <c r="M4221" s="9"/>
    </row>
    <row r="4222" spans="1:13" x14ac:dyDescent="0.25">
      <c r="A4222" s="8"/>
      <c r="C4222" s="5"/>
      <c r="M4222" s="9"/>
    </row>
    <row r="4223" spans="1:13" x14ac:dyDescent="0.25">
      <c r="A4223" s="8"/>
      <c r="C4223" s="5"/>
      <c r="M4223" s="9"/>
    </row>
    <row r="4224" spans="1:13" x14ac:dyDescent="0.25">
      <c r="A4224" s="8"/>
      <c r="C4224" s="5"/>
      <c r="M4224" s="9"/>
    </row>
    <row r="4225" spans="1:13" x14ac:dyDescent="0.25">
      <c r="A4225" s="8"/>
      <c r="C4225" s="5"/>
      <c r="M4225" s="9"/>
    </row>
    <row r="4226" spans="1:13" x14ac:dyDescent="0.25">
      <c r="A4226" s="8"/>
      <c r="C4226" s="5"/>
      <c r="M4226" s="9"/>
    </row>
    <row r="4227" spans="1:13" x14ac:dyDescent="0.25">
      <c r="A4227" s="8"/>
      <c r="C4227" s="5"/>
      <c r="M4227" s="9"/>
    </row>
    <row r="4228" spans="1:13" x14ac:dyDescent="0.25">
      <c r="A4228" s="8"/>
      <c r="C4228" s="5"/>
      <c r="M4228" s="9"/>
    </row>
    <row r="4229" spans="1:13" x14ac:dyDescent="0.25">
      <c r="A4229" s="8"/>
      <c r="C4229" s="5"/>
      <c r="M4229" s="9"/>
    </row>
    <row r="4230" spans="1:13" x14ac:dyDescent="0.25">
      <c r="A4230" s="8"/>
      <c r="C4230" s="5"/>
      <c r="M4230" s="9"/>
    </row>
    <row r="4231" spans="1:13" x14ac:dyDescent="0.25">
      <c r="A4231" s="8"/>
      <c r="C4231" s="5"/>
      <c r="M4231" s="9"/>
    </row>
    <row r="4232" spans="1:13" x14ac:dyDescent="0.25">
      <c r="A4232" s="8"/>
      <c r="C4232" s="5"/>
      <c r="M4232" s="9"/>
    </row>
    <row r="4233" spans="1:13" x14ac:dyDescent="0.25">
      <c r="A4233" s="8"/>
      <c r="C4233" s="5"/>
      <c r="M4233" s="9"/>
    </row>
    <row r="4234" spans="1:13" x14ac:dyDescent="0.25">
      <c r="A4234" s="8"/>
      <c r="C4234" s="5"/>
      <c r="M4234" s="9"/>
    </row>
    <row r="4235" spans="1:13" x14ac:dyDescent="0.25">
      <c r="A4235" s="8"/>
      <c r="C4235" s="5"/>
      <c r="M4235" s="9"/>
    </row>
    <row r="4236" spans="1:13" x14ac:dyDescent="0.25">
      <c r="A4236" s="8"/>
      <c r="C4236" s="5"/>
      <c r="M4236" s="9"/>
    </row>
    <row r="4237" spans="1:13" x14ac:dyDescent="0.25">
      <c r="A4237" s="8"/>
      <c r="C4237" s="5"/>
      <c r="M4237" s="9"/>
    </row>
    <row r="4238" spans="1:13" x14ac:dyDescent="0.25">
      <c r="A4238" s="8"/>
      <c r="C4238" s="5"/>
      <c r="M4238" s="9"/>
    </row>
    <row r="4239" spans="1:13" x14ac:dyDescent="0.25">
      <c r="A4239" s="8"/>
      <c r="C4239" s="5"/>
      <c r="M4239" s="9"/>
    </row>
    <row r="4240" spans="1:13" x14ac:dyDescent="0.25">
      <c r="A4240" s="8"/>
      <c r="C4240" s="5"/>
      <c r="M4240" s="9"/>
    </row>
    <row r="4241" spans="1:13" x14ac:dyDescent="0.25">
      <c r="A4241" s="8"/>
      <c r="C4241" s="5"/>
      <c r="M4241" s="9"/>
    </row>
    <row r="4242" spans="1:13" x14ac:dyDescent="0.25">
      <c r="A4242" s="8"/>
      <c r="C4242" s="5"/>
      <c r="M4242" s="9"/>
    </row>
    <row r="4243" spans="1:13" x14ac:dyDescent="0.25">
      <c r="A4243" s="8"/>
      <c r="C4243" s="5"/>
      <c r="M4243" s="9"/>
    </row>
    <row r="4244" spans="1:13" x14ac:dyDescent="0.25">
      <c r="A4244" s="8"/>
      <c r="C4244" s="5"/>
      <c r="M4244" s="9"/>
    </row>
    <row r="4245" spans="1:13" x14ac:dyDescent="0.25">
      <c r="A4245" s="8"/>
      <c r="C4245" s="5"/>
      <c r="M4245" s="9"/>
    </row>
    <row r="4246" spans="1:13" x14ac:dyDescent="0.25">
      <c r="A4246" s="8"/>
      <c r="C4246" s="5"/>
      <c r="M4246" s="9"/>
    </row>
    <row r="4247" spans="1:13" x14ac:dyDescent="0.25">
      <c r="A4247" s="8"/>
      <c r="C4247" s="5"/>
      <c r="M4247" s="9"/>
    </row>
    <row r="4248" spans="1:13" x14ac:dyDescent="0.25">
      <c r="A4248" s="8"/>
      <c r="C4248" s="5"/>
      <c r="M4248" s="9"/>
    </row>
    <row r="4249" spans="1:13" x14ac:dyDescent="0.25">
      <c r="A4249" s="8"/>
      <c r="C4249" s="5"/>
      <c r="M4249" s="9"/>
    </row>
    <row r="4250" spans="1:13" x14ac:dyDescent="0.25">
      <c r="A4250" s="8"/>
      <c r="C4250" s="5"/>
      <c r="M4250" s="9"/>
    </row>
    <row r="4251" spans="1:13" x14ac:dyDescent="0.25">
      <c r="A4251" s="8"/>
      <c r="C4251" s="5"/>
      <c r="M4251" s="9"/>
    </row>
    <row r="4252" spans="1:13" x14ac:dyDescent="0.25">
      <c r="A4252" s="8"/>
      <c r="C4252" s="5"/>
      <c r="M4252" s="9"/>
    </row>
    <row r="4253" spans="1:13" x14ac:dyDescent="0.25">
      <c r="A4253" s="8"/>
      <c r="C4253" s="5"/>
      <c r="M4253" s="9"/>
    </row>
    <row r="4254" spans="1:13" x14ac:dyDescent="0.25">
      <c r="A4254" s="8"/>
      <c r="C4254" s="5"/>
      <c r="M4254" s="9"/>
    </row>
    <row r="4255" spans="1:13" x14ac:dyDescent="0.25">
      <c r="A4255" s="8"/>
      <c r="C4255" s="5"/>
      <c r="M4255" s="9"/>
    </row>
    <row r="4256" spans="1:13" x14ac:dyDescent="0.25">
      <c r="A4256" s="8"/>
      <c r="C4256" s="5"/>
      <c r="M4256" s="9"/>
    </row>
    <row r="4257" spans="1:13" x14ac:dyDescent="0.25">
      <c r="A4257" s="8"/>
      <c r="C4257" s="5"/>
      <c r="M4257" s="9"/>
    </row>
    <row r="4258" spans="1:13" x14ac:dyDescent="0.25">
      <c r="A4258" s="8"/>
      <c r="C4258" s="5"/>
      <c r="M4258" s="9"/>
    </row>
    <row r="4259" spans="1:13" x14ac:dyDescent="0.25">
      <c r="A4259" s="8"/>
      <c r="C4259" s="5"/>
      <c r="M4259" s="9"/>
    </row>
    <row r="4260" spans="1:13" x14ac:dyDescent="0.25">
      <c r="A4260" s="8"/>
      <c r="C4260" s="5"/>
      <c r="M4260" s="9"/>
    </row>
    <row r="4261" spans="1:13" x14ac:dyDescent="0.25">
      <c r="A4261" s="8"/>
      <c r="C4261" s="5"/>
      <c r="M4261" s="9"/>
    </row>
    <row r="4262" spans="1:13" x14ac:dyDescent="0.25">
      <c r="A4262" s="8"/>
      <c r="C4262" s="5"/>
      <c r="M4262" s="9"/>
    </row>
    <row r="4263" spans="1:13" x14ac:dyDescent="0.25">
      <c r="A4263" s="8"/>
      <c r="C4263" s="5"/>
      <c r="M4263" s="9"/>
    </row>
    <row r="4264" spans="1:13" x14ac:dyDescent="0.25">
      <c r="A4264" s="8"/>
      <c r="C4264" s="5"/>
      <c r="M4264" s="9"/>
    </row>
    <row r="4265" spans="1:13" x14ac:dyDescent="0.25">
      <c r="A4265" s="8"/>
      <c r="C4265" s="5"/>
      <c r="M4265" s="9"/>
    </row>
    <row r="4266" spans="1:13" x14ac:dyDescent="0.25">
      <c r="A4266" s="8"/>
      <c r="C4266" s="5"/>
      <c r="M4266" s="9"/>
    </row>
    <row r="4267" spans="1:13" x14ac:dyDescent="0.25">
      <c r="A4267" s="8"/>
      <c r="C4267" s="5"/>
      <c r="M4267" s="9"/>
    </row>
    <row r="4268" spans="1:13" x14ac:dyDescent="0.25">
      <c r="A4268" s="8"/>
      <c r="C4268" s="5"/>
      <c r="M4268" s="9"/>
    </row>
    <row r="4269" spans="1:13" x14ac:dyDescent="0.25">
      <c r="A4269" s="8"/>
      <c r="C4269" s="5"/>
      <c r="M4269" s="9"/>
    </row>
    <row r="4270" spans="1:13" x14ac:dyDescent="0.25">
      <c r="A4270" s="8"/>
      <c r="C4270" s="5"/>
      <c r="M4270" s="9"/>
    </row>
    <row r="4271" spans="1:13" x14ac:dyDescent="0.25">
      <c r="A4271" s="8"/>
      <c r="C4271" s="5"/>
      <c r="M4271" s="9"/>
    </row>
    <row r="4272" spans="1:13" x14ac:dyDescent="0.25">
      <c r="A4272" s="8"/>
      <c r="C4272" s="5"/>
      <c r="M4272" s="9"/>
    </row>
    <row r="4273" spans="1:13" x14ac:dyDescent="0.25">
      <c r="A4273" s="8"/>
      <c r="C4273" s="5"/>
      <c r="M4273" s="9"/>
    </row>
    <row r="4274" spans="1:13" x14ac:dyDescent="0.25">
      <c r="A4274" s="8"/>
      <c r="C4274" s="5"/>
      <c r="M4274" s="9"/>
    </row>
    <row r="4275" spans="1:13" x14ac:dyDescent="0.25">
      <c r="A4275" s="8"/>
      <c r="C4275" s="5"/>
      <c r="M4275" s="9"/>
    </row>
    <row r="4276" spans="1:13" x14ac:dyDescent="0.25">
      <c r="A4276" s="8"/>
      <c r="C4276" s="5"/>
      <c r="M4276" s="9"/>
    </row>
    <row r="4277" spans="1:13" x14ac:dyDescent="0.25">
      <c r="A4277" s="8"/>
      <c r="C4277" s="5"/>
      <c r="M4277" s="9"/>
    </row>
    <row r="4278" spans="1:13" x14ac:dyDescent="0.25">
      <c r="A4278" s="8"/>
      <c r="C4278" s="5"/>
      <c r="M4278" s="9"/>
    </row>
    <row r="4279" spans="1:13" x14ac:dyDescent="0.25">
      <c r="A4279" s="8"/>
      <c r="C4279" s="5"/>
      <c r="M4279" s="9"/>
    </row>
    <row r="4280" spans="1:13" x14ac:dyDescent="0.25">
      <c r="A4280" s="8"/>
      <c r="C4280" s="5"/>
      <c r="M4280" s="9"/>
    </row>
    <row r="4281" spans="1:13" x14ac:dyDescent="0.25">
      <c r="A4281" s="8"/>
      <c r="C4281" s="5"/>
      <c r="M4281" s="9"/>
    </row>
    <row r="4282" spans="1:13" x14ac:dyDescent="0.25">
      <c r="A4282" s="8"/>
      <c r="C4282" s="5"/>
      <c r="M4282" s="9"/>
    </row>
    <row r="4283" spans="1:13" x14ac:dyDescent="0.25">
      <c r="A4283" s="8"/>
      <c r="C4283" s="5"/>
      <c r="M4283" s="9"/>
    </row>
    <row r="4284" spans="1:13" x14ac:dyDescent="0.25">
      <c r="A4284" s="8"/>
      <c r="C4284" s="5"/>
      <c r="M4284" s="9"/>
    </row>
    <row r="4285" spans="1:13" x14ac:dyDescent="0.25">
      <c r="A4285" s="8"/>
      <c r="C4285" s="5"/>
      <c r="M4285" s="9"/>
    </row>
    <row r="4286" spans="1:13" x14ac:dyDescent="0.25">
      <c r="A4286" s="8"/>
      <c r="C4286" s="5"/>
      <c r="M4286" s="9"/>
    </row>
    <row r="4287" spans="1:13" x14ac:dyDescent="0.25">
      <c r="A4287" s="8"/>
      <c r="C4287" s="5"/>
      <c r="M4287" s="9"/>
    </row>
    <row r="4288" spans="1:13" x14ac:dyDescent="0.25">
      <c r="A4288" s="8"/>
      <c r="C4288" s="5"/>
      <c r="M4288" s="9"/>
    </row>
    <row r="4289" spans="1:13" x14ac:dyDescent="0.25">
      <c r="A4289" s="8"/>
      <c r="C4289" s="5"/>
      <c r="M4289" s="9"/>
    </row>
    <row r="4290" spans="1:13" x14ac:dyDescent="0.25">
      <c r="A4290" s="8"/>
      <c r="C4290" s="5"/>
      <c r="M4290" s="9"/>
    </row>
    <row r="4291" spans="1:13" x14ac:dyDescent="0.25">
      <c r="A4291" s="8"/>
      <c r="C4291" s="5"/>
      <c r="M4291" s="9"/>
    </row>
    <row r="4292" spans="1:13" x14ac:dyDescent="0.25">
      <c r="A4292" s="8"/>
      <c r="C4292" s="5"/>
      <c r="M4292" s="9"/>
    </row>
    <row r="4293" spans="1:13" x14ac:dyDescent="0.25">
      <c r="A4293" s="8"/>
      <c r="C4293" s="5"/>
      <c r="M4293" s="9"/>
    </row>
    <row r="4294" spans="1:13" x14ac:dyDescent="0.25">
      <c r="A4294" s="8"/>
      <c r="C4294" s="5"/>
      <c r="M4294" s="9"/>
    </row>
    <row r="4295" spans="1:13" x14ac:dyDescent="0.25">
      <c r="A4295" s="8"/>
      <c r="C4295" s="5"/>
      <c r="M4295" s="9"/>
    </row>
    <row r="4296" spans="1:13" x14ac:dyDescent="0.25">
      <c r="A4296" s="8"/>
      <c r="C4296" s="5"/>
      <c r="M4296" s="9"/>
    </row>
    <row r="4297" spans="1:13" x14ac:dyDescent="0.25">
      <c r="A4297" s="8"/>
      <c r="C4297" s="5"/>
      <c r="M4297" s="9"/>
    </row>
    <row r="4298" spans="1:13" x14ac:dyDescent="0.25">
      <c r="A4298" s="8"/>
      <c r="C4298" s="5"/>
      <c r="M4298" s="9"/>
    </row>
    <row r="4299" spans="1:13" x14ac:dyDescent="0.25">
      <c r="A4299" s="8"/>
      <c r="C4299" s="5"/>
      <c r="M4299" s="9"/>
    </row>
    <row r="4300" spans="1:13" x14ac:dyDescent="0.25">
      <c r="A4300" s="8"/>
      <c r="C4300" s="5"/>
      <c r="M4300" s="9"/>
    </row>
    <row r="4301" spans="1:13" x14ac:dyDescent="0.25">
      <c r="A4301" s="8"/>
      <c r="C4301" s="5"/>
      <c r="M4301" s="9"/>
    </row>
    <row r="4302" spans="1:13" x14ac:dyDescent="0.25">
      <c r="A4302" s="8"/>
      <c r="C4302" s="5"/>
      <c r="M4302" s="9"/>
    </row>
    <row r="4303" spans="1:13" x14ac:dyDescent="0.25">
      <c r="A4303" s="8"/>
      <c r="C4303" s="5"/>
      <c r="M4303" s="9"/>
    </row>
    <row r="4304" spans="1:13" x14ac:dyDescent="0.25">
      <c r="A4304" s="8"/>
      <c r="C4304" s="5"/>
      <c r="M4304" s="9"/>
    </row>
    <row r="4305" spans="1:13" x14ac:dyDescent="0.25">
      <c r="A4305" s="8"/>
      <c r="C4305" s="5"/>
      <c r="M4305" s="9"/>
    </row>
    <row r="4306" spans="1:13" x14ac:dyDescent="0.25">
      <c r="A4306" s="8"/>
      <c r="C4306" s="5"/>
      <c r="M4306" s="9"/>
    </row>
    <row r="4307" spans="1:13" x14ac:dyDescent="0.25">
      <c r="A4307" s="8"/>
      <c r="C4307" s="5"/>
      <c r="M4307" s="9"/>
    </row>
    <row r="4308" spans="1:13" x14ac:dyDescent="0.25">
      <c r="A4308" s="8"/>
      <c r="C4308" s="5"/>
      <c r="M4308" s="9"/>
    </row>
    <row r="4309" spans="1:13" x14ac:dyDescent="0.25">
      <c r="A4309" s="8"/>
      <c r="C4309" s="5"/>
      <c r="M4309" s="9"/>
    </row>
    <row r="4310" spans="1:13" x14ac:dyDescent="0.25">
      <c r="A4310" s="8"/>
      <c r="C4310" s="5"/>
      <c r="M4310" s="9"/>
    </row>
    <row r="4311" spans="1:13" x14ac:dyDescent="0.25">
      <c r="A4311" s="8"/>
      <c r="C4311" s="5"/>
      <c r="M4311" s="9"/>
    </row>
    <row r="4312" spans="1:13" x14ac:dyDescent="0.25">
      <c r="A4312" s="8"/>
      <c r="C4312" s="5"/>
      <c r="M4312" s="9"/>
    </row>
    <row r="4313" spans="1:13" x14ac:dyDescent="0.25">
      <c r="A4313" s="8"/>
      <c r="C4313" s="5"/>
      <c r="M4313" s="9"/>
    </row>
    <row r="4314" spans="1:13" x14ac:dyDescent="0.25">
      <c r="A4314" s="8"/>
      <c r="C4314" s="5"/>
      <c r="M4314" s="9"/>
    </row>
    <row r="4315" spans="1:13" x14ac:dyDescent="0.25">
      <c r="A4315" s="8"/>
      <c r="C4315" s="5"/>
      <c r="M4315" s="9"/>
    </row>
    <row r="4316" spans="1:13" x14ac:dyDescent="0.25">
      <c r="A4316" s="8"/>
      <c r="C4316" s="5"/>
      <c r="M4316" s="9"/>
    </row>
    <row r="4317" spans="1:13" x14ac:dyDescent="0.25">
      <c r="A4317" s="8"/>
      <c r="C4317" s="5"/>
      <c r="M4317" s="9"/>
    </row>
    <row r="4318" spans="1:13" x14ac:dyDescent="0.25">
      <c r="A4318" s="8"/>
      <c r="C4318" s="5"/>
      <c r="M4318" s="9"/>
    </row>
    <row r="4319" spans="1:13" x14ac:dyDescent="0.25">
      <c r="A4319" s="8"/>
      <c r="C4319" s="5"/>
      <c r="M4319" s="9"/>
    </row>
    <row r="4320" spans="1:13" x14ac:dyDescent="0.25">
      <c r="A4320" s="8"/>
      <c r="C4320" s="5"/>
      <c r="M4320" s="9"/>
    </row>
    <row r="4321" spans="1:13" x14ac:dyDescent="0.25">
      <c r="A4321" s="8"/>
      <c r="C4321" s="5"/>
      <c r="M4321" s="9"/>
    </row>
    <row r="4322" spans="1:13" x14ac:dyDescent="0.25">
      <c r="A4322" s="8"/>
      <c r="C4322" s="5"/>
      <c r="M4322" s="9"/>
    </row>
    <row r="4323" spans="1:13" x14ac:dyDescent="0.25">
      <c r="A4323" s="8"/>
      <c r="C4323" s="5"/>
      <c r="M4323" s="9"/>
    </row>
    <row r="4324" spans="1:13" x14ac:dyDescent="0.25">
      <c r="A4324" s="8"/>
      <c r="C4324" s="5"/>
      <c r="M4324" s="9"/>
    </row>
    <row r="4325" spans="1:13" x14ac:dyDescent="0.25">
      <c r="A4325" s="8"/>
      <c r="C4325" s="5"/>
      <c r="M4325" s="9"/>
    </row>
    <row r="4326" spans="1:13" x14ac:dyDescent="0.25">
      <c r="A4326" s="8"/>
      <c r="C4326" s="5"/>
      <c r="M4326" s="9"/>
    </row>
    <row r="4327" spans="1:13" x14ac:dyDescent="0.25">
      <c r="A4327" s="8"/>
      <c r="C4327" s="5"/>
      <c r="M4327" s="9"/>
    </row>
    <row r="4328" spans="1:13" x14ac:dyDescent="0.25">
      <c r="A4328" s="8"/>
      <c r="C4328" s="5"/>
      <c r="M4328" s="9"/>
    </row>
    <row r="4329" spans="1:13" x14ac:dyDescent="0.25">
      <c r="A4329" s="8"/>
      <c r="C4329" s="5"/>
      <c r="M4329" s="9"/>
    </row>
    <row r="4330" spans="1:13" x14ac:dyDescent="0.25">
      <c r="A4330" s="8"/>
      <c r="C4330" s="5"/>
      <c r="M4330" s="9"/>
    </row>
    <row r="4331" spans="1:13" x14ac:dyDescent="0.25">
      <c r="A4331" s="8"/>
      <c r="C4331" s="5"/>
      <c r="M4331" s="9"/>
    </row>
    <row r="4332" spans="1:13" x14ac:dyDescent="0.25">
      <c r="A4332" s="8"/>
      <c r="C4332" s="5"/>
      <c r="M4332" s="9"/>
    </row>
    <row r="4333" spans="1:13" x14ac:dyDescent="0.25">
      <c r="A4333" s="8"/>
      <c r="C4333" s="5"/>
      <c r="M4333" s="9"/>
    </row>
    <row r="4334" spans="1:13" x14ac:dyDescent="0.25">
      <c r="A4334" s="8"/>
      <c r="C4334" s="5"/>
      <c r="M4334" s="9"/>
    </row>
    <row r="4335" spans="1:13" x14ac:dyDescent="0.25">
      <c r="A4335" s="8"/>
      <c r="C4335" s="5"/>
      <c r="M4335" s="9"/>
    </row>
    <row r="4336" spans="1:13" x14ac:dyDescent="0.25">
      <c r="A4336" s="8"/>
      <c r="C4336" s="5"/>
      <c r="M4336" s="9"/>
    </row>
    <row r="4337" spans="1:13" x14ac:dyDescent="0.25">
      <c r="A4337" s="8"/>
      <c r="C4337" s="5"/>
      <c r="M4337" s="9"/>
    </row>
    <row r="4338" spans="1:13" x14ac:dyDescent="0.25">
      <c r="A4338" s="8"/>
      <c r="C4338" s="5"/>
      <c r="M4338" s="9"/>
    </row>
    <row r="4339" spans="1:13" x14ac:dyDescent="0.25">
      <c r="A4339" s="8"/>
      <c r="C4339" s="5"/>
      <c r="M4339" s="9"/>
    </row>
    <row r="4340" spans="1:13" x14ac:dyDescent="0.25">
      <c r="A4340" s="8"/>
      <c r="C4340" s="5"/>
      <c r="M4340" s="9"/>
    </row>
    <row r="4341" spans="1:13" x14ac:dyDescent="0.25">
      <c r="A4341" s="8"/>
      <c r="C4341" s="5"/>
      <c r="M4341" s="9"/>
    </row>
    <row r="4342" spans="1:13" x14ac:dyDescent="0.25">
      <c r="A4342" s="8"/>
      <c r="C4342" s="5"/>
      <c r="M4342" s="9"/>
    </row>
    <row r="4343" spans="1:13" x14ac:dyDescent="0.25">
      <c r="A4343" s="8"/>
      <c r="C4343" s="5"/>
      <c r="M4343" s="9"/>
    </row>
    <row r="4344" spans="1:13" x14ac:dyDescent="0.25">
      <c r="A4344" s="8"/>
      <c r="C4344" s="5"/>
      <c r="M4344" s="9"/>
    </row>
    <row r="4345" spans="1:13" x14ac:dyDescent="0.25">
      <c r="A4345" s="8"/>
      <c r="C4345" s="5"/>
      <c r="M4345" s="9"/>
    </row>
    <row r="4346" spans="1:13" x14ac:dyDescent="0.25">
      <c r="A4346" s="8"/>
      <c r="C4346" s="5"/>
      <c r="M4346" s="9"/>
    </row>
    <row r="4347" spans="1:13" x14ac:dyDescent="0.25">
      <c r="A4347" s="8"/>
      <c r="C4347" s="5"/>
      <c r="M4347" s="9"/>
    </row>
    <row r="4348" spans="1:13" x14ac:dyDescent="0.25">
      <c r="A4348" s="8"/>
      <c r="C4348" s="5"/>
      <c r="M4348" s="9"/>
    </row>
    <row r="4349" spans="1:13" x14ac:dyDescent="0.25">
      <c r="A4349" s="8"/>
      <c r="C4349" s="5"/>
      <c r="M4349" s="9"/>
    </row>
    <row r="4350" spans="1:13" x14ac:dyDescent="0.25">
      <c r="A4350" s="8"/>
      <c r="C4350" s="5"/>
      <c r="M4350" s="9"/>
    </row>
    <row r="4351" spans="1:13" x14ac:dyDescent="0.25">
      <c r="A4351" s="8"/>
      <c r="C4351" s="5"/>
      <c r="M4351" s="9"/>
    </row>
    <row r="4352" spans="1:13" x14ac:dyDescent="0.25">
      <c r="A4352" s="8"/>
      <c r="C4352" s="5"/>
      <c r="M4352" s="9"/>
    </row>
    <row r="4353" spans="1:13" x14ac:dyDescent="0.25">
      <c r="A4353" s="8"/>
      <c r="C4353" s="5"/>
      <c r="M4353" s="9"/>
    </row>
    <row r="4354" spans="1:13" x14ac:dyDescent="0.25">
      <c r="A4354" s="8"/>
      <c r="C4354" s="5"/>
      <c r="M4354" s="9"/>
    </row>
    <row r="4355" spans="1:13" x14ac:dyDescent="0.25">
      <c r="A4355" s="8"/>
      <c r="C4355" s="5"/>
      <c r="M4355" s="9"/>
    </row>
    <row r="4356" spans="1:13" x14ac:dyDescent="0.25">
      <c r="A4356" s="8"/>
      <c r="C4356" s="5"/>
      <c r="M4356" s="9"/>
    </row>
    <row r="4357" spans="1:13" x14ac:dyDescent="0.25">
      <c r="A4357" s="8"/>
      <c r="C4357" s="5"/>
      <c r="M4357" s="9"/>
    </row>
    <row r="4358" spans="1:13" x14ac:dyDescent="0.25">
      <c r="A4358" s="8"/>
      <c r="C4358" s="5"/>
      <c r="M4358" s="9"/>
    </row>
    <row r="4359" spans="1:13" x14ac:dyDescent="0.25">
      <c r="A4359" s="8"/>
      <c r="C4359" s="5"/>
      <c r="M4359" s="9"/>
    </row>
    <row r="4360" spans="1:13" x14ac:dyDescent="0.25">
      <c r="A4360" s="8"/>
      <c r="C4360" s="5"/>
      <c r="M4360" s="9"/>
    </row>
    <row r="4361" spans="1:13" x14ac:dyDescent="0.25">
      <c r="A4361" s="8"/>
      <c r="C4361" s="5"/>
      <c r="M4361" s="9"/>
    </row>
    <row r="4362" spans="1:13" x14ac:dyDescent="0.25">
      <c r="A4362" s="8"/>
      <c r="C4362" s="5"/>
      <c r="M4362" s="9"/>
    </row>
    <row r="4363" spans="1:13" x14ac:dyDescent="0.25">
      <c r="A4363" s="8"/>
      <c r="C4363" s="5"/>
      <c r="M4363" s="9"/>
    </row>
    <row r="4364" spans="1:13" x14ac:dyDescent="0.25">
      <c r="A4364" s="8"/>
      <c r="C4364" s="5"/>
      <c r="M4364" s="9"/>
    </row>
    <row r="4365" spans="1:13" x14ac:dyDescent="0.25">
      <c r="A4365" s="8"/>
      <c r="C4365" s="5"/>
      <c r="M4365" s="9"/>
    </row>
    <row r="4366" spans="1:13" x14ac:dyDescent="0.25">
      <c r="A4366" s="8"/>
      <c r="C4366" s="5"/>
      <c r="M4366" s="9"/>
    </row>
    <row r="4367" spans="1:13" x14ac:dyDescent="0.25">
      <c r="A4367" s="8"/>
      <c r="C4367" s="5"/>
      <c r="M4367" s="9"/>
    </row>
    <row r="4368" spans="1:13" x14ac:dyDescent="0.25">
      <c r="A4368" s="8"/>
      <c r="C4368" s="5"/>
      <c r="M4368" s="9"/>
    </row>
    <row r="4369" spans="1:13" x14ac:dyDescent="0.25">
      <c r="A4369" s="8"/>
      <c r="C4369" s="5"/>
      <c r="M4369" s="9"/>
    </row>
    <row r="4370" spans="1:13" x14ac:dyDescent="0.25">
      <c r="A4370" s="8"/>
      <c r="C4370" s="5"/>
      <c r="M4370" s="9"/>
    </row>
    <row r="4371" spans="1:13" x14ac:dyDescent="0.25">
      <c r="A4371" s="8"/>
      <c r="C4371" s="5"/>
      <c r="M4371" s="9"/>
    </row>
    <row r="4372" spans="1:13" x14ac:dyDescent="0.25">
      <c r="A4372" s="8"/>
      <c r="C4372" s="5"/>
      <c r="M4372" s="9"/>
    </row>
    <row r="4373" spans="1:13" x14ac:dyDescent="0.25">
      <c r="A4373" s="8"/>
      <c r="C4373" s="5"/>
      <c r="M4373" s="9"/>
    </row>
    <row r="4374" spans="1:13" x14ac:dyDescent="0.25">
      <c r="A4374" s="8"/>
      <c r="C4374" s="5"/>
      <c r="M4374" s="9"/>
    </row>
    <row r="4375" spans="1:13" x14ac:dyDescent="0.25">
      <c r="A4375" s="8"/>
      <c r="C4375" s="5"/>
      <c r="M4375" s="9"/>
    </row>
    <row r="4376" spans="1:13" x14ac:dyDescent="0.25">
      <c r="A4376" s="8"/>
      <c r="C4376" s="5"/>
      <c r="M4376" s="9"/>
    </row>
    <row r="4377" spans="1:13" x14ac:dyDescent="0.25">
      <c r="A4377" s="8"/>
      <c r="C4377" s="5"/>
      <c r="M4377" s="9"/>
    </row>
    <row r="4378" spans="1:13" x14ac:dyDescent="0.25">
      <c r="A4378" s="8"/>
      <c r="C4378" s="5"/>
      <c r="M4378" s="9"/>
    </row>
    <row r="4379" spans="1:13" x14ac:dyDescent="0.25">
      <c r="A4379" s="8"/>
      <c r="C4379" s="5"/>
      <c r="M4379" s="9"/>
    </row>
    <row r="4380" spans="1:13" x14ac:dyDescent="0.25">
      <c r="A4380" s="8"/>
      <c r="C4380" s="5"/>
      <c r="M4380" s="9"/>
    </row>
    <row r="4381" spans="1:13" x14ac:dyDescent="0.25">
      <c r="A4381" s="8"/>
      <c r="C4381" s="5"/>
      <c r="M4381" s="9"/>
    </row>
    <row r="4382" spans="1:13" x14ac:dyDescent="0.25">
      <c r="A4382" s="8"/>
      <c r="C4382" s="5"/>
      <c r="M4382" s="9"/>
    </row>
    <row r="4383" spans="1:13" x14ac:dyDescent="0.25">
      <c r="A4383" s="8"/>
      <c r="C4383" s="5"/>
      <c r="M4383" s="9"/>
    </row>
    <row r="4384" spans="1:13" x14ac:dyDescent="0.25">
      <c r="A4384" s="8"/>
      <c r="C4384" s="5"/>
      <c r="M4384" s="9"/>
    </row>
    <row r="4385" spans="1:13" x14ac:dyDescent="0.25">
      <c r="A4385" s="8"/>
      <c r="C4385" s="5"/>
      <c r="M4385" s="9"/>
    </row>
    <row r="4386" spans="1:13" x14ac:dyDescent="0.25">
      <c r="A4386" s="8"/>
      <c r="C4386" s="5"/>
      <c r="M4386" s="9"/>
    </row>
    <row r="4387" spans="1:13" x14ac:dyDescent="0.25">
      <c r="A4387" s="8"/>
      <c r="C4387" s="5"/>
      <c r="M4387" s="9"/>
    </row>
    <row r="4388" spans="1:13" x14ac:dyDescent="0.25">
      <c r="A4388" s="8"/>
      <c r="C4388" s="5"/>
      <c r="M4388" s="9"/>
    </row>
    <row r="4389" spans="1:13" x14ac:dyDescent="0.25">
      <c r="A4389" s="8"/>
      <c r="C4389" s="5"/>
      <c r="M4389" s="9"/>
    </row>
    <row r="4390" spans="1:13" x14ac:dyDescent="0.25">
      <c r="A4390" s="8"/>
      <c r="C4390" s="5"/>
      <c r="M4390" s="9"/>
    </row>
    <row r="4391" spans="1:13" x14ac:dyDescent="0.25">
      <c r="A4391" s="8"/>
      <c r="C4391" s="5"/>
      <c r="M4391" s="9"/>
    </row>
    <row r="4392" spans="1:13" x14ac:dyDescent="0.25">
      <c r="A4392" s="8"/>
      <c r="C4392" s="5"/>
      <c r="M4392" s="9"/>
    </row>
    <row r="4393" spans="1:13" x14ac:dyDescent="0.25">
      <c r="A4393" s="8"/>
      <c r="C4393" s="5"/>
      <c r="M4393" s="9"/>
    </row>
    <row r="4394" spans="1:13" x14ac:dyDescent="0.25">
      <c r="A4394" s="8"/>
      <c r="C4394" s="5"/>
      <c r="M4394" s="9"/>
    </row>
    <row r="4395" spans="1:13" x14ac:dyDescent="0.25">
      <c r="A4395" s="8"/>
      <c r="C4395" s="5"/>
      <c r="M4395" s="9"/>
    </row>
    <row r="4396" spans="1:13" x14ac:dyDescent="0.25">
      <c r="A4396" s="8"/>
      <c r="C4396" s="5"/>
      <c r="M4396" s="9"/>
    </row>
    <row r="4397" spans="1:13" x14ac:dyDescent="0.25">
      <c r="A4397" s="8"/>
      <c r="C4397" s="5"/>
      <c r="M4397" s="9"/>
    </row>
    <row r="4398" spans="1:13" x14ac:dyDescent="0.25">
      <c r="A4398" s="8"/>
      <c r="C4398" s="5"/>
      <c r="M4398" s="9"/>
    </row>
    <row r="4399" spans="1:13" x14ac:dyDescent="0.25">
      <c r="A4399" s="8"/>
      <c r="C4399" s="5"/>
      <c r="M4399" s="9"/>
    </row>
    <row r="4400" spans="1:13" x14ac:dyDescent="0.25">
      <c r="A4400" s="8"/>
      <c r="C4400" s="5"/>
      <c r="M4400" s="9"/>
    </row>
    <row r="4401" spans="1:13" x14ac:dyDescent="0.25">
      <c r="A4401" s="8"/>
      <c r="C4401" s="5"/>
      <c r="M4401" s="9"/>
    </row>
    <row r="4402" spans="1:13" x14ac:dyDescent="0.25">
      <c r="A4402" s="8"/>
      <c r="C4402" s="5"/>
      <c r="M4402" s="9"/>
    </row>
    <row r="4403" spans="1:13" x14ac:dyDescent="0.25">
      <c r="A4403" s="8"/>
      <c r="C4403" s="5"/>
      <c r="M4403" s="9"/>
    </row>
    <row r="4404" spans="1:13" x14ac:dyDescent="0.25">
      <c r="A4404" s="8"/>
      <c r="C4404" s="5"/>
      <c r="M4404" s="9"/>
    </row>
    <row r="4405" spans="1:13" x14ac:dyDescent="0.25">
      <c r="A4405" s="8"/>
      <c r="C4405" s="5"/>
      <c r="M4405" s="9"/>
    </row>
    <row r="4406" spans="1:13" x14ac:dyDescent="0.25">
      <c r="A4406" s="8"/>
      <c r="C4406" s="5"/>
      <c r="M4406" s="9"/>
    </row>
    <row r="4407" spans="1:13" x14ac:dyDescent="0.25">
      <c r="A4407" s="8"/>
      <c r="C4407" s="5"/>
      <c r="M4407" s="9"/>
    </row>
    <row r="4408" spans="1:13" x14ac:dyDescent="0.25">
      <c r="A4408" s="8"/>
      <c r="C4408" s="5"/>
      <c r="M4408" s="9"/>
    </row>
    <row r="4409" spans="1:13" x14ac:dyDescent="0.25">
      <c r="A4409" s="8"/>
      <c r="C4409" s="5"/>
      <c r="M4409" s="9"/>
    </row>
    <row r="4410" spans="1:13" x14ac:dyDescent="0.25">
      <c r="A4410" s="8"/>
      <c r="C4410" s="5"/>
      <c r="M4410" s="9"/>
    </row>
    <row r="4411" spans="1:13" x14ac:dyDescent="0.25">
      <c r="A4411" s="8"/>
      <c r="C4411" s="5"/>
      <c r="M4411" s="9"/>
    </row>
    <row r="4412" spans="1:13" x14ac:dyDescent="0.25">
      <c r="A4412" s="8"/>
      <c r="C4412" s="5"/>
      <c r="M4412" s="9"/>
    </row>
    <row r="4413" spans="1:13" x14ac:dyDescent="0.25">
      <c r="A4413" s="8"/>
      <c r="C4413" s="5"/>
      <c r="M4413" s="9"/>
    </row>
    <row r="4414" spans="1:13" x14ac:dyDescent="0.25">
      <c r="A4414" s="8"/>
      <c r="C4414" s="5"/>
      <c r="M4414" s="9"/>
    </row>
    <row r="4415" spans="1:13" x14ac:dyDescent="0.25">
      <c r="A4415" s="8"/>
      <c r="C4415" s="5"/>
      <c r="M4415" s="9"/>
    </row>
    <row r="4416" spans="1:13" x14ac:dyDescent="0.25">
      <c r="A4416" s="8"/>
      <c r="C4416" s="5"/>
      <c r="M4416" s="9"/>
    </row>
    <row r="4417" spans="1:13" x14ac:dyDescent="0.25">
      <c r="A4417" s="8"/>
      <c r="C4417" s="5"/>
      <c r="M4417" s="9"/>
    </row>
    <row r="4418" spans="1:13" x14ac:dyDescent="0.25">
      <c r="A4418" s="8"/>
      <c r="C4418" s="5"/>
      <c r="M4418" s="9"/>
    </row>
    <row r="4419" spans="1:13" x14ac:dyDescent="0.25">
      <c r="A4419" s="8"/>
      <c r="C4419" s="5"/>
      <c r="M4419" s="9"/>
    </row>
    <row r="4420" spans="1:13" x14ac:dyDescent="0.25">
      <c r="A4420" s="8"/>
      <c r="C4420" s="5"/>
      <c r="M4420" s="9"/>
    </row>
    <row r="4421" spans="1:13" x14ac:dyDescent="0.25">
      <c r="A4421" s="8"/>
      <c r="C4421" s="5"/>
      <c r="M4421" s="9"/>
    </row>
    <row r="4422" spans="1:13" x14ac:dyDescent="0.25">
      <c r="A4422" s="8"/>
      <c r="C4422" s="5"/>
      <c r="M4422" s="9"/>
    </row>
    <row r="4423" spans="1:13" x14ac:dyDescent="0.25">
      <c r="A4423" s="8"/>
      <c r="C4423" s="5"/>
      <c r="M4423" s="9"/>
    </row>
    <row r="4424" spans="1:13" x14ac:dyDescent="0.25">
      <c r="A4424" s="8"/>
      <c r="C4424" s="5"/>
      <c r="M4424" s="9"/>
    </row>
    <row r="4425" spans="1:13" x14ac:dyDescent="0.25">
      <c r="A4425" s="8"/>
      <c r="C4425" s="5"/>
      <c r="M4425" s="9"/>
    </row>
    <row r="4426" spans="1:13" x14ac:dyDescent="0.25">
      <c r="A4426" s="8"/>
      <c r="C4426" s="5"/>
      <c r="M4426" s="9"/>
    </row>
    <row r="4427" spans="1:13" x14ac:dyDescent="0.25">
      <c r="A4427" s="8"/>
      <c r="C4427" s="5"/>
      <c r="M4427" s="9"/>
    </row>
    <row r="4428" spans="1:13" x14ac:dyDescent="0.25">
      <c r="A4428" s="8"/>
      <c r="C4428" s="5"/>
      <c r="M4428" s="9"/>
    </row>
    <row r="4429" spans="1:13" x14ac:dyDescent="0.25">
      <c r="A4429" s="8"/>
      <c r="C4429" s="5"/>
      <c r="M4429" s="9"/>
    </row>
    <row r="4430" spans="1:13" x14ac:dyDescent="0.25">
      <c r="A4430" s="8"/>
      <c r="C4430" s="5"/>
      <c r="M4430" s="9"/>
    </row>
    <row r="4431" spans="1:13" x14ac:dyDescent="0.25">
      <c r="A4431" s="8"/>
      <c r="C4431" s="5"/>
      <c r="M4431" s="9"/>
    </row>
    <row r="4432" spans="1:13" x14ac:dyDescent="0.25">
      <c r="A4432" s="8"/>
      <c r="C4432" s="5"/>
      <c r="M4432" s="9"/>
    </row>
    <row r="4433" spans="1:13" x14ac:dyDescent="0.25">
      <c r="A4433" s="8"/>
      <c r="C4433" s="5"/>
      <c r="M4433" s="9"/>
    </row>
    <row r="4434" spans="1:13" x14ac:dyDescent="0.25">
      <c r="A4434" s="8"/>
      <c r="C4434" s="5"/>
      <c r="M4434" s="9"/>
    </row>
    <row r="4435" spans="1:13" x14ac:dyDescent="0.25">
      <c r="A4435" s="8"/>
      <c r="C4435" s="5"/>
      <c r="M4435" s="9"/>
    </row>
    <row r="4436" spans="1:13" x14ac:dyDescent="0.25">
      <c r="A4436" s="8"/>
      <c r="C4436" s="5"/>
      <c r="M4436" s="9"/>
    </row>
    <row r="4437" spans="1:13" x14ac:dyDescent="0.25">
      <c r="A4437" s="8"/>
      <c r="C4437" s="5"/>
      <c r="M4437" s="9"/>
    </row>
    <row r="4438" spans="1:13" x14ac:dyDescent="0.25">
      <c r="A4438" s="8"/>
      <c r="C4438" s="5"/>
      <c r="M4438" s="9"/>
    </row>
    <row r="4439" spans="1:13" x14ac:dyDescent="0.25">
      <c r="A4439" s="8"/>
      <c r="C4439" s="5"/>
      <c r="M4439" s="9"/>
    </row>
    <row r="4440" spans="1:13" x14ac:dyDescent="0.25">
      <c r="A4440" s="8"/>
      <c r="C4440" s="5"/>
      <c r="M4440" s="9"/>
    </row>
    <row r="4441" spans="1:13" x14ac:dyDescent="0.25">
      <c r="A4441" s="8"/>
      <c r="C4441" s="5"/>
      <c r="M4441" s="9"/>
    </row>
    <row r="4442" spans="1:13" x14ac:dyDescent="0.25">
      <c r="A4442" s="8"/>
      <c r="C4442" s="5"/>
      <c r="M4442" s="9"/>
    </row>
    <row r="4443" spans="1:13" x14ac:dyDescent="0.25">
      <c r="A4443" s="8"/>
      <c r="C4443" s="5"/>
      <c r="M4443" s="9"/>
    </row>
    <row r="4444" spans="1:13" x14ac:dyDescent="0.25">
      <c r="A4444" s="8"/>
      <c r="C4444" s="5"/>
      <c r="M4444" s="9"/>
    </row>
    <row r="4445" spans="1:13" x14ac:dyDescent="0.25">
      <c r="A4445" s="8"/>
      <c r="C4445" s="5"/>
      <c r="M4445" s="9"/>
    </row>
    <row r="4446" spans="1:13" x14ac:dyDescent="0.25">
      <c r="A4446" s="8"/>
      <c r="C4446" s="5"/>
      <c r="M4446" s="9"/>
    </row>
    <row r="4447" spans="1:13" x14ac:dyDescent="0.25">
      <c r="A4447" s="8"/>
      <c r="C4447" s="5"/>
      <c r="M4447" s="9"/>
    </row>
    <row r="4448" spans="1:13" x14ac:dyDescent="0.25">
      <c r="A4448" s="8"/>
      <c r="C4448" s="5"/>
      <c r="M4448" s="9"/>
    </row>
    <row r="4449" spans="1:13" x14ac:dyDescent="0.25">
      <c r="A4449" s="8"/>
      <c r="C4449" s="5"/>
      <c r="M4449" s="9"/>
    </row>
    <row r="4450" spans="1:13" x14ac:dyDescent="0.25">
      <c r="A4450" s="8"/>
      <c r="C4450" s="5"/>
      <c r="M4450" s="9"/>
    </row>
    <row r="4451" spans="1:13" x14ac:dyDescent="0.25">
      <c r="A4451" s="8"/>
      <c r="C4451" s="5"/>
      <c r="M4451" s="9"/>
    </row>
    <row r="4452" spans="1:13" x14ac:dyDescent="0.25">
      <c r="A4452" s="8"/>
      <c r="C4452" s="5"/>
      <c r="M4452" s="9"/>
    </row>
    <row r="4453" spans="1:13" x14ac:dyDescent="0.25">
      <c r="A4453" s="8"/>
      <c r="C4453" s="5"/>
      <c r="M4453" s="9"/>
    </row>
    <row r="4454" spans="1:13" x14ac:dyDescent="0.25">
      <c r="A4454" s="8"/>
      <c r="C4454" s="5"/>
      <c r="M4454" s="9"/>
    </row>
    <row r="4455" spans="1:13" x14ac:dyDescent="0.25">
      <c r="A4455" s="8"/>
      <c r="C4455" s="5"/>
      <c r="M4455" s="9"/>
    </row>
    <row r="4456" spans="1:13" x14ac:dyDescent="0.25">
      <c r="A4456" s="8"/>
      <c r="C4456" s="5"/>
      <c r="M4456" s="9"/>
    </row>
    <row r="4457" spans="1:13" x14ac:dyDescent="0.25">
      <c r="A4457" s="8"/>
      <c r="C4457" s="5"/>
      <c r="M4457" s="9"/>
    </row>
    <row r="4458" spans="1:13" x14ac:dyDescent="0.25">
      <c r="A4458" s="8"/>
      <c r="C4458" s="5"/>
      <c r="M4458" s="9"/>
    </row>
    <row r="4459" spans="1:13" x14ac:dyDescent="0.25">
      <c r="A4459" s="8"/>
      <c r="C4459" s="5"/>
      <c r="M4459" s="9"/>
    </row>
    <row r="4460" spans="1:13" x14ac:dyDescent="0.25">
      <c r="A4460" s="8"/>
      <c r="C4460" s="5"/>
      <c r="M4460" s="9"/>
    </row>
    <row r="4461" spans="1:13" x14ac:dyDescent="0.25">
      <c r="A4461" s="8"/>
      <c r="C4461" s="5"/>
      <c r="M4461" s="9"/>
    </row>
    <row r="4462" spans="1:13" x14ac:dyDescent="0.25">
      <c r="A4462" s="8"/>
      <c r="C4462" s="5"/>
      <c r="M4462" s="9"/>
    </row>
    <row r="4463" spans="1:13" x14ac:dyDescent="0.25">
      <c r="A4463" s="8"/>
      <c r="C4463" s="5"/>
      <c r="M4463" s="9"/>
    </row>
    <row r="4464" spans="1:13" x14ac:dyDescent="0.25">
      <c r="A4464" s="8"/>
      <c r="C4464" s="5"/>
      <c r="M4464" s="9"/>
    </row>
    <row r="4465" spans="1:13" x14ac:dyDescent="0.25">
      <c r="A4465" s="8"/>
      <c r="C4465" s="5"/>
      <c r="M4465" s="9"/>
    </row>
    <row r="4466" spans="1:13" x14ac:dyDescent="0.25">
      <c r="A4466" s="8"/>
      <c r="C4466" s="5"/>
      <c r="M4466" s="9"/>
    </row>
    <row r="4467" spans="1:13" x14ac:dyDescent="0.25">
      <c r="A4467" s="8"/>
      <c r="C4467" s="5"/>
      <c r="M4467" s="9"/>
    </row>
    <row r="4468" spans="1:13" x14ac:dyDescent="0.25">
      <c r="A4468" s="8"/>
      <c r="C4468" s="5"/>
      <c r="M4468" s="9"/>
    </row>
    <row r="4469" spans="1:13" x14ac:dyDescent="0.25">
      <c r="A4469" s="8"/>
      <c r="C4469" s="5"/>
      <c r="M4469" s="9"/>
    </row>
    <row r="4470" spans="1:13" x14ac:dyDescent="0.25">
      <c r="A4470" s="8"/>
      <c r="C4470" s="5"/>
      <c r="M4470" s="9"/>
    </row>
    <row r="4471" spans="1:13" x14ac:dyDescent="0.25">
      <c r="A4471" s="8"/>
      <c r="C4471" s="5"/>
      <c r="M4471" s="9"/>
    </row>
    <row r="4472" spans="1:13" x14ac:dyDescent="0.25">
      <c r="A4472" s="8"/>
      <c r="C4472" s="5"/>
      <c r="M4472" s="9"/>
    </row>
    <row r="4473" spans="1:13" x14ac:dyDescent="0.25">
      <c r="A4473" s="8"/>
      <c r="C4473" s="5"/>
      <c r="M4473" s="9"/>
    </row>
    <row r="4474" spans="1:13" x14ac:dyDescent="0.25">
      <c r="A4474" s="8"/>
      <c r="C4474" s="5"/>
      <c r="M4474" s="9"/>
    </row>
    <row r="4475" spans="1:13" x14ac:dyDescent="0.25">
      <c r="A4475" s="8"/>
      <c r="C4475" s="5"/>
      <c r="M4475" s="9"/>
    </row>
    <row r="4476" spans="1:13" x14ac:dyDescent="0.25">
      <c r="A4476" s="8"/>
      <c r="C4476" s="5"/>
      <c r="M4476" s="9"/>
    </row>
    <row r="4477" spans="1:13" x14ac:dyDescent="0.25">
      <c r="A4477" s="8"/>
      <c r="C4477" s="5"/>
      <c r="M4477" s="9"/>
    </row>
    <row r="4478" spans="1:13" x14ac:dyDescent="0.25">
      <c r="A4478" s="8"/>
      <c r="C4478" s="5"/>
      <c r="M4478" s="9"/>
    </row>
    <row r="4479" spans="1:13" x14ac:dyDescent="0.25">
      <c r="A4479" s="8"/>
      <c r="C4479" s="5"/>
      <c r="M4479" s="9"/>
    </row>
    <row r="4480" spans="1:13" x14ac:dyDescent="0.25">
      <c r="A4480" s="8"/>
      <c r="C4480" s="5"/>
      <c r="M4480" s="9"/>
    </row>
    <row r="4481" spans="1:13" x14ac:dyDescent="0.25">
      <c r="A4481" s="8"/>
      <c r="C4481" s="5"/>
      <c r="M4481" s="9"/>
    </row>
    <row r="4482" spans="1:13" x14ac:dyDescent="0.25">
      <c r="A4482" s="8"/>
      <c r="C4482" s="5"/>
      <c r="M4482" s="9"/>
    </row>
    <row r="4483" spans="1:13" x14ac:dyDescent="0.25">
      <c r="A4483" s="8"/>
      <c r="C4483" s="5"/>
      <c r="M4483" s="9"/>
    </row>
    <row r="4484" spans="1:13" x14ac:dyDescent="0.25">
      <c r="A4484" s="8"/>
      <c r="C4484" s="5"/>
      <c r="M4484" s="9"/>
    </row>
    <row r="4485" spans="1:13" x14ac:dyDescent="0.25">
      <c r="A4485" s="8"/>
      <c r="C4485" s="5"/>
      <c r="M4485" s="9"/>
    </row>
    <row r="4486" spans="1:13" x14ac:dyDescent="0.25">
      <c r="A4486" s="8"/>
      <c r="C4486" s="5"/>
      <c r="M4486" s="9"/>
    </row>
    <row r="4487" spans="1:13" x14ac:dyDescent="0.25">
      <c r="A4487" s="8"/>
      <c r="C4487" s="5"/>
      <c r="M4487" s="9"/>
    </row>
    <row r="4488" spans="1:13" x14ac:dyDescent="0.25">
      <c r="A4488" s="8"/>
      <c r="C4488" s="5"/>
      <c r="M4488" s="9"/>
    </row>
    <row r="4489" spans="1:13" x14ac:dyDescent="0.25">
      <c r="A4489" s="8"/>
      <c r="C4489" s="5"/>
      <c r="M4489" s="9"/>
    </row>
    <row r="4490" spans="1:13" x14ac:dyDescent="0.25">
      <c r="A4490" s="8"/>
      <c r="C4490" s="5"/>
      <c r="M4490" s="9"/>
    </row>
    <row r="4491" spans="1:13" x14ac:dyDescent="0.25">
      <c r="A4491" s="8"/>
      <c r="C4491" s="5"/>
      <c r="M4491" s="9"/>
    </row>
    <row r="4492" spans="1:13" x14ac:dyDescent="0.25">
      <c r="A4492" s="8"/>
      <c r="C4492" s="5"/>
      <c r="M4492" s="9"/>
    </row>
    <row r="4493" spans="1:13" x14ac:dyDescent="0.25">
      <c r="A4493" s="8"/>
      <c r="C4493" s="5"/>
      <c r="M4493" s="9"/>
    </row>
    <row r="4494" spans="1:13" x14ac:dyDescent="0.25">
      <c r="A4494" s="8"/>
      <c r="C4494" s="5"/>
      <c r="M4494" s="9"/>
    </row>
    <row r="4495" spans="1:13" x14ac:dyDescent="0.25">
      <c r="A4495" s="8"/>
      <c r="C4495" s="5"/>
      <c r="M4495" s="9"/>
    </row>
    <row r="4496" spans="1:13" x14ac:dyDescent="0.25">
      <c r="A4496" s="8"/>
      <c r="C4496" s="5"/>
      <c r="M4496" s="9"/>
    </row>
    <row r="4497" spans="1:13" x14ac:dyDescent="0.25">
      <c r="A4497" s="8"/>
      <c r="C4497" s="5"/>
      <c r="M4497" s="9"/>
    </row>
    <row r="4498" spans="1:13" x14ac:dyDescent="0.25">
      <c r="A4498" s="8"/>
      <c r="C4498" s="5"/>
      <c r="M4498" s="9"/>
    </row>
    <row r="4499" spans="1:13" x14ac:dyDescent="0.25">
      <c r="A4499" s="8"/>
      <c r="C4499" s="5"/>
      <c r="M4499" s="9"/>
    </row>
    <row r="4500" spans="1:13" x14ac:dyDescent="0.25">
      <c r="A4500" s="8"/>
      <c r="C4500" s="5"/>
      <c r="M4500" s="9"/>
    </row>
    <row r="4501" spans="1:13" x14ac:dyDescent="0.25">
      <c r="A4501" s="8"/>
      <c r="C4501" s="5"/>
      <c r="M4501" s="9"/>
    </row>
    <row r="4502" spans="1:13" x14ac:dyDescent="0.25">
      <c r="A4502" s="8"/>
      <c r="C4502" s="5"/>
      <c r="M4502" s="9"/>
    </row>
    <row r="4503" spans="1:13" x14ac:dyDescent="0.25">
      <c r="A4503" s="8"/>
      <c r="C4503" s="5"/>
      <c r="M4503" s="9"/>
    </row>
    <row r="4504" spans="1:13" x14ac:dyDescent="0.25">
      <c r="A4504" s="8"/>
      <c r="C4504" s="5"/>
      <c r="M4504" s="9"/>
    </row>
    <row r="4505" spans="1:13" x14ac:dyDescent="0.25">
      <c r="A4505" s="8"/>
      <c r="C4505" s="5"/>
      <c r="M4505" s="9"/>
    </row>
    <row r="4506" spans="1:13" x14ac:dyDescent="0.25">
      <c r="A4506" s="8"/>
      <c r="C4506" s="5"/>
      <c r="M4506" s="9"/>
    </row>
    <row r="4507" spans="1:13" x14ac:dyDescent="0.25">
      <c r="A4507" s="8"/>
      <c r="C4507" s="5"/>
      <c r="M4507" s="9"/>
    </row>
    <row r="4508" spans="1:13" x14ac:dyDescent="0.25">
      <c r="A4508" s="8"/>
      <c r="C4508" s="5"/>
      <c r="M4508" s="9"/>
    </row>
    <row r="4509" spans="1:13" x14ac:dyDescent="0.25">
      <c r="A4509" s="8"/>
      <c r="C4509" s="5"/>
      <c r="M4509" s="9"/>
    </row>
    <row r="4510" spans="1:13" x14ac:dyDescent="0.25">
      <c r="A4510" s="8"/>
      <c r="C4510" s="5"/>
      <c r="M4510" s="9"/>
    </row>
    <row r="4511" spans="1:13" x14ac:dyDescent="0.25">
      <c r="A4511" s="8"/>
      <c r="C4511" s="5"/>
      <c r="M4511" s="9"/>
    </row>
    <row r="4512" spans="1:13" x14ac:dyDescent="0.25">
      <c r="A4512" s="8"/>
      <c r="C4512" s="5"/>
      <c r="M4512" s="9"/>
    </row>
    <row r="4513" spans="1:13" x14ac:dyDescent="0.25">
      <c r="A4513" s="8"/>
      <c r="C4513" s="5"/>
      <c r="M4513" s="9"/>
    </row>
    <row r="4514" spans="1:13" x14ac:dyDescent="0.25">
      <c r="A4514" s="8"/>
      <c r="C4514" s="5"/>
      <c r="M4514" s="9"/>
    </row>
    <row r="4515" spans="1:13" x14ac:dyDescent="0.25">
      <c r="A4515" s="8"/>
      <c r="C4515" s="5"/>
      <c r="M4515" s="9"/>
    </row>
    <row r="4516" spans="1:13" x14ac:dyDescent="0.25">
      <c r="A4516" s="8"/>
      <c r="C4516" s="5"/>
      <c r="M4516" s="9"/>
    </row>
    <row r="4517" spans="1:13" x14ac:dyDescent="0.25">
      <c r="A4517" s="8"/>
      <c r="C4517" s="5"/>
      <c r="M4517" s="9"/>
    </row>
    <row r="4518" spans="1:13" x14ac:dyDescent="0.25">
      <c r="A4518" s="8"/>
      <c r="C4518" s="5"/>
      <c r="M4518" s="9"/>
    </row>
    <row r="4519" spans="1:13" x14ac:dyDescent="0.25">
      <c r="A4519" s="8"/>
      <c r="C4519" s="5"/>
      <c r="M4519" s="9"/>
    </row>
    <row r="4520" spans="1:13" x14ac:dyDescent="0.25">
      <c r="A4520" s="8"/>
      <c r="C4520" s="5"/>
      <c r="M4520" s="9"/>
    </row>
    <row r="4521" spans="1:13" x14ac:dyDescent="0.25">
      <c r="A4521" s="8"/>
      <c r="C4521" s="5"/>
      <c r="M4521" s="9"/>
    </row>
    <row r="4522" spans="1:13" x14ac:dyDescent="0.25">
      <c r="A4522" s="8"/>
      <c r="C4522" s="5"/>
      <c r="M4522" s="9"/>
    </row>
    <row r="4523" spans="1:13" x14ac:dyDescent="0.25">
      <c r="A4523" s="8"/>
      <c r="C4523" s="5"/>
      <c r="M4523" s="9"/>
    </row>
    <row r="4524" spans="1:13" x14ac:dyDescent="0.25">
      <c r="A4524" s="8"/>
      <c r="C4524" s="5"/>
      <c r="M4524" s="9"/>
    </row>
    <row r="4525" spans="1:13" x14ac:dyDescent="0.25">
      <c r="A4525" s="8"/>
      <c r="C4525" s="5"/>
      <c r="M4525" s="9"/>
    </row>
    <row r="4526" spans="1:13" x14ac:dyDescent="0.25">
      <c r="A4526" s="8"/>
      <c r="C4526" s="5"/>
      <c r="M4526" s="9"/>
    </row>
    <row r="4527" spans="1:13" x14ac:dyDescent="0.25">
      <c r="A4527" s="8"/>
      <c r="C4527" s="5"/>
      <c r="M4527" s="9"/>
    </row>
    <row r="4528" spans="1:13" x14ac:dyDescent="0.25">
      <c r="A4528" s="8"/>
      <c r="C4528" s="5"/>
      <c r="M4528" s="9"/>
    </row>
    <row r="4529" spans="1:13" x14ac:dyDescent="0.25">
      <c r="A4529" s="8"/>
      <c r="C4529" s="5"/>
      <c r="M4529" s="9"/>
    </row>
    <row r="4530" spans="1:13" x14ac:dyDescent="0.25">
      <c r="A4530" s="8"/>
      <c r="C4530" s="5"/>
      <c r="M4530" s="9"/>
    </row>
    <row r="4531" spans="1:13" x14ac:dyDescent="0.25">
      <c r="A4531" s="8"/>
      <c r="C4531" s="5"/>
      <c r="M4531" s="9"/>
    </row>
    <row r="4532" spans="1:13" x14ac:dyDescent="0.25">
      <c r="A4532" s="8"/>
      <c r="C4532" s="5"/>
      <c r="M4532" s="9"/>
    </row>
    <row r="4533" spans="1:13" x14ac:dyDescent="0.25">
      <c r="A4533" s="8"/>
      <c r="C4533" s="5"/>
      <c r="M4533" s="9"/>
    </row>
    <row r="4534" spans="1:13" x14ac:dyDescent="0.25">
      <c r="A4534" s="8"/>
      <c r="C4534" s="5"/>
      <c r="M4534" s="9"/>
    </row>
    <row r="4535" spans="1:13" x14ac:dyDescent="0.25">
      <c r="A4535" s="8"/>
      <c r="C4535" s="5"/>
      <c r="M4535" s="9"/>
    </row>
    <row r="4536" spans="1:13" x14ac:dyDescent="0.25">
      <c r="A4536" s="8"/>
      <c r="C4536" s="5"/>
      <c r="M4536" s="9"/>
    </row>
    <row r="4537" spans="1:13" x14ac:dyDescent="0.25">
      <c r="A4537" s="8"/>
      <c r="C4537" s="5"/>
      <c r="M4537" s="9"/>
    </row>
    <row r="4538" spans="1:13" x14ac:dyDescent="0.25">
      <c r="A4538" s="8"/>
      <c r="C4538" s="5"/>
      <c r="M4538" s="9"/>
    </row>
    <row r="4539" spans="1:13" x14ac:dyDescent="0.25">
      <c r="A4539" s="8"/>
      <c r="C4539" s="5"/>
      <c r="M4539" s="9"/>
    </row>
    <row r="4540" spans="1:13" x14ac:dyDescent="0.25">
      <c r="A4540" s="8"/>
      <c r="C4540" s="5"/>
      <c r="M4540" s="9"/>
    </row>
    <row r="4541" spans="1:13" x14ac:dyDescent="0.25">
      <c r="A4541" s="8"/>
      <c r="C4541" s="5"/>
      <c r="M4541" s="9"/>
    </row>
    <row r="4542" spans="1:13" x14ac:dyDescent="0.25">
      <c r="A4542" s="8"/>
      <c r="C4542" s="5"/>
      <c r="M4542" s="9"/>
    </row>
    <row r="4543" spans="1:13" x14ac:dyDescent="0.25">
      <c r="A4543" s="8"/>
      <c r="C4543" s="5"/>
      <c r="M4543" s="9"/>
    </row>
    <row r="4544" spans="1:13" x14ac:dyDescent="0.25">
      <c r="A4544" s="8"/>
      <c r="C4544" s="5"/>
      <c r="M4544" s="9"/>
    </row>
    <row r="4545" spans="1:13" x14ac:dyDescent="0.25">
      <c r="A4545" s="8"/>
      <c r="C4545" s="5"/>
      <c r="M4545" s="9"/>
    </row>
    <row r="4546" spans="1:13" x14ac:dyDescent="0.25">
      <c r="A4546" s="8"/>
      <c r="C4546" s="5"/>
      <c r="M4546" s="9"/>
    </row>
    <row r="4547" spans="1:13" x14ac:dyDescent="0.25">
      <c r="A4547" s="8"/>
      <c r="C4547" s="5"/>
      <c r="M4547" s="9"/>
    </row>
    <row r="4548" spans="1:13" x14ac:dyDescent="0.25">
      <c r="A4548" s="8"/>
      <c r="C4548" s="5"/>
      <c r="M4548" s="9"/>
    </row>
    <row r="4549" spans="1:13" x14ac:dyDescent="0.25">
      <c r="A4549" s="8"/>
      <c r="C4549" s="5"/>
      <c r="M4549" s="9"/>
    </row>
    <row r="4550" spans="1:13" x14ac:dyDescent="0.25">
      <c r="A4550" s="8"/>
      <c r="C4550" s="5"/>
      <c r="M4550" s="9"/>
    </row>
    <row r="4551" spans="1:13" x14ac:dyDescent="0.25">
      <c r="A4551" s="8"/>
      <c r="C4551" s="5"/>
      <c r="M4551" s="9"/>
    </row>
    <row r="4552" spans="1:13" x14ac:dyDescent="0.25">
      <c r="A4552" s="8"/>
      <c r="C4552" s="5"/>
      <c r="M4552" s="9"/>
    </row>
    <row r="4553" spans="1:13" x14ac:dyDescent="0.25">
      <c r="A4553" s="8"/>
      <c r="C4553" s="5"/>
      <c r="M4553" s="9"/>
    </row>
    <row r="4554" spans="1:13" x14ac:dyDescent="0.25">
      <c r="A4554" s="8"/>
      <c r="C4554" s="5"/>
      <c r="M4554" s="9"/>
    </row>
    <row r="4555" spans="1:13" x14ac:dyDescent="0.25">
      <c r="A4555" s="8"/>
      <c r="C4555" s="5"/>
      <c r="M4555" s="9"/>
    </row>
    <row r="4556" spans="1:13" x14ac:dyDescent="0.25">
      <c r="A4556" s="8"/>
      <c r="C4556" s="5"/>
      <c r="M4556" s="9"/>
    </row>
    <row r="4557" spans="1:13" x14ac:dyDescent="0.25">
      <c r="A4557" s="8"/>
      <c r="C4557" s="5"/>
      <c r="M4557" s="9"/>
    </row>
    <row r="4558" spans="1:13" x14ac:dyDescent="0.25">
      <c r="A4558" s="8"/>
      <c r="C4558" s="5"/>
      <c r="M4558" s="9"/>
    </row>
    <row r="4559" spans="1:13" x14ac:dyDescent="0.25">
      <c r="A4559" s="8"/>
      <c r="C4559" s="5"/>
      <c r="M4559" s="9"/>
    </row>
    <row r="4560" spans="1:13" x14ac:dyDescent="0.25">
      <c r="A4560" s="8"/>
      <c r="C4560" s="5"/>
      <c r="M4560" s="9"/>
    </row>
    <row r="4561" spans="1:13" x14ac:dyDescent="0.25">
      <c r="A4561" s="8"/>
      <c r="C4561" s="5"/>
      <c r="M4561" s="9"/>
    </row>
    <row r="4562" spans="1:13" x14ac:dyDescent="0.25">
      <c r="A4562" s="8"/>
      <c r="C4562" s="5"/>
      <c r="M4562" s="9"/>
    </row>
    <row r="4563" spans="1:13" x14ac:dyDescent="0.25">
      <c r="A4563" s="8"/>
      <c r="C4563" s="5"/>
      <c r="M4563" s="9"/>
    </row>
    <row r="4564" spans="1:13" x14ac:dyDescent="0.25">
      <c r="A4564" s="8"/>
      <c r="C4564" s="5"/>
      <c r="M4564" s="9"/>
    </row>
    <row r="4565" spans="1:13" x14ac:dyDescent="0.25">
      <c r="A4565" s="8"/>
      <c r="C4565" s="5"/>
      <c r="M4565" s="9"/>
    </row>
    <row r="4566" spans="1:13" x14ac:dyDescent="0.25">
      <c r="A4566" s="8"/>
      <c r="C4566" s="5"/>
      <c r="M4566" s="9"/>
    </row>
    <row r="4567" spans="1:13" x14ac:dyDescent="0.25">
      <c r="A4567" s="8"/>
      <c r="C4567" s="5"/>
      <c r="M4567" s="9"/>
    </row>
    <row r="4568" spans="1:13" x14ac:dyDescent="0.25">
      <c r="A4568" s="8"/>
      <c r="C4568" s="5"/>
      <c r="M4568" s="9"/>
    </row>
    <row r="4569" spans="1:13" x14ac:dyDescent="0.25">
      <c r="A4569" s="8"/>
      <c r="C4569" s="5"/>
      <c r="M4569" s="9"/>
    </row>
    <row r="4570" spans="1:13" x14ac:dyDescent="0.25">
      <c r="A4570" s="8"/>
      <c r="C4570" s="5"/>
      <c r="M4570" s="9"/>
    </row>
    <row r="4571" spans="1:13" x14ac:dyDescent="0.25">
      <c r="A4571" s="8"/>
      <c r="C4571" s="5"/>
      <c r="M4571" s="9"/>
    </row>
    <row r="4572" spans="1:13" x14ac:dyDescent="0.25">
      <c r="A4572" s="8"/>
      <c r="C4572" s="5"/>
      <c r="M4572" s="9"/>
    </row>
    <row r="4573" spans="1:13" x14ac:dyDescent="0.25">
      <c r="A4573" s="8"/>
      <c r="C4573" s="5"/>
      <c r="M4573" s="9"/>
    </row>
    <row r="4574" spans="1:13" x14ac:dyDescent="0.25">
      <c r="A4574" s="8"/>
      <c r="C4574" s="5"/>
      <c r="M4574" s="9"/>
    </row>
    <row r="4575" spans="1:13" x14ac:dyDescent="0.25">
      <c r="A4575" s="8"/>
      <c r="C4575" s="5"/>
      <c r="M4575" s="9"/>
    </row>
    <row r="4576" spans="1:13" x14ac:dyDescent="0.25">
      <c r="A4576" s="8"/>
      <c r="C4576" s="5"/>
      <c r="M4576" s="9"/>
    </row>
    <row r="4577" spans="1:13" x14ac:dyDescent="0.25">
      <c r="A4577" s="8"/>
      <c r="C4577" s="5"/>
      <c r="M4577" s="9"/>
    </row>
    <row r="4578" spans="1:13" x14ac:dyDescent="0.25">
      <c r="A4578" s="8"/>
      <c r="C4578" s="5"/>
      <c r="M4578" s="9"/>
    </row>
    <row r="4579" spans="1:13" x14ac:dyDescent="0.25">
      <c r="A4579" s="8"/>
      <c r="C4579" s="5"/>
      <c r="M4579" s="9"/>
    </row>
    <row r="4580" spans="1:13" x14ac:dyDescent="0.25">
      <c r="A4580" s="8"/>
      <c r="C4580" s="5"/>
      <c r="M4580" s="9"/>
    </row>
    <row r="4581" spans="1:13" x14ac:dyDescent="0.25">
      <c r="A4581" s="8"/>
      <c r="C4581" s="5"/>
      <c r="M4581" s="9"/>
    </row>
    <row r="4582" spans="1:13" x14ac:dyDescent="0.25">
      <c r="A4582" s="8"/>
      <c r="C4582" s="5"/>
      <c r="M4582" s="9"/>
    </row>
    <row r="4583" spans="1:13" x14ac:dyDescent="0.25">
      <c r="A4583" s="8"/>
      <c r="C4583" s="5"/>
      <c r="M4583" s="9"/>
    </row>
    <row r="4584" spans="1:13" x14ac:dyDescent="0.25">
      <c r="A4584" s="8"/>
      <c r="C4584" s="5"/>
      <c r="M4584" s="9"/>
    </row>
    <row r="4585" spans="1:13" x14ac:dyDescent="0.25">
      <c r="A4585" s="8"/>
      <c r="C4585" s="5"/>
      <c r="M4585" s="9"/>
    </row>
    <row r="4586" spans="1:13" x14ac:dyDescent="0.25">
      <c r="A4586" s="8"/>
      <c r="C4586" s="5"/>
      <c r="M4586" s="9"/>
    </row>
    <row r="4587" spans="1:13" x14ac:dyDescent="0.25">
      <c r="A4587" s="8"/>
      <c r="C4587" s="5"/>
      <c r="M4587" s="9"/>
    </row>
    <row r="4588" spans="1:13" x14ac:dyDescent="0.25">
      <c r="A4588" s="8"/>
      <c r="C4588" s="5"/>
      <c r="M4588" s="9"/>
    </row>
    <row r="4589" spans="1:13" x14ac:dyDescent="0.25">
      <c r="A4589" s="8"/>
      <c r="C4589" s="5"/>
      <c r="M4589" s="9"/>
    </row>
    <row r="4590" spans="1:13" x14ac:dyDescent="0.25">
      <c r="A4590" s="8"/>
      <c r="C4590" s="5"/>
      <c r="M4590" s="9"/>
    </row>
    <row r="4591" spans="1:13" x14ac:dyDescent="0.25">
      <c r="A4591" s="8"/>
      <c r="C4591" s="5"/>
      <c r="M4591" s="9"/>
    </row>
    <row r="4592" spans="1:13" x14ac:dyDescent="0.25">
      <c r="A4592" s="8"/>
      <c r="C4592" s="5"/>
      <c r="M4592" s="9"/>
    </row>
    <row r="4593" spans="1:13" x14ac:dyDescent="0.25">
      <c r="A4593" s="8"/>
      <c r="C4593" s="5"/>
      <c r="M4593" s="9"/>
    </row>
    <row r="4594" spans="1:13" x14ac:dyDescent="0.25">
      <c r="A4594" s="8"/>
      <c r="C4594" s="5"/>
      <c r="M4594" s="9"/>
    </row>
    <row r="4595" spans="1:13" x14ac:dyDescent="0.25">
      <c r="A4595" s="8"/>
      <c r="C4595" s="5"/>
      <c r="M4595" s="9"/>
    </row>
    <row r="4596" spans="1:13" x14ac:dyDescent="0.25">
      <c r="A4596" s="8"/>
      <c r="C4596" s="5"/>
      <c r="M4596" s="9"/>
    </row>
    <row r="4597" spans="1:13" x14ac:dyDescent="0.25">
      <c r="A4597" s="8"/>
      <c r="C4597" s="5"/>
      <c r="M4597" s="9"/>
    </row>
    <row r="4598" spans="1:13" x14ac:dyDescent="0.25">
      <c r="A4598" s="8"/>
      <c r="C4598" s="5"/>
      <c r="M4598" s="9"/>
    </row>
    <row r="4599" spans="1:13" x14ac:dyDescent="0.25">
      <c r="A4599" s="8"/>
      <c r="C4599" s="5"/>
      <c r="M4599" s="9"/>
    </row>
    <row r="4600" spans="1:13" x14ac:dyDescent="0.25">
      <c r="A4600" s="8"/>
      <c r="C4600" s="5"/>
      <c r="M4600" s="9"/>
    </row>
    <row r="4601" spans="1:13" x14ac:dyDescent="0.25">
      <c r="A4601" s="8"/>
      <c r="C4601" s="5"/>
      <c r="M4601" s="9"/>
    </row>
    <row r="4602" spans="1:13" x14ac:dyDescent="0.25">
      <c r="A4602" s="8"/>
      <c r="C4602" s="5"/>
      <c r="M4602" s="9"/>
    </row>
    <row r="4603" spans="1:13" x14ac:dyDescent="0.25">
      <c r="A4603" s="8"/>
      <c r="C4603" s="5"/>
      <c r="M4603" s="9"/>
    </row>
    <row r="4604" spans="1:13" x14ac:dyDescent="0.25">
      <c r="A4604" s="8"/>
      <c r="C4604" s="5"/>
      <c r="M4604" s="9"/>
    </row>
    <row r="4605" spans="1:13" x14ac:dyDescent="0.25">
      <c r="A4605" s="8"/>
      <c r="C4605" s="5"/>
      <c r="M4605" s="9"/>
    </row>
    <row r="4606" spans="1:13" x14ac:dyDescent="0.25">
      <c r="A4606" s="8"/>
      <c r="C4606" s="5"/>
      <c r="M4606" s="9"/>
    </row>
    <row r="4607" spans="1:13" x14ac:dyDescent="0.25">
      <c r="A4607" s="8"/>
      <c r="C4607" s="5"/>
      <c r="M4607" s="9"/>
    </row>
    <row r="4608" spans="1:13" x14ac:dyDescent="0.25">
      <c r="A4608" s="8"/>
      <c r="C4608" s="5"/>
      <c r="M4608" s="9"/>
    </row>
    <row r="4609" spans="1:13" x14ac:dyDescent="0.25">
      <c r="A4609" s="8"/>
      <c r="C4609" s="5"/>
      <c r="M4609" s="9"/>
    </row>
    <row r="4610" spans="1:13" x14ac:dyDescent="0.25">
      <c r="A4610" s="8"/>
      <c r="C4610" s="5"/>
      <c r="M4610" s="9"/>
    </row>
    <row r="4611" spans="1:13" x14ac:dyDescent="0.25">
      <c r="A4611" s="8"/>
      <c r="C4611" s="5"/>
      <c r="M4611" s="9"/>
    </row>
    <row r="4612" spans="1:13" x14ac:dyDescent="0.25">
      <c r="A4612" s="8"/>
      <c r="C4612" s="5"/>
      <c r="M4612" s="9"/>
    </row>
    <row r="4613" spans="1:13" x14ac:dyDescent="0.25">
      <c r="A4613" s="8"/>
      <c r="C4613" s="5"/>
      <c r="M4613" s="9"/>
    </row>
    <row r="4614" spans="1:13" x14ac:dyDescent="0.25">
      <c r="A4614" s="8"/>
      <c r="C4614" s="5"/>
      <c r="M4614" s="9"/>
    </row>
    <row r="4615" spans="1:13" x14ac:dyDescent="0.25">
      <c r="A4615" s="8"/>
      <c r="C4615" s="5"/>
      <c r="M4615" s="9"/>
    </row>
    <row r="4616" spans="1:13" x14ac:dyDescent="0.25">
      <c r="A4616" s="8"/>
      <c r="C4616" s="5"/>
      <c r="M4616" s="9"/>
    </row>
    <row r="4617" spans="1:13" x14ac:dyDescent="0.25">
      <c r="A4617" s="8"/>
      <c r="C4617" s="5"/>
      <c r="M4617" s="9"/>
    </row>
    <row r="4618" spans="1:13" x14ac:dyDescent="0.25">
      <c r="A4618" s="8"/>
      <c r="C4618" s="5"/>
      <c r="M4618" s="9"/>
    </row>
    <row r="4619" spans="1:13" x14ac:dyDescent="0.25">
      <c r="A4619" s="8"/>
      <c r="C4619" s="5"/>
      <c r="M4619" s="9"/>
    </row>
    <row r="4620" spans="1:13" x14ac:dyDescent="0.25">
      <c r="A4620" s="8"/>
      <c r="C4620" s="5"/>
      <c r="M4620" s="9"/>
    </row>
    <row r="4621" spans="1:13" x14ac:dyDescent="0.25">
      <c r="A4621" s="8"/>
      <c r="C4621" s="5"/>
      <c r="M4621" s="9"/>
    </row>
    <row r="4622" spans="1:13" x14ac:dyDescent="0.25">
      <c r="A4622" s="8"/>
      <c r="C4622" s="5"/>
      <c r="M4622" s="9"/>
    </row>
    <row r="4623" spans="1:13" x14ac:dyDescent="0.25">
      <c r="A4623" s="8"/>
      <c r="C4623" s="5"/>
      <c r="M4623" s="9"/>
    </row>
    <row r="4624" spans="1:13" x14ac:dyDescent="0.25">
      <c r="A4624" s="8"/>
      <c r="C4624" s="5"/>
      <c r="M4624" s="9"/>
    </row>
    <row r="4625" spans="1:13" x14ac:dyDescent="0.25">
      <c r="A4625" s="8"/>
      <c r="C4625" s="5"/>
      <c r="M4625" s="9"/>
    </row>
    <row r="4626" spans="1:13" x14ac:dyDescent="0.25">
      <c r="A4626" s="8"/>
      <c r="C4626" s="5"/>
      <c r="M4626" s="9"/>
    </row>
    <row r="4627" spans="1:13" x14ac:dyDescent="0.25">
      <c r="A4627" s="8"/>
      <c r="C4627" s="5"/>
      <c r="M4627" s="9"/>
    </row>
    <row r="4628" spans="1:13" x14ac:dyDescent="0.25">
      <c r="A4628" s="8"/>
      <c r="C4628" s="5"/>
      <c r="M4628" s="9"/>
    </row>
    <row r="4629" spans="1:13" x14ac:dyDescent="0.25">
      <c r="A4629" s="8"/>
      <c r="C4629" s="5"/>
      <c r="M4629" s="9"/>
    </row>
    <row r="4630" spans="1:13" x14ac:dyDescent="0.25">
      <c r="A4630" s="8"/>
      <c r="C4630" s="5"/>
      <c r="M4630" s="9"/>
    </row>
    <row r="4631" spans="1:13" x14ac:dyDescent="0.25">
      <c r="A4631" s="8"/>
      <c r="C4631" s="5"/>
      <c r="M4631" s="9"/>
    </row>
    <row r="4632" spans="1:13" x14ac:dyDescent="0.25">
      <c r="A4632" s="8"/>
      <c r="C4632" s="5"/>
      <c r="M4632" s="9"/>
    </row>
    <row r="4633" spans="1:13" x14ac:dyDescent="0.25">
      <c r="A4633" s="8"/>
      <c r="C4633" s="5"/>
      <c r="M4633" s="9"/>
    </row>
    <row r="4634" spans="1:13" x14ac:dyDescent="0.25">
      <c r="A4634" s="8"/>
      <c r="C4634" s="5"/>
      <c r="M4634" s="9"/>
    </row>
    <row r="4635" spans="1:13" x14ac:dyDescent="0.25">
      <c r="A4635" s="8"/>
      <c r="C4635" s="5"/>
      <c r="M4635" s="9"/>
    </row>
    <row r="4636" spans="1:13" x14ac:dyDescent="0.25">
      <c r="A4636" s="8"/>
      <c r="C4636" s="5"/>
      <c r="M4636" s="9"/>
    </row>
    <row r="4637" spans="1:13" x14ac:dyDescent="0.25">
      <c r="A4637" s="8"/>
      <c r="C4637" s="5"/>
      <c r="M4637" s="9"/>
    </row>
    <row r="4638" spans="1:13" x14ac:dyDescent="0.25">
      <c r="A4638" s="8"/>
      <c r="C4638" s="5"/>
      <c r="M4638" s="9"/>
    </row>
    <row r="4639" spans="1:13" x14ac:dyDescent="0.25">
      <c r="A4639" s="8"/>
      <c r="C4639" s="5"/>
      <c r="M4639" s="9"/>
    </row>
    <row r="4640" spans="1:13" x14ac:dyDescent="0.25">
      <c r="A4640" s="8"/>
      <c r="C4640" s="5"/>
      <c r="M4640" s="9"/>
    </row>
    <row r="4641" spans="1:13" x14ac:dyDescent="0.25">
      <c r="A4641" s="8"/>
      <c r="C4641" s="5"/>
      <c r="M4641" s="9"/>
    </row>
    <row r="4642" spans="1:13" x14ac:dyDescent="0.25">
      <c r="A4642" s="8"/>
      <c r="C4642" s="5"/>
      <c r="M4642" s="9"/>
    </row>
    <row r="4643" spans="1:13" x14ac:dyDescent="0.25">
      <c r="A4643" s="8"/>
      <c r="C4643" s="5"/>
      <c r="M4643" s="9"/>
    </row>
    <row r="4644" spans="1:13" x14ac:dyDescent="0.25">
      <c r="A4644" s="8"/>
      <c r="C4644" s="5"/>
      <c r="M4644" s="9"/>
    </row>
    <row r="4645" spans="1:13" x14ac:dyDescent="0.25">
      <c r="A4645" s="8"/>
      <c r="C4645" s="5"/>
      <c r="M4645" s="9"/>
    </row>
    <row r="4646" spans="1:13" x14ac:dyDescent="0.25">
      <c r="A4646" s="8"/>
      <c r="C4646" s="5"/>
      <c r="M4646" s="9"/>
    </row>
    <row r="4647" spans="1:13" x14ac:dyDescent="0.25">
      <c r="A4647" s="8"/>
      <c r="C4647" s="5"/>
      <c r="M4647" s="9"/>
    </row>
    <row r="4648" spans="1:13" x14ac:dyDescent="0.25">
      <c r="A4648" s="8"/>
      <c r="C4648" s="5"/>
      <c r="M4648" s="9"/>
    </row>
    <row r="4649" spans="1:13" x14ac:dyDescent="0.25">
      <c r="A4649" s="8"/>
      <c r="C4649" s="5"/>
      <c r="M4649" s="9"/>
    </row>
    <row r="4650" spans="1:13" x14ac:dyDescent="0.25">
      <c r="A4650" s="8"/>
      <c r="C4650" s="5"/>
      <c r="M4650" s="9"/>
    </row>
    <row r="4651" spans="1:13" x14ac:dyDescent="0.25">
      <c r="A4651" s="8"/>
      <c r="C4651" s="5"/>
      <c r="M4651" s="9"/>
    </row>
    <row r="4652" spans="1:13" x14ac:dyDescent="0.25">
      <c r="A4652" s="8"/>
      <c r="C4652" s="5"/>
      <c r="M4652" s="9"/>
    </row>
    <row r="4653" spans="1:13" x14ac:dyDescent="0.25">
      <c r="A4653" s="8"/>
      <c r="C4653" s="5"/>
      <c r="M4653" s="9"/>
    </row>
    <row r="4654" spans="1:13" x14ac:dyDescent="0.25">
      <c r="A4654" s="8"/>
      <c r="C4654" s="5"/>
      <c r="M4654" s="9"/>
    </row>
    <row r="4655" spans="1:13" x14ac:dyDescent="0.25">
      <c r="A4655" s="8"/>
      <c r="C4655" s="5"/>
      <c r="M4655" s="9"/>
    </row>
    <row r="4656" spans="1:13" x14ac:dyDescent="0.25">
      <c r="A4656" s="8"/>
      <c r="C4656" s="5"/>
      <c r="M4656" s="9"/>
    </row>
    <row r="4657" spans="1:13" x14ac:dyDescent="0.25">
      <c r="A4657" s="8"/>
      <c r="C4657" s="5"/>
      <c r="M4657" s="9"/>
    </row>
    <row r="4658" spans="1:13" x14ac:dyDescent="0.25">
      <c r="A4658" s="8"/>
      <c r="C4658" s="5"/>
      <c r="M4658" s="9"/>
    </row>
    <row r="4659" spans="1:13" x14ac:dyDescent="0.25">
      <c r="A4659" s="8"/>
      <c r="C4659" s="5"/>
      <c r="M4659" s="9"/>
    </row>
    <row r="4660" spans="1:13" x14ac:dyDescent="0.25">
      <c r="A4660" s="8"/>
      <c r="C4660" s="5"/>
      <c r="M4660" s="9"/>
    </row>
    <row r="4661" spans="1:13" x14ac:dyDescent="0.25">
      <c r="A4661" s="8"/>
      <c r="C4661" s="5"/>
      <c r="M4661" s="9"/>
    </row>
    <row r="4662" spans="1:13" x14ac:dyDescent="0.25">
      <c r="A4662" s="8"/>
      <c r="C4662" s="5"/>
      <c r="M4662" s="9"/>
    </row>
    <row r="4663" spans="1:13" x14ac:dyDescent="0.25">
      <c r="A4663" s="8"/>
      <c r="C4663" s="5"/>
      <c r="M4663" s="9"/>
    </row>
    <row r="4664" spans="1:13" x14ac:dyDescent="0.25">
      <c r="A4664" s="8"/>
      <c r="C4664" s="5"/>
      <c r="M4664" s="9"/>
    </row>
    <row r="4665" spans="1:13" x14ac:dyDescent="0.25">
      <c r="A4665" s="8"/>
      <c r="C4665" s="5"/>
      <c r="M4665" s="9"/>
    </row>
    <row r="4666" spans="1:13" x14ac:dyDescent="0.25">
      <c r="A4666" s="8"/>
      <c r="C4666" s="5"/>
      <c r="M4666" s="9"/>
    </row>
    <row r="4667" spans="1:13" x14ac:dyDescent="0.25">
      <c r="A4667" s="8"/>
      <c r="C4667" s="5"/>
      <c r="M4667" s="9"/>
    </row>
    <row r="4668" spans="1:13" x14ac:dyDescent="0.25">
      <c r="A4668" s="8"/>
      <c r="C4668" s="5"/>
      <c r="M4668" s="9"/>
    </row>
    <row r="4669" spans="1:13" x14ac:dyDescent="0.25">
      <c r="A4669" s="8"/>
      <c r="C4669" s="5"/>
      <c r="M4669" s="9"/>
    </row>
    <row r="4670" spans="1:13" x14ac:dyDescent="0.25">
      <c r="A4670" s="8"/>
      <c r="C4670" s="5"/>
      <c r="M4670" s="9"/>
    </row>
    <row r="4671" spans="1:13" x14ac:dyDescent="0.25">
      <c r="A4671" s="8"/>
      <c r="C4671" s="5"/>
      <c r="M4671" s="9"/>
    </row>
    <row r="4672" spans="1:13" x14ac:dyDescent="0.25">
      <c r="A4672" s="8"/>
      <c r="C4672" s="5"/>
      <c r="M4672" s="9"/>
    </row>
    <row r="4673" spans="1:13" x14ac:dyDescent="0.25">
      <c r="A4673" s="8"/>
      <c r="C4673" s="5"/>
      <c r="M4673" s="9"/>
    </row>
    <row r="4674" spans="1:13" x14ac:dyDescent="0.25">
      <c r="A4674" s="8"/>
      <c r="C4674" s="5"/>
      <c r="M4674" s="9"/>
    </row>
    <row r="4675" spans="1:13" x14ac:dyDescent="0.25">
      <c r="A4675" s="8"/>
      <c r="C4675" s="5"/>
      <c r="M4675" s="9"/>
    </row>
    <row r="4676" spans="1:13" x14ac:dyDescent="0.25">
      <c r="A4676" s="8"/>
      <c r="C4676" s="5"/>
      <c r="M4676" s="9"/>
    </row>
    <row r="4677" spans="1:13" x14ac:dyDescent="0.25">
      <c r="A4677" s="8"/>
      <c r="C4677" s="5"/>
      <c r="M4677" s="9"/>
    </row>
    <row r="4678" spans="1:13" x14ac:dyDescent="0.25">
      <c r="A4678" s="8"/>
      <c r="C4678" s="5"/>
      <c r="M4678" s="9"/>
    </row>
    <row r="4679" spans="1:13" x14ac:dyDescent="0.25">
      <c r="A4679" s="8"/>
      <c r="C4679" s="5"/>
      <c r="M4679" s="9"/>
    </row>
    <row r="4680" spans="1:13" x14ac:dyDescent="0.25">
      <c r="A4680" s="8"/>
      <c r="C4680" s="5"/>
      <c r="M4680" s="9"/>
    </row>
    <row r="4681" spans="1:13" x14ac:dyDescent="0.25">
      <c r="A4681" s="8"/>
      <c r="C4681" s="5"/>
      <c r="M4681" s="9"/>
    </row>
    <row r="4682" spans="1:13" x14ac:dyDescent="0.25">
      <c r="A4682" s="8"/>
      <c r="C4682" s="5"/>
      <c r="M4682" s="9"/>
    </row>
    <row r="4683" spans="1:13" x14ac:dyDescent="0.25">
      <c r="A4683" s="8"/>
      <c r="C4683" s="5"/>
      <c r="M4683" s="9"/>
    </row>
    <row r="4684" spans="1:13" x14ac:dyDescent="0.25">
      <c r="A4684" s="8"/>
      <c r="C4684" s="5"/>
      <c r="M4684" s="9"/>
    </row>
    <row r="4685" spans="1:13" x14ac:dyDescent="0.25">
      <c r="A4685" s="8"/>
      <c r="C4685" s="5"/>
      <c r="M4685" s="9"/>
    </row>
    <row r="4686" spans="1:13" x14ac:dyDescent="0.25">
      <c r="A4686" s="8"/>
      <c r="C4686" s="5"/>
      <c r="M4686" s="9"/>
    </row>
    <row r="4687" spans="1:13" x14ac:dyDescent="0.25">
      <c r="A4687" s="8"/>
      <c r="C4687" s="5"/>
      <c r="M4687" s="9"/>
    </row>
    <row r="4688" spans="1:13" x14ac:dyDescent="0.25">
      <c r="A4688" s="8"/>
      <c r="C4688" s="5"/>
      <c r="M4688" s="9"/>
    </row>
    <row r="4689" spans="1:13" x14ac:dyDescent="0.25">
      <c r="A4689" s="8"/>
      <c r="C4689" s="5"/>
      <c r="M4689" s="9"/>
    </row>
    <row r="4690" spans="1:13" x14ac:dyDescent="0.25">
      <c r="A4690" s="8"/>
      <c r="C4690" s="5"/>
      <c r="M4690" s="9"/>
    </row>
    <row r="4691" spans="1:13" x14ac:dyDescent="0.25">
      <c r="A4691" s="8"/>
      <c r="C4691" s="5"/>
      <c r="M4691" s="9"/>
    </row>
    <row r="4692" spans="1:13" x14ac:dyDescent="0.25">
      <c r="A4692" s="8"/>
      <c r="C4692" s="5"/>
      <c r="M4692" s="9"/>
    </row>
    <row r="4693" spans="1:13" x14ac:dyDescent="0.25">
      <c r="A4693" s="8"/>
      <c r="C4693" s="5"/>
      <c r="M4693" s="9"/>
    </row>
    <row r="4694" spans="1:13" x14ac:dyDescent="0.25">
      <c r="A4694" s="8"/>
      <c r="C4694" s="5"/>
      <c r="M4694" s="9"/>
    </row>
    <row r="4695" spans="1:13" x14ac:dyDescent="0.25">
      <c r="A4695" s="8"/>
      <c r="C4695" s="5"/>
      <c r="M4695" s="9"/>
    </row>
    <row r="4696" spans="1:13" x14ac:dyDescent="0.25">
      <c r="A4696" s="8"/>
      <c r="C4696" s="5"/>
      <c r="M4696" s="9"/>
    </row>
    <row r="4697" spans="1:13" x14ac:dyDescent="0.25">
      <c r="A4697" s="8"/>
      <c r="C4697" s="5"/>
      <c r="M4697" s="9"/>
    </row>
    <row r="4698" spans="1:13" x14ac:dyDescent="0.25">
      <c r="A4698" s="8"/>
      <c r="C4698" s="5"/>
      <c r="M4698" s="9"/>
    </row>
    <row r="4699" spans="1:13" x14ac:dyDescent="0.25">
      <c r="A4699" s="8"/>
      <c r="C4699" s="5"/>
      <c r="M4699" s="9"/>
    </row>
    <row r="4700" spans="1:13" x14ac:dyDescent="0.25">
      <c r="A4700" s="8"/>
      <c r="C4700" s="5"/>
      <c r="M4700" s="9"/>
    </row>
    <row r="4701" spans="1:13" x14ac:dyDescent="0.25">
      <c r="A4701" s="8"/>
      <c r="C4701" s="5"/>
      <c r="M4701" s="9"/>
    </row>
    <row r="4702" spans="1:13" x14ac:dyDescent="0.25">
      <c r="A4702" s="8"/>
      <c r="C4702" s="5"/>
      <c r="M4702" s="9"/>
    </row>
    <row r="4703" spans="1:13" x14ac:dyDescent="0.25">
      <c r="A4703" s="8"/>
      <c r="C4703" s="5"/>
      <c r="M4703" s="9"/>
    </row>
    <row r="4704" spans="1:13" x14ac:dyDescent="0.25">
      <c r="A4704" s="8"/>
      <c r="C4704" s="5"/>
      <c r="M4704" s="9"/>
    </row>
    <row r="4705" spans="1:13" x14ac:dyDescent="0.25">
      <c r="A4705" s="8"/>
      <c r="C4705" s="5"/>
      <c r="M4705" s="9"/>
    </row>
    <row r="4706" spans="1:13" x14ac:dyDescent="0.25">
      <c r="A4706" s="8"/>
      <c r="C4706" s="5"/>
      <c r="M4706" s="9"/>
    </row>
    <row r="4707" spans="1:13" x14ac:dyDescent="0.25">
      <c r="A4707" s="8"/>
      <c r="C4707" s="5"/>
      <c r="M4707" s="9"/>
    </row>
    <row r="4708" spans="1:13" x14ac:dyDescent="0.25">
      <c r="A4708" s="8"/>
      <c r="C4708" s="5"/>
      <c r="M4708" s="9"/>
    </row>
    <row r="4709" spans="1:13" x14ac:dyDescent="0.25">
      <c r="A4709" s="8"/>
      <c r="C4709" s="5"/>
      <c r="M4709" s="9"/>
    </row>
    <row r="4710" spans="1:13" x14ac:dyDescent="0.25">
      <c r="A4710" s="8"/>
      <c r="C4710" s="5"/>
      <c r="M4710" s="9"/>
    </row>
    <row r="4711" spans="1:13" x14ac:dyDescent="0.25">
      <c r="A4711" s="8"/>
      <c r="C4711" s="5"/>
      <c r="M4711" s="9"/>
    </row>
    <row r="4712" spans="1:13" x14ac:dyDescent="0.25">
      <c r="A4712" s="8"/>
      <c r="C4712" s="5"/>
      <c r="M4712" s="9"/>
    </row>
    <row r="4713" spans="1:13" x14ac:dyDescent="0.25">
      <c r="A4713" s="8"/>
      <c r="C4713" s="5"/>
      <c r="M4713" s="9"/>
    </row>
    <row r="4714" spans="1:13" x14ac:dyDescent="0.25">
      <c r="A4714" s="8"/>
      <c r="C4714" s="5"/>
      <c r="M4714" s="9"/>
    </row>
    <row r="4715" spans="1:13" x14ac:dyDescent="0.25">
      <c r="A4715" s="8"/>
      <c r="C4715" s="5"/>
      <c r="M4715" s="9"/>
    </row>
    <row r="4716" spans="1:13" x14ac:dyDescent="0.25">
      <c r="A4716" s="8"/>
      <c r="C4716" s="5"/>
      <c r="M4716" s="9"/>
    </row>
    <row r="4717" spans="1:13" x14ac:dyDescent="0.25">
      <c r="A4717" s="8"/>
      <c r="C4717" s="5"/>
      <c r="M4717" s="9"/>
    </row>
    <row r="4718" spans="1:13" x14ac:dyDescent="0.25">
      <c r="A4718" s="8"/>
      <c r="C4718" s="5"/>
      <c r="M4718" s="9"/>
    </row>
    <row r="4719" spans="1:13" x14ac:dyDescent="0.25">
      <c r="A4719" s="8"/>
      <c r="C4719" s="5"/>
      <c r="M4719" s="9"/>
    </row>
    <row r="4720" spans="1:13" x14ac:dyDescent="0.25">
      <c r="A4720" s="8"/>
      <c r="C4720" s="5"/>
      <c r="M4720" s="9"/>
    </row>
    <row r="4721" spans="1:13" x14ac:dyDescent="0.25">
      <c r="A4721" s="8"/>
      <c r="C4721" s="5"/>
      <c r="M4721" s="9"/>
    </row>
    <row r="4722" spans="1:13" x14ac:dyDescent="0.25">
      <c r="A4722" s="8"/>
      <c r="C4722" s="5"/>
      <c r="M4722" s="9"/>
    </row>
    <row r="4723" spans="1:13" x14ac:dyDescent="0.25">
      <c r="A4723" s="8"/>
      <c r="C4723" s="5"/>
      <c r="M4723" s="9"/>
    </row>
    <row r="4724" spans="1:13" x14ac:dyDescent="0.25">
      <c r="A4724" s="8"/>
      <c r="C4724" s="5"/>
      <c r="M4724" s="9"/>
    </row>
    <row r="4725" spans="1:13" x14ac:dyDescent="0.25">
      <c r="A4725" s="8"/>
      <c r="C4725" s="5"/>
      <c r="M4725" s="9"/>
    </row>
    <row r="4726" spans="1:13" x14ac:dyDescent="0.25">
      <c r="A4726" s="8"/>
      <c r="C4726" s="5"/>
      <c r="M4726" s="9"/>
    </row>
    <row r="4727" spans="1:13" x14ac:dyDescent="0.25">
      <c r="A4727" s="8"/>
      <c r="C4727" s="5"/>
      <c r="M4727" s="9"/>
    </row>
    <row r="4728" spans="1:13" x14ac:dyDescent="0.25">
      <c r="A4728" s="8"/>
      <c r="C4728" s="5"/>
      <c r="M4728" s="9"/>
    </row>
    <row r="4729" spans="1:13" x14ac:dyDescent="0.25">
      <c r="A4729" s="8"/>
      <c r="C4729" s="5"/>
      <c r="M4729" s="9"/>
    </row>
    <row r="4730" spans="1:13" x14ac:dyDescent="0.25">
      <c r="A4730" s="8"/>
      <c r="C4730" s="5"/>
      <c r="M4730" s="9"/>
    </row>
    <row r="4731" spans="1:13" x14ac:dyDescent="0.25">
      <c r="A4731" s="8"/>
      <c r="C4731" s="5"/>
      <c r="M4731" s="9"/>
    </row>
    <row r="4732" spans="1:13" x14ac:dyDescent="0.25">
      <c r="A4732" s="8"/>
      <c r="C4732" s="5"/>
      <c r="M4732" s="9"/>
    </row>
    <row r="4733" spans="1:13" x14ac:dyDescent="0.25">
      <c r="A4733" s="8"/>
      <c r="C4733" s="5"/>
      <c r="M4733" s="9"/>
    </row>
    <row r="4734" spans="1:13" x14ac:dyDescent="0.25">
      <c r="A4734" s="8"/>
      <c r="C4734" s="5"/>
      <c r="M4734" s="9"/>
    </row>
    <row r="4735" spans="1:13" x14ac:dyDescent="0.25">
      <c r="A4735" s="8"/>
      <c r="C4735" s="5"/>
      <c r="M4735" s="9"/>
    </row>
    <row r="4736" spans="1:13" x14ac:dyDescent="0.25">
      <c r="A4736" s="8"/>
      <c r="C4736" s="5"/>
      <c r="M4736" s="9"/>
    </row>
    <row r="4737" spans="1:13" x14ac:dyDescent="0.25">
      <c r="A4737" s="8"/>
      <c r="C4737" s="5"/>
      <c r="M4737" s="9"/>
    </row>
    <row r="4738" spans="1:13" x14ac:dyDescent="0.25">
      <c r="A4738" s="8"/>
      <c r="C4738" s="5"/>
      <c r="M4738" s="9"/>
    </row>
    <row r="4739" spans="1:13" x14ac:dyDescent="0.25">
      <c r="A4739" s="8"/>
      <c r="C4739" s="5"/>
      <c r="M4739" s="9"/>
    </row>
    <row r="4740" spans="1:13" x14ac:dyDescent="0.25">
      <c r="A4740" s="8"/>
      <c r="C4740" s="5"/>
      <c r="M4740" s="9"/>
    </row>
    <row r="4741" spans="1:13" x14ac:dyDescent="0.25">
      <c r="A4741" s="8"/>
      <c r="C4741" s="5"/>
      <c r="M4741" s="9"/>
    </row>
    <row r="4742" spans="1:13" x14ac:dyDescent="0.25">
      <c r="A4742" s="8"/>
      <c r="C4742" s="5"/>
      <c r="M4742" s="9"/>
    </row>
    <row r="4743" spans="1:13" x14ac:dyDescent="0.25">
      <c r="A4743" s="8"/>
      <c r="C4743" s="5"/>
      <c r="M4743" s="9"/>
    </row>
    <row r="4744" spans="1:13" x14ac:dyDescent="0.25">
      <c r="A4744" s="8"/>
      <c r="C4744" s="5"/>
      <c r="M4744" s="9"/>
    </row>
    <row r="4745" spans="1:13" x14ac:dyDescent="0.25">
      <c r="A4745" s="8"/>
      <c r="C4745" s="5"/>
      <c r="M4745" s="9"/>
    </row>
    <row r="4746" spans="1:13" x14ac:dyDescent="0.25">
      <c r="A4746" s="8"/>
      <c r="C4746" s="5"/>
      <c r="M4746" s="9"/>
    </row>
    <row r="4747" spans="1:13" x14ac:dyDescent="0.25">
      <c r="A4747" s="8"/>
      <c r="C4747" s="5"/>
      <c r="M4747" s="9"/>
    </row>
    <row r="4748" spans="1:13" x14ac:dyDescent="0.25">
      <c r="A4748" s="8"/>
      <c r="C4748" s="5"/>
      <c r="M4748" s="9"/>
    </row>
    <row r="4749" spans="1:13" x14ac:dyDescent="0.25">
      <c r="A4749" s="8"/>
      <c r="C4749" s="5"/>
      <c r="M4749" s="9"/>
    </row>
    <row r="4750" spans="1:13" x14ac:dyDescent="0.25">
      <c r="A4750" s="8"/>
      <c r="C4750" s="5"/>
      <c r="M4750" s="9"/>
    </row>
    <row r="4751" spans="1:13" x14ac:dyDescent="0.25">
      <c r="A4751" s="8"/>
      <c r="C4751" s="5"/>
      <c r="M4751" s="9"/>
    </row>
    <row r="4752" spans="1:13" x14ac:dyDescent="0.25">
      <c r="A4752" s="8"/>
      <c r="C4752" s="5"/>
      <c r="M4752" s="9"/>
    </row>
    <row r="4753" spans="1:13" x14ac:dyDescent="0.25">
      <c r="A4753" s="8"/>
      <c r="C4753" s="5"/>
      <c r="M4753" s="9"/>
    </row>
    <row r="4754" spans="1:13" x14ac:dyDescent="0.25">
      <c r="A4754" s="8"/>
      <c r="C4754" s="5"/>
      <c r="M4754" s="9"/>
    </row>
    <row r="4755" spans="1:13" x14ac:dyDescent="0.25">
      <c r="A4755" s="8"/>
      <c r="C4755" s="5"/>
      <c r="M4755" s="9"/>
    </row>
    <row r="4756" spans="1:13" x14ac:dyDescent="0.25">
      <c r="A4756" s="8"/>
      <c r="C4756" s="5"/>
      <c r="M4756" s="9"/>
    </row>
    <row r="4757" spans="1:13" x14ac:dyDescent="0.25">
      <c r="A4757" s="8"/>
      <c r="C4757" s="5"/>
      <c r="M4757" s="9"/>
    </row>
    <row r="4758" spans="1:13" x14ac:dyDescent="0.25">
      <c r="A4758" s="8"/>
      <c r="C4758" s="5"/>
      <c r="M4758" s="9"/>
    </row>
    <row r="4759" spans="1:13" x14ac:dyDescent="0.25">
      <c r="A4759" s="8"/>
      <c r="C4759" s="5"/>
      <c r="M4759" s="9"/>
    </row>
    <row r="4760" spans="1:13" x14ac:dyDescent="0.25">
      <c r="A4760" s="8"/>
      <c r="C4760" s="5"/>
      <c r="M4760" s="9"/>
    </row>
    <row r="4761" spans="1:13" x14ac:dyDescent="0.25">
      <c r="A4761" s="8"/>
      <c r="C4761" s="5"/>
      <c r="M4761" s="9"/>
    </row>
    <row r="4762" spans="1:13" x14ac:dyDescent="0.25">
      <c r="A4762" s="8"/>
      <c r="C4762" s="5"/>
      <c r="M4762" s="9"/>
    </row>
    <row r="4763" spans="1:13" x14ac:dyDescent="0.25">
      <c r="A4763" s="8"/>
      <c r="C4763" s="5"/>
      <c r="M4763" s="9"/>
    </row>
    <row r="4764" spans="1:13" x14ac:dyDescent="0.25">
      <c r="A4764" s="8"/>
      <c r="C4764" s="5"/>
      <c r="M4764" s="9"/>
    </row>
    <row r="4765" spans="1:13" x14ac:dyDescent="0.25">
      <c r="A4765" s="8"/>
      <c r="C4765" s="5"/>
      <c r="M4765" s="9"/>
    </row>
    <row r="4766" spans="1:13" x14ac:dyDescent="0.25">
      <c r="A4766" s="8"/>
      <c r="C4766" s="5"/>
      <c r="M4766" s="9"/>
    </row>
    <row r="4767" spans="1:13" x14ac:dyDescent="0.25">
      <c r="A4767" s="8"/>
      <c r="C4767" s="5"/>
      <c r="M4767" s="9"/>
    </row>
    <row r="4768" spans="1:13" x14ac:dyDescent="0.25">
      <c r="A4768" s="8"/>
      <c r="C4768" s="5"/>
      <c r="M4768" s="9"/>
    </row>
    <row r="4769" spans="1:13" x14ac:dyDescent="0.25">
      <c r="A4769" s="8"/>
      <c r="C4769" s="5"/>
      <c r="M4769" s="9"/>
    </row>
    <row r="4770" spans="1:13" x14ac:dyDescent="0.25">
      <c r="A4770" s="8"/>
      <c r="C4770" s="5"/>
      <c r="M4770" s="9"/>
    </row>
    <row r="4771" spans="1:13" x14ac:dyDescent="0.25">
      <c r="A4771" s="8"/>
      <c r="C4771" s="5"/>
      <c r="M4771" s="9"/>
    </row>
    <row r="4772" spans="1:13" x14ac:dyDescent="0.25">
      <c r="A4772" s="8"/>
      <c r="C4772" s="5"/>
      <c r="M4772" s="9"/>
    </row>
    <row r="4773" spans="1:13" x14ac:dyDescent="0.25">
      <c r="A4773" s="8"/>
      <c r="C4773" s="5"/>
      <c r="M4773" s="9"/>
    </row>
    <row r="4774" spans="1:13" x14ac:dyDescent="0.25">
      <c r="A4774" s="8"/>
      <c r="C4774" s="5"/>
      <c r="M4774" s="9"/>
    </row>
    <row r="4775" spans="1:13" x14ac:dyDescent="0.25">
      <c r="A4775" s="8"/>
      <c r="C4775" s="5"/>
      <c r="M4775" s="9"/>
    </row>
    <row r="4776" spans="1:13" x14ac:dyDescent="0.25">
      <c r="A4776" s="8"/>
      <c r="C4776" s="5"/>
      <c r="M4776" s="9"/>
    </row>
    <row r="4777" spans="1:13" x14ac:dyDescent="0.25">
      <c r="A4777" s="8"/>
      <c r="C4777" s="5"/>
      <c r="M4777" s="9"/>
    </row>
    <row r="4778" spans="1:13" x14ac:dyDescent="0.25">
      <c r="A4778" s="8"/>
      <c r="C4778" s="5"/>
      <c r="M4778" s="9"/>
    </row>
    <row r="4779" spans="1:13" x14ac:dyDescent="0.25">
      <c r="A4779" s="8"/>
      <c r="C4779" s="5"/>
      <c r="M4779" s="9"/>
    </row>
    <row r="4780" spans="1:13" x14ac:dyDescent="0.25">
      <c r="A4780" s="8"/>
      <c r="C4780" s="5"/>
      <c r="M4780" s="9"/>
    </row>
    <row r="4781" spans="1:13" x14ac:dyDescent="0.25">
      <c r="A4781" s="8"/>
      <c r="C4781" s="5"/>
      <c r="M4781" s="9"/>
    </row>
    <row r="4782" spans="1:13" x14ac:dyDescent="0.25">
      <c r="A4782" s="8"/>
      <c r="C4782" s="5"/>
      <c r="M4782" s="9"/>
    </row>
    <row r="4783" spans="1:13" x14ac:dyDescent="0.25">
      <c r="A4783" s="8"/>
      <c r="C4783" s="5"/>
      <c r="M4783" s="9"/>
    </row>
    <row r="4784" spans="1:13" x14ac:dyDescent="0.25">
      <c r="A4784" s="8"/>
      <c r="C4784" s="5"/>
      <c r="M4784" s="9"/>
    </row>
    <row r="4785" spans="1:13" x14ac:dyDescent="0.25">
      <c r="A4785" s="8"/>
      <c r="C4785" s="5"/>
      <c r="M4785" s="9"/>
    </row>
    <row r="4786" spans="1:13" x14ac:dyDescent="0.25">
      <c r="A4786" s="8"/>
      <c r="C4786" s="5"/>
      <c r="M4786" s="9"/>
    </row>
    <row r="4787" spans="1:13" x14ac:dyDescent="0.25">
      <c r="A4787" s="8"/>
      <c r="C4787" s="5"/>
      <c r="M4787" s="9"/>
    </row>
    <row r="4788" spans="1:13" x14ac:dyDescent="0.25">
      <c r="A4788" s="8"/>
      <c r="C4788" s="5"/>
      <c r="M4788" s="9"/>
    </row>
    <row r="4789" spans="1:13" x14ac:dyDescent="0.25">
      <c r="A4789" s="8"/>
      <c r="C4789" s="5"/>
      <c r="M4789" s="9"/>
    </row>
    <row r="4790" spans="1:13" x14ac:dyDescent="0.25">
      <c r="A4790" s="8"/>
      <c r="C4790" s="5"/>
      <c r="M4790" s="9"/>
    </row>
    <row r="4791" spans="1:13" x14ac:dyDescent="0.25">
      <c r="A4791" s="8"/>
      <c r="C4791" s="5"/>
      <c r="M4791" s="9"/>
    </row>
    <row r="4792" spans="1:13" x14ac:dyDescent="0.25">
      <c r="A4792" s="8"/>
      <c r="C4792" s="5"/>
      <c r="M4792" s="9"/>
    </row>
    <row r="4793" spans="1:13" x14ac:dyDescent="0.25">
      <c r="A4793" s="8"/>
      <c r="C4793" s="5"/>
      <c r="M4793" s="9"/>
    </row>
    <row r="4794" spans="1:13" x14ac:dyDescent="0.25">
      <c r="A4794" s="8"/>
      <c r="C4794" s="5"/>
      <c r="M4794" s="9"/>
    </row>
    <row r="4795" spans="1:13" x14ac:dyDescent="0.25">
      <c r="A4795" s="8"/>
      <c r="C4795" s="5"/>
      <c r="M4795" s="9"/>
    </row>
    <row r="4796" spans="1:13" x14ac:dyDescent="0.25">
      <c r="A4796" s="8"/>
      <c r="C4796" s="5"/>
      <c r="M4796" s="9"/>
    </row>
    <row r="4797" spans="1:13" x14ac:dyDescent="0.25">
      <c r="A4797" s="8"/>
      <c r="C4797" s="5"/>
      <c r="M4797" s="9"/>
    </row>
    <row r="4798" spans="1:13" x14ac:dyDescent="0.25">
      <c r="A4798" s="8"/>
      <c r="C4798" s="5"/>
      <c r="M4798" s="9"/>
    </row>
    <row r="4799" spans="1:13" x14ac:dyDescent="0.25">
      <c r="A4799" s="8"/>
      <c r="C4799" s="5"/>
      <c r="M4799" s="9"/>
    </row>
    <row r="4800" spans="1:13" x14ac:dyDescent="0.25">
      <c r="A4800" s="8"/>
      <c r="C4800" s="5"/>
      <c r="M4800" s="9"/>
    </row>
    <row r="4801" spans="1:13" x14ac:dyDescent="0.25">
      <c r="A4801" s="8"/>
      <c r="C4801" s="5"/>
      <c r="M4801" s="9"/>
    </row>
    <row r="4802" spans="1:13" x14ac:dyDescent="0.25">
      <c r="A4802" s="8"/>
      <c r="C4802" s="5"/>
      <c r="M4802" s="9"/>
    </row>
    <row r="4803" spans="1:13" x14ac:dyDescent="0.25">
      <c r="A4803" s="8"/>
      <c r="C4803" s="5"/>
      <c r="M4803" s="9"/>
    </row>
    <row r="4804" spans="1:13" x14ac:dyDescent="0.25">
      <c r="A4804" s="8"/>
      <c r="C4804" s="5"/>
      <c r="M4804" s="9"/>
    </row>
    <row r="4805" spans="1:13" x14ac:dyDescent="0.25">
      <c r="A4805" s="8"/>
      <c r="C4805" s="5"/>
      <c r="M4805" s="9"/>
    </row>
    <row r="4806" spans="1:13" x14ac:dyDescent="0.25">
      <c r="A4806" s="8"/>
      <c r="C4806" s="5"/>
      <c r="M4806" s="9"/>
    </row>
    <row r="4807" spans="1:13" x14ac:dyDescent="0.25">
      <c r="A4807" s="8"/>
      <c r="C4807" s="5"/>
      <c r="M4807" s="9"/>
    </row>
    <row r="4808" spans="1:13" x14ac:dyDescent="0.25">
      <c r="A4808" s="8"/>
      <c r="C4808" s="5"/>
      <c r="M4808" s="9"/>
    </row>
    <row r="4809" spans="1:13" x14ac:dyDescent="0.25">
      <c r="A4809" s="8"/>
      <c r="C4809" s="5"/>
      <c r="M4809" s="9"/>
    </row>
    <row r="4810" spans="1:13" x14ac:dyDescent="0.25">
      <c r="A4810" s="8"/>
      <c r="C4810" s="5"/>
      <c r="M4810" s="9"/>
    </row>
    <row r="4811" spans="1:13" x14ac:dyDescent="0.25">
      <c r="A4811" s="8"/>
      <c r="C4811" s="5"/>
      <c r="M4811" s="9"/>
    </row>
    <row r="4812" spans="1:13" x14ac:dyDescent="0.25">
      <c r="A4812" s="8"/>
      <c r="C4812" s="5"/>
      <c r="M4812" s="9"/>
    </row>
    <row r="4813" spans="1:13" x14ac:dyDescent="0.25">
      <c r="A4813" s="8"/>
      <c r="C4813" s="5"/>
      <c r="M4813" s="9"/>
    </row>
    <row r="4814" spans="1:13" x14ac:dyDescent="0.25">
      <c r="A4814" s="8"/>
      <c r="C4814" s="5"/>
      <c r="M4814" s="9"/>
    </row>
    <row r="4815" spans="1:13" x14ac:dyDescent="0.25">
      <c r="A4815" s="8"/>
      <c r="C4815" s="5"/>
      <c r="M4815" s="9"/>
    </row>
    <row r="4816" spans="1:13" x14ac:dyDescent="0.25">
      <c r="A4816" s="8"/>
      <c r="C4816" s="5"/>
      <c r="M4816" s="9"/>
    </row>
    <row r="4817" spans="1:13" x14ac:dyDescent="0.25">
      <c r="A4817" s="8"/>
      <c r="C4817" s="5"/>
      <c r="M4817" s="9"/>
    </row>
    <row r="4818" spans="1:13" x14ac:dyDescent="0.25">
      <c r="A4818" s="8"/>
      <c r="C4818" s="5"/>
      <c r="M4818" s="9"/>
    </row>
    <row r="4819" spans="1:13" x14ac:dyDescent="0.25">
      <c r="A4819" s="8"/>
      <c r="C4819" s="5"/>
      <c r="M4819" s="9"/>
    </row>
    <row r="4820" spans="1:13" x14ac:dyDescent="0.25">
      <c r="A4820" s="8"/>
      <c r="C4820" s="5"/>
      <c r="M4820" s="9"/>
    </row>
    <row r="4821" spans="1:13" x14ac:dyDescent="0.25">
      <c r="A4821" s="8"/>
      <c r="C4821" s="5"/>
      <c r="M4821" s="9"/>
    </row>
    <row r="4822" spans="1:13" x14ac:dyDescent="0.25">
      <c r="A4822" s="8"/>
      <c r="C4822" s="5"/>
      <c r="M4822" s="9"/>
    </row>
    <row r="4823" spans="1:13" x14ac:dyDescent="0.25">
      <c r="A4823" s="8"/>
      <c r="C4823" s="5"/>
      <c r="M4823" s="9"/>
    </row>
    <row r="4824" spans="1:13" x14ac:dyDescent="0.25">
      <c r="A4824" s="8"/>
      <c r="C4824" s="5"/>
      <c r="M4824" s="9"/>
    </row>
    <row r="4825" spans="1:13" x14ac:dyDescent="0.25">
      <c r="A4825" s="8"/>
      <c r="C4825" s="5"/>
      <c r="M4825" s="9"/>
    </row>
    <row r="4826" spans="1:13" x14ac:dyDescent="0.25">
      <c r="A4826" s="8"/>
      <c r="C4826" s="5"/>
      <c r="M4826" s="9"/>
    </row>
    <row r="4827" spans="1:13" x14ac:dyDescent="0.25">
      <c r="A4827" s="8"/>
      <c r="C4827" s="5"/>
      <c r="M4827" s="9"/>
    </row>
    <row r="4828" spans="1:13" x14ac:dyDescent="0.25">
      <c r="A4828" s="8"/>
      <c r="C4828" s="5"/>
      <c r="M4828" s="9"/>
    </row>
    <row r="4829" spans="1:13" x14ac:dyDescent="0.25">
      <c r="A4829" s="8"/>
      <c r="C4829" s="5"/>
      <c r="M4829" s="9"/>
    </row>
    <row r="4830" spans="1:13" x14ac:dyDescent="0.25">
      <c r="A4830" s="8"/>
      <c r="C4830" s="5"/>
      <c r="M4830" s="9"/>
    </row>
    <row r="4831" spans="1:13" x14ac:dyDescent="0.25">
      <c r="A4831" s="8"/>
      <c r="C4831" s="5"/>
      <c r="M4831" s="9"/>
    </row>
    <row r="4832" spans="1:13" x14ac:dyDescent="0.25">
      <c r="A4832" s="8"/>
      <c r="C4832" s="5"/>
      <c r="M4832" s="9"/>
    </row>
    <row r="4833" spans="1:13" x14ac:dyDescent="0.25">
      <c r="A4833" s="8"/>
      <c r="C4833" s="5"/>
      <c r="M4833" s="9"/>
    </row>
    <row r="4834" spans="1:13" x14ac:dyDescent="0.25">
      <c r="A4834" s="8"/>
      <c r="C4834" s="5"/>
      <c r="M4834" s="9"/>
    </row>
    <row r="4835" spans="1:13" x14ac:dyDescent="0.25">
      <c r="A4835" s="8"/>
      <c r="C4835" s="5"/>
      <c r="M4835" s="9"/>
    </row>
    <row r="4836" spans="1:13" x14ac:dyDescent="0.25">
      <c r="A4836" s="8"/>
      <c r="C4836" s="5"/>
      <c r="M4836" s="9"/>
    </row>
    <row r="4837" spans="1:13" x14ac:dyDescent="0.25">
      <c r="A4837" s="8"/>
      <c r="C4837" s="5"/>
      <c r="M4837" s="9"/>
    </row>
    <row r="4838" spans="1:13" x14ac:dyDescent="0.25">
      <c r="A4838" s="8"/>
      <c r="C4838" s="5"/>
      <c r="M4838" s="9"/>
    </row>
    <row r="4839" spans="1:13" x14ac:dyDescent="0.25">
      <c r="A4839" s="8"/>
      <c r="C4839" s="5"/>
      <c r="M4839" s="9"/>
    </row>
    <row r="4840" spans="1:13" x14ac:dyDescent="0.25">
      <c r="A4840" s="8"/>
      <c r="C4840" s="5"/>
      <c r="M4840" s="9"/>
    </row>
    <row r="4841" spans="1:13" x14ac:dyDescent="0.25">
      <c r="A4841" s="8"/>
      <c r="C4841" s="5"/>
      <c r="M4841" s="9"/>
    </row>
    <row r="4842" spans="1:13" x14ac:dyDescent="0.25">
      <c r="A4842" s="8"/>
      <c r="C4842" s="5"/>
      <c r="M4842" s="9"/>
    </row>
    <row r="4843" spans="1:13" x14ac:dyDescent="0.25">
      <c r="A4843" s="8"/>
      <c r="C4843" s="5"/>
      <c r="M4843" s="9"/>
    </row>
    <row r="4844" spans="1:13" x14ac:dyDescent="0.25">
      <c r="A4844" s="8"/>
      <c r="C4844" s="5"/>
      <c r="M4844" s="9"/>
    </row>
    <row r="4845" spans="1:13" x14ac:dyDescent="0.25">
      <c r="A4845" s="8"/>
      <c r="C4845" s="5"/>
      <c r="M4845" s="9"/>
    </row>
    <row r="4846" spans="1:13" x14ac:dyDescent="0.25">
      <c r="A4846" s="8"/>
      <c r="C4846" s="5"/>
      <c r="M4846" s="9"/>
    </row>
    <row r="4847" spans="1:13" x14ac:dyDescent="0.25">
      <c r="A4847" s="8"/>
      <c r="C4847" s="5"/>
      <c r="M4847" s="9"/>
    </row>
    <row r="4848" spans="1:13" x14ac:dyDescent="0.25">
      <c r="A4848" s="8"/>
      <c r="C4848" s="5"/>
      <c r="M4848" s="9"/>
    </row>
    <row r="4849" spans="1:13" x14ac:dyDescent="0.25">
      <c r="A4849" s="8"/>
      <c r="C4849" s="5"/>
      <c r="M4849" s="9"/>
    </row>
    <row r="4850" spans="1:13" x14ac:dyDescent="0.25">
      <c r="A4850" s="8"/>
      <c r="C4850" s="5"/>
      <c r="M4850" s="9"/>
    </row>
    <row r="4851" spans="1:13" x14ac:dyDescent="0.25">
      <c r="A4851" s="8"/>
      <c r="C4851" s="5"/>
      <c r="M4851" s="9"/>
    </row>
    <row r="4852" spans="1:13" x14ac:dyDescent="0.25">
      <c r="A4852" s="8"/>
      <c r="C4852" s="5"/>
      <c r="M4852" s="9"/>
    </row>
    <row r="4853" spans="1:13" x14ac:dyDescent="0.25">
      <c r="A4853" s="8"/>
      <c r="C4853" s="5"/>
      <c r="M4853" s="9"/>
    </row>
    <row r="4854" spans="1:13" x14ac:dyDescent="0.25">
      <c r="A4854" s="8"/>
      <c r="C4854" s="5"/>
      <c r="M4854" s="9"/>
    </row>
    <row r="4855" spans="1:13" x14ac:dyDescent="0.25">
      <c r="A4855" s="8"/>
      <c r="C4855" s="5"/>
      <c r="M4855" s="9"/>
    </row>
    <row r="4856" spans="1:13" x14ac:dyDescent="0.25">
      <c r="A4856" s="8"/>
      <c r="C4856" s="5"/>
      <c r="M4856" s="9"/>
    </row>
    <row r="4857" spans="1:13" x14ac:dyDescent="0.25">
      <c r="A4857" s="8"/>
      <c r="C4857" s="5"/>
      <c r="M4857" s="9"/>
    </row>
    <row r="4858" spans="1:13" x14ac:dyDescent="0.25">
      <c r="A4858" s="8"/>
      <c r="C4858" s="5"/>
      <c r="M4858" s="9"/>
    </row>
    <row r="4859" spans="1:13" x14ac:dyDescent="0.25">
      <c r="A4859" s="8"/>
      <c r="C4859" s="5"/>
      <c r="M4859" s="9"/>
    </row>
    <row r="4860" spans="1:13" x14ac:dyDescent="0.25">
      <c r="A4860" s="8"/>
      <c r="C4860" s="5"/>
      <c r="M4860" s="9"/>
    </row>
    <row r="4861" spans="1:13" x14ac:dyDescent="0.25">
      <c r="A4861" s="8"/>
      <c r="C4861" s="5"/>
      <c r="M4861" s="9"/>
    </row>
    <row r="4862" spans="1:13" x14ac:dyDescent="0.25">
      <c r="A4862" s="8"/>
      <c r="C4862" s="5"/>
      <c r="M4862" s="9"/>
    </row>
    <row r="4863" spans="1:13" x14ac:dyDescent="0.25">
      <c r="A4863" s="8"/>
      <c r="C4863" s="5"/>
      <c r="M4863" s="9"/>
    </row>
    <row r="4864" spans="1:13" x14ac:dyDescent="0.25">
      <c r="A4864" s="8"/>
      <c r="C4864" s="5"/>
      <c r="M4864" s="9"/>
    </row>
    <row r="4865" spans="1:13" x14ac:dyDescent="0.25">
      <c r="A4865" s="8"/>
      <c r="C4865" s="5"/>
      <c r="M4865" s="9"/>
    </row>
    <row r="4866" spans="1:13" x14ac:dyDescent="0.25">
      <c r="A4866" s="8"/>
      <c r="C4866" s="5"/>
      <c r="M4866" s="9"/>
    </row>
    <row r="4867" spans="1:13" x14ac:dyDescent="0.25">
      <c r="A4867" s="8"/>
      <c r="C4867" s="5"/>
      <c r="M4867" s="9"/>
    </row>
    <row r="4868" spans="1:13" x14ac:dyDescent="0.25">
      <c r="A4868" s="8"/>
      <c r="C4868" s="5"/>
      <c r="M4868" s="9"/>
    </row>
    <row r="4869" spans="1:13" x14ac:dyDescent="0.25">
      <c r="A4869" s="8"/>
      <c r="C4869" s="5"/>
      <c r="M4869" s="9"/>
    </row>
    <row r="4870" spans="1:13" x14ac:dyDescent="0.25">
      <c r="A4870" s="8"/>
      <c r="C4870" s="5"/>
      <c r="M4870" s="9"/>
    </row>
    <row r="4871" spans="1:13" x14ac:dyDescent="0.25">
      <c r="A4871" s="8"/>
      <c r="C4871" s="5"/>
      <c r="M4871" s="9"/>
    </row>
    <row r="4872" spans="1:13" x14ac:dyDescent="0.25">
      <c r="A4872" s="8"/>
      <c r="C4872" s="5"/>
      <c r="M4872" s="9"/>
    </row>
    <row r="4873" spans="1:13" x14ac:dyDescent="0.25">
      <c r="A4873" s="8"/>
      <c r="C4873" s="5"/>
      <c r="M4873" s="9"/>
    </row>
    <row r="4874" spans="1:13" x14ac:dyDescent="0.25">
      <c r="A4874" s="8"/>
      <c r="C4874" s="5"/>
      <c r="M4874" s="9"/>
    </row>
    <row r="4875" spans="1:13" x14ac:dyDescent="0.25">
      <c r="A4875" s="8"/>
      <c r="C4875" s="5"/>
      <c r="M4875" s="9"/>
    </row>
    <row r="4876" spans="1:13" x14ac:dyDescent="0.25">
      <c r="A4876" s="8"/>
      <c r="C4876" s="5"/>
      <c r="M4876" s="9"/>
    </row>
    <row r="4877" spans="1:13" x14ac:dyDescent="0.25">
      <c r="A4877" s="8"/>
      <c r="C4877" s="5"/>
      <c r="M4877" s="9"/>
    </row>
    <row r="4878" spans="1:13" x14ac:dyDescent="0.25">
      <c r="A4878" s="8"/>
      <c r="C4878" s="5"/>
      <c r="M4878" s="9"/>
    </row>
    <row r="4879" spans="1:13" x14ac:dyDescent="0.25">
      <c r="A4879" s="8"/>
      <c r="C4879" s="5"/>
      <c r="M4879" s="9"/>
    </row>
    <row r="4880" spans="1:13" x14ac:dyDescent="0.25">
      <c r="A4880" s="8"/>
      <c r="C4880" s="5"/>
      <c r="M4880" s="9"/>
    </row>
    <row r="4881" spans="1:13" x14ac:dyDescent="0.25">
      <c r="A4881" s="8"/>
      <c r="C4881" s="5"/>
      <c r="M4881" s="9"/>
    </row>
    <row r="4882" spans="1:13" x14ac:dyDescent="0.25">
      <c r="A4882" s="8"/>
      <c r="C4882" s="5"/>
      <c r="M4882" s="9"/>
    </row>
    <row r="4883" spans="1:13" x14ac:dyDescent="0.25">
      <c r="A4883" s="8"/>
      <c r="C4883" s="5"/>
      <c r="M4883" s="9"/>
    </row>
    <row r="4884" spans="1:13" x14ac:dyDescent="0.25">
      <c r="A4884" s="8"/>
      <c r="C4884" s="5"/>
      <c r="M4884" s="9"/>
    </row>
    <row r="4885" spans="1:13" x14ac:dyDescent="0.25">
      <c r="A4885" s="8"/>
      <c r="C4885" s="5"/>
      <c r="M4885" s="9"/>
    </row>
    <row r="4886" spans="1:13" x14ac:dyDescent="0.25">
      <c r="A4886" s="8"/>
      <c r="C4886" s="5"/>
      <c r="M4886" s="9"/>
    </row>
    <row r="4887" spans="1:13" x14ac:dyDescent="0.25">
      <c r="A4887" s="8"/>
      <c r="C4887" s="5"/>
      <c r="M4887" s="9"/>
    </row>
    <row r="4888" spans="1:13" x14ac:dyDescent="0.25">
      <c r="A4888" s="8"/>
      <c r="C4888" s="5"/>
      <c r="M4888" s="9"/>
    </row>
    <row r="4889" spans="1:13" x14ac:dyDescent="0.25">
      <c r="A4889" s="8"/>
      <c r="C4889" s="5"/>
      <c r="M4889" s="9"/>
    </row>
    <row r="4890" spans="1:13" x14ac:dyDescent="0.25">
      <c r="A4890" s="8"/>
      <c r="C4890" s="5"/>
      <c r="M4890" s="9"/>
    </row>
    <row r="4891" spans="1:13" x14ac:dyDescent="0.25">
      <c r="A4891" s="8"/>
      <c r="C4891" s="5"/>
      <c r="M4891" s="9"/>
    </row>
    <row r="4892" spans="1:13" x14ac:dyDescent="0.25">
      <c r="A4892" s="8"/>
      <c r="C4892" s="5"/>
      <c r="M4892" s="9"/>
    </row>
    <row r="4893" spans="1:13" x14ac:dyDescent="0.25">
      <c r="A4893" s="8"/>
      <c r="C4893" s="5"/>
      <c r="M4893" s="9"/>
    </row>
    <row r="4894" spans="1:13" x14ac:dyDescent="0.25">
      <c r="A4894" s="8"/>
      <c r="C4894" s="5"/>
      <c r="M4894" s="9"/>
    </row>
    <row r="4895" spans="1:13" x14ac:dyDescent="0.25">
      <c r="A4895" s="8"/>
      <c r="C4895" s="5"/>
      <c r="M4895" s="9"/>
    </row>
    <row r="4896" spans="1:13" x14ac:dyDescent="0.25">
      <c r="A4896" s="8"/>
      <c r="C4896" s="5"/>
      <c r="M4896" s="9"/>
    </row>
    <row r="4897" spans="1:13" x14ac:dyDescent="0.25">
      <c r="A4897" s="8"/>
      <c r="C4897" s="5"/>
      <c r="M4897" s="9"/>
    </row>
    <row r="4898" spans="1:13" x14ac:dyDescent="0.25">
      <c r="A4898" s="8"/>
      <c r="C4898" s="5"/>
      <c r="M4898" s="9"/>
    </row>
    <row r="4899" spans="1:13" x14ac:dyDescent="0.25">
      <c r="A4899" s="8"/>
      <c r="C4899" s="5"/>
      <c r="M4899" s="9"/>
    </row>
    <row r="4900" spans="1:13" x14ac:dyDescent="0.25">
      <c r="A4900" s="8"/>
      <c r="C4900" s="5"/>
      <c r="M4900" s="9"/>
    </row>
    <row r="4901" spans="1:13" x14ac:dyDescent="0.25">
      <c r="A4901" s="8"/>
      <c r="C4901" s="5"/>
      <c r="M4901" s="9"/>
    </row>
    <row r="4902" spans="1:13" x14ac:dyDescent="0.25">
      <c r="A4902" s="8"/>
      <c r="C4902" s="5"/>
      <c r="M4902" s="9"/>
    </row>
    <row r="4903" spans="1:13" x14ac:dyDescent="0.25">
      <c r="A4903" s="8"/>
      <c r="C4903" s="5"/>
      <c r="M4903" s="9"/>
    </row>
    <row r="4904" spans="1:13" x14ac:dyDescent="0.25">
      <c r="A4904" s="8"/>
      <c r="C4904" s="5"/>
      <c r="M4904" s="9"/>
    </row>
    <row r="4905" spans="1:13" x14ac:dyDescent="0.25">
      <c r="A4905" s="8"/>
      <c r="C4905" s="5"/>
      <c r="M4905" s="9"/>
    </row>
    <row r="4906" spans="1:13" x14ac:dyDescent="0.25">
      <c r="A4906" s="8"/>
      <c r="C4906" s="5"/>
      <c r="M4906" s="9"/>
    </row>
    <row r="4907" spans="1:13" x14ac:dyDescent="0.25">
      <c r="A4907" s="8"/>
      <c r="C4907" s="5"/>
      <c r="M4907" s="9"/>
    </row>
    <row r="4908" spans="1:13" x14ac:dyDescent="0.25">
      <c r="A4908" s="8"/>
      <c r="C4908" s="5"/>
      <c r="M4908" s="9"/>
    </row>
    <row r="4909" spans="1:13" x14ac:dyDescent="0.25">
      <c r="A4909" s="8"/>
      <c r="C4909" s="5"/>
      <c r="M4909" s="9"/>
    </row>
    <row r="4910" spans="1:13" x14ac:dyDescent="0.25">
      <c r="A4910" s="8"/>
      <c r="C4910" s="5"/>
      <c r="M4910" s="9"/>
    </row>
    <row r="4911" spans="1:13" x14ac:dyDescent="0.25">
      <c r="A4911" s="8"/>
      <c r="C4911" s="5"/>
      <c r="M4911" s="9"/>
    </row>
    <row r="4912" spans="1:13" x14ac:dyDescent="0.25">
      <c r="A4912" s="8"/>
      <c r="C4912" s="5"/>
      <c r="M4912" s="9"/>
    </row>
    <row r="4913" spans="1:13" x14ac:dyDescent="0.25">
      <c r="A4913" s="8"/>
      <c r="C4913" s="5"/>
      <c r="M4913" s="9"/>
    </row>
    <row r="4914" spans="1:13" x14ac:dyDescent="0.25">
      <c r="A4914" s="8"/>
      <c r="C4914" s="5"/>
      <c r="M4914" s="9"/>
    </row>
    <row r="4915" spans="1:13" x14ac:dyDescent="0.25">
      <c r="A4915" s="8"/>
      <c r="C4915" s="5"/>
      <c r="M4915" s="9"/>
    </row>
    <row r="4916" spans="1:13" x14ac:dyDescent="0.25">
      <c r="A4916" s="8"/>
      <c r="C4916" s="5"/>
      <c r="M4916" s="9"/>
    </row>
    <row r="4917" spans="1:13" x14ac:dyDescent="0.25">
      <c r="A4917" s="8"/>
      <c r="C4917" s="5"/>
      <c r="M4917" s="9"/>
    </row>
    <row r="4918" spans="1:13" x14ac:dyDescent="0.25">
      <c r="A4918" s="8"/>
      <c r="C4918" s="5"/>
      <c r="M4918" s="9"/>
    </row>
    <row r="4919" spans="1:13" x14ac:dyDescent="0.25">
      <c r="A4919" s="8"/>
      <c r="C4919" s="5"/>
      <c r="M4919" s="9"/>
    </row>
    <row r="4920" spans="1:13" x14ac:dyDescent="0.25">
      <c r="A4920" s="8"/>
      <c r="C4920" s="5"/>
      <c r="M4920" s="9"/>
    </row>
    <row r="4921" spans="1:13" x14ac:dyDescent="0.25">
      <c r="A4921" s="8"/>
      <c r="C4921" s="5"/>
      <c r="M4921" s="9"/>
    </row>
    <row r="4922" spans="1:13" x14ac:dyDescent="0.25">
      <c r="A4922" s="8"/>
      <c r="C4922" s="5"/>
      <c r="M4922" s="9"/>
    </row>
    <row r="4923" spans="1:13" x14ac:dyDescent="0.25">
      <c r="A4923" s="8"/>
      <c r="C4923" s="5"/>
      <c r="M4923" s="9"/>
    </row>
    <row r="4924" spans="1:13" x14ac:dyDescent="0.25">
      <c r="A4924" s="8"/>
      <c r="C4924" s="5"/>
      <c r="M4924" s="9"/>
    </row>
    <row r="4925" spans="1:13" x14ac:dyDescent="0.25">
      <c r="A4925" s="8"/>
      <c r="C4925" s="5"/>
      <c r="M4925" s="9"/>
    </row>
    <row r="4926" spans="1:13" x14ac:dyDescent="0.25">
      <c r="A4926" s="8"/>
      <c r="C4926" s="5"/>
      <c r="M4926" s="9"/>
    </row>
    <row r="4927" spans="1:13" x14ac:dyDescent="0.25">
      <c r="A4927" s="8"/>
      <c r="C4927" s="5"/>
      <c r="M4927" s="9"/>
    </row>
    <row r="4928" spans="1:13" x14ac:dyDescent="0.25">
      <c r="A4928" s="8"/>
      <c r="C4928" s="5"/>
      <c r="M4928" s="9"/>
    </row>
    <row r="4929" spans="1:13" x14ac:dyDescent="0.25">
      <c r="A4929" s="8"/>
      <c r="C4929" s="5"/>
      <c r="M4929" s="9"/>
    </row>
    <row r="4930" spans="1:13" x14ac:dyDescent="0.25">
      <c r="A4930" s="8"/>
      <c r="C4930" s="5"/>
      <c r="M4930" s="9"/>
    </row>
    <row r="4931" spans="1:13" x14ac:dyDescent="0.25">
      <c r="A4931" s="8"/>
      <c r="C4931" s="5"/>
      <c r="M4931" s="9"/>
    </row>
    <row r="4932" spans="1:13" x14ac:dyDescent="0.25">
      <c r="A4932" s="8"/>
      <c r="C4932" s="5"/>
      <c r="M4932" s="9"/>
    </row>
    <row r="4933" spans="1:13" x14ac:dyDescent="0.25">
      <c r="A4933" s="8"/>
      <c r="C4933" s="5"/>
      <c r="M4933" s="9"/>
    </row>
    <row r="4934" spans="1:13" x14ac:dyDescent="0.25">
      <c r="A4934" s="8"/>
      <c r="C4934" s="5"/>
      <c r="M4934" s="9"/>
    </row>
    <row r="4935" spans="1:13" x14ac:dyDescent="0.25">
      <c r="A4935" s="8"/>
      <c r="C4935" s="5"/>
      <c r="M4935" s="9"/>
    </row>
    <row r="4936" spans="1:13" x14ac:dyDescent="0.25">
      <c r="A4936" s="8"/>
      <c r="C4936" s="5"/>
      <c r="M4936" s="9"/>
    </row>
    <row r="4937" spans="1:13" x14ac:dyDescent="0.25">
      <c r="A4937" s="8"/>
      <c r="C4937" s="5"/>
      <c r="M4937" s="9"/>
    </row>
    <row r="4938" spans="1:13" x14ac:dyDescent="0.25">
      <c r="A4938" s="8"/>
      <c r="C4938" s="5"/>
      <c r="M4938" s="9"/>
    </row>
    <row r="4939" spans="1:13" x14ac:dyDescent="0.25">
      <c r="A4939" s="8"/>
      <c r="C4939" s="5"/>
      <c r="M4939" s="9"/>
    </row>
    <row r="4940" spans="1:13" x14ac:dyDescent="0.25">
      <c r="A4940" s="8"/>
      <c r="C4940" s="5"/>
      <c r="M4940" s="9"/>
    </row>
    <row r="4941" spans="1:13" x14ac:dyDescent="0.25">
      <c r="A4941" s="8"/>
      <c r="C4941" s="5"/>
      <c r="M4941" s="9"/>
    </row>
    <row r="4942" spans="1:13" x14ac:dyDescent="0.25">
      <c r="A4942" s="8"/>
      <c r="C4942" s="5"/>
      <c r="M4942" s="9"/>
    </row>
    <row r="4943" spans="1:13" x14ac:dyDescent="0.25">
      <c r="A4943" s="8"/>
      <c r="C4943" s="5"/>
      <c r="M4943" s="9"/>
    </row>
    <row r="4944" spans="1:13" x14ac:dyDescent="0.25">
      <c r="A4944" s="8"/>
      <c r="C4944" s="5"/>
      <c r="M4944" s="9"/>
    </row>
    <row r="4945" spans="1:13" x14ac:dyDescent="0.25">
      <c r="A4945" s="8"/>
      <c r="C4945" s="5"/>
      <c r="M4945" s="9"/>
    </row>
    <row r="4946" spans="1:13" x14ac:dyDescent="0.25">
      <c r="A4946" s="8"/>
      <c r="C4946" s="5"/>
      <c r="M4946" s="9"/>
    </row>
    <row r="4947" spans="1:13" x14ac:dyDescent="0.25">
      <c r="A4947" s="8"/>
      <c r="C4947" s="5"/>
      <c r="M4947" s="9"/>
    </row>
    <row r="4948" spans="1:13" x14ac:dyDescent="0.25">
      <c r="A4948" s="8"/>
      <c r="C4948" s="5"/>
      <c r="M4948" s="9"/>
    </row>
    <row r="4949" spans="1:13" x14ac:dyDescent="0.25">
      <c r="A4949" s="8"/>
      <c r="C4949" s="5"/>
      <c r="M4949" s="9"/>
    </row>
    <row r="4950" spans="1:13" x14ac:dyDescent="0.25">
      <c r="A4950" s="8"/>
      <c r="C4950" s="5"/>
      <c r="M4950" s="9"/>
    </row>
    <row r="4951" spans="1:13" x14ac:dyDescent="0.25">
      <c r="A4951" s="8"/>
      <c r="C4951" s="5"/>
      <c r="M4951" s="9"/>
    </row>
    <row r="4952" spans="1:13" x14ac:dyDescent="0.25">
      <c r="A4952" s="8"/>
      <c r="C4952" s="5"/>
      <c r="M4952" s="9"/>
    </row>
    <row r="4953" spans="1:13" x14ac:dyDescent="0.25">
      <c r="A4953" s="8"/>
      <c r="C4953" s="5"/>
      <c r="M4953" s="9"/>
    </row>
    <row r="4954" spans="1:13" x14ac:dyDescent="0.25">
      <c r="A4954" s="8"/>
      <c r="C4954" s="5"/>
      <c r="M4954" s="9"/>
    </row>
    <row r="4955" spans="1:13" x14ac:dyDescent="0.25">
      <c r="A4955" s="8"/>
      <c r="C4955" s="5"/>
      <c r="M4955" s="9"/>
    </row>
    <row r="4956" spans="1:13" x14ac:dyDescent="0.25">
      <c r="A4956" s="8"/>
      <c r="C4956" s="5"/>
      <c r="M4956" s="9"/>
    </row>
    <row r="4957" spans="1:13" x14ac:dyDescent="0.25">
      <c r="A4957" s="8"/>
      <c r="C4957" s="5"/>
      <c r="M4957" s="9"/>
    </row>
    <row r="4958" spans="1:13" x14ac:dyDescent="0.25">
      <c r="A4958" s="8"/>
      <c r="C4958" s="5"/>
      <c r="M4958" s="9"/>
    </row>
    <row r="4959" spans="1:13" x14ac:dyDescent="0.25">
      <c r="A4959" s="8"/>
      <c r="C4959" s="5"/>
      <c r="M4959" s="9"/>
    </row>
    <row r="4960" spans="1:13" x14ac:dyDescent="0.25">
      <c r="A4960" s="8"/>
      <c r="C4960" s="5"/>
      <c r="M4960" s="9"/>
    </row>
    <row r="4961" spans="1:13" x14ac:dyDescent="0.25">
      <c r="A4961" s="8"/>
      <c r="C4961" s="5"/>
      <c r="M4961" s="9"/>
    </row>
    <row r="4962" spans="1:13" x14ac:dyDescent="0.25">
      <c r="A4962" s="8"/>
      <c r="C4962" s="5"/>
      <c r="M4962" s="9"/>
    </row>
    <row r="4963" spans="1:13" x14ac:dyDescent="0.25">
      <c r="A4963" s="8"/>
      <c r="C4963" s="5"/>
      <c r="M4963" s="9"/>
    </row>
    <row r="4964" spans="1:13" x14ac:dyDescent="0.25">
      <c r="A4964" s="8"/>
      <c r="C4964" s="5"/>
      <c r="M4964" s="9"/>
    </row>
    <row r="4965" spans="1:13" x14ac:dyDescent="0.25">
      <c r="A4965" s="8"/>
      <c r="C4965" s="5"/>
      <c r="M4965" s="9"/>
    </row>
    <row r="4966" spans="1:13" x14ac:dyDescent="0.25">
      <c r="A4966" s="8"/>
      <c r="C4966" s="5"/>
      <c r="M4966" s="9"/>
    </row>
    <row r="4967" spans="1:13" x14ac:dyDescent="0.25">
      <c r="A4967" s="8"/>
      <c r="C4967" s="5"/>
      <c r="M4967" s="9"/>
    </row>
    <row r="4968" spans="1:13" x14ac:dyDescent="0.25">
      <c r="A4968" s="8"/>
      <c r="C4968" s="5"/>
      <c r="M4968" s="9"/>
    </row>
    <row r="4969" spans="1:13" x14ac:dyDescent="0.25">
      <c r="A4969" s="8"/>
      <c r="C4969" s="5"/>
      <c r="M4969" s="9"/>
    </row>
    <row r="4970" spans="1:13" x14ac:dyDescent="0.25">
      <c r="A4970" s="8"/>
      <c r="C4970" s="5"/>
      <c r="M4970" s="9"/>
    </row>
    <row r="4971" spans="1:13" x14ac:dyDescent="0.25">
      <c r="A4971" s="8"/>
      <c r="C4971" s="5"/>
      <c r="M4971" s="9"/>
    </row>
    <row r="4972" spans="1:13" x14ac:dyDescent="0.25">
      <c r="A4972" s="8"/>
      <c r="C4972" s="5"/>
      <c r="M4972" s="9"/>
    </row>
    <row r="4973" spans="1:13" x14ac:dyDescent="0.25">
      <c r="A4973" s="8"/>
      <c r="C4973" s="5"/>
      <c r="M4973" s="9"/>
    </row>
    <row r="4974" spans="1:13" x14ac:dyDescent="0.25">
      <c r="A4974" s="8"/>
      <c r="C4974" s="5"/>
      <c r="M4974" s="9"/>
    </row>
    <row r="4975" spans="1:13" x14ac:dyDescent="0.25">
      <c r="A4975" s="8"/>
      <c r="C4975" s="5"/>
      <c r="M4975" s="9"/>
    </row>
    <row r="4976" spans="1:13" x14ac:dyDescent="0.25">
      <c r="A4976" s="8"/>
      <c r="C4976" s="5"/>
      <c r="M4976" s="9"/>
    </row>
    <row r="4977" spans="1:13" x14ac:dyDescent="0.25">
      <c r="A4977" s="8"/>
      <c r="C4977" s="5"/>
      <c r="M4977" s="9"/>
    </row>
    <row r="4978" spans="1:13" x14ac:dyDescent="0.25">
      <c r="A4978" s="8"/>
      <c r="C4978" s="5"/>
      <c r="M4978" s="9"/>
    </row>
    <row r="4979" spans="1:13" x14ac:dyDescent="0.25">
      <c r="A4979" s="8"/>
      <c r="C4979" s="5"/>
      <c r="M4979" s="9"/>
    </row>
    <row r="4980" spans="1:13" x14ac:dyDescent="0.25">
      <c r="A4980" s="8"/>
      <c r="C4980" s="5"/>
      <c r="M4980" s="9"/>
    </row>
    <row r="4981" spans="1:13" x14ac:dyDescent="0.25">
      <c r="A4981" s="8"/>
      <c r="C4981" s="5"/>
      <c r="M4981" s="9"/>
    </row>
    <row r="4982" spans="1:13" x14ac:dyDescent="0.25">
      <c r="A4982" s="8"/>
      <c r="C4982" s="5"/>
      <c r="M4982" s="9"/>
    </row>
    <row r="4983" spans="1:13" x14ac:dyDescent="0.25">
      <c r="A4983" s="8"/>
      <c r="C4983" s="5"/>
      <c r="M4983" s="9"/>
    </row>
    <row r="4984" spans="1:13" x14ac:dyDescent="0.25">
      <c r="A4984" s="8"/>
      <c r="C4984" s="5"/>
      <c r="M4984" s="9"/>
    </row>
    <row r="4985" spans="1:13" x14ac:dyDescent="0.25">
      <c r="A4985" s="8"/>
      <c r="C4985" s="5"/>
      <c r="M4985" s="9"/>
    </row>
    <row r="4986" spans="1:13" x14ac:dyDescent="0.25">
      <c r="A4986" s="8"/>
      <c r="C4986" s="5"/>
      <c r="M4986" s="9"/>
    </row>
    <row r="4987" spans="1:13" x14ac:dyDescent="0.25">
      <c r="A4987" s="8"/>
      <c r="C4987" s="5"/>
      <c r="M4987" s="9"/>
    </row>
    <row r="4988" spans="1:13" x14ac:dyDescent="0.25">
      <c r="A4988" s="8"/>
      <c r="C4988" s="5"/>
      <c r="M4988" s="9"/>
    </row>
    <row r="4989" spans="1:13" x14ac:dyDescent="0.25">
      <c r="A4989" s="8"/>
      <c r="C4989" s="5"/>
      <c r="M4989" s="9"/>
    </row>
    <row r="4990" spans="1:13" x14ac:dyDescent="0.25">
      <c r="A4990" s="8"/>
      <c r="C4990" s="5"/>
      <c r="M4990" s="9"/>
    </row>
    <row r="4991" spans="1:13" x14ac:dyDescent="0.25">
      <c r="A4991" s="8"/>
      <c r="C4991" s="5"/>
      <c r="M4991" s="9"/>
    </row>
    <row r="4992" spans="1:13" x14ac:dyDescent="0.25">
      <c r="A4992" s="8"/>
      <c r="C4992" s="5"/>
      <c r="M4992" s="9"/>
    </row>
    <row r="4993" spans="1:13" x14ac:dyDescent="0.25">
      <c r="A4993" s="8"/>
      <c r="C4993" s="5"/>
      <c r="M4993" s="9"/>
    </row>
    <row r="4994" spans="1:13" x14ac:dyDescent="0.25">
      <c r="A4994" s="8"/>
      <c r="C4994" s="5"/>
      <c r="M4994" s="9"/>
    </row>
    <row r="4995" spans="1:13" x14ac:dyDescent="0.25">
      <c r="A4995" s="8"/>
      <c r="C4995" s="5"/>
      <c r="M4995" s="9"/>
    </row>
    <row r="4996" spans="1:13" x14ac:dyDescent="0.25">
      <c r="A4996" s="8"/>
      <c r="C4996" s="5"/>
      <c r="M4996" s="9"/>
    </row>
    <row r="4997" spans="1:13" x14ac:dyDescent="0.25">
      <c r="A4997" s="8"/>
      <c r="C4997" s="5"/>
      <c r="M4997" s="9"/>
    </row>
    <row r="4998" spans="1:13" x14ac:dyDescent="0.25">
      <c r="A4998" s="8"/>
      <c r="C4998" s="5"/>
      <c r="M4998" s="9"/>
    </row>
    <row r="4999" spans="1:13" x14ac:dyDescent="0.25">
      <c r="A4999" s="8"/>
      <c r="C4999" s="5"/>
      <c r="M4999" s="9"/>
    </row>
    <row r="5000" spans="1:13" x14ac:dyDescent="0.25">
      <c r="A5000" s="8"/>
      <c r="C5000" s="5"/>
      <c r="M5000" s="9"/>
    </row>
    <row r="5001" spans="1:13" x14ac:dyDescent="0.25">
      <c r="A5001" s="8"/>
      <c r="C5001" s="5"/>
      <c r="M5001" s="9"/>
    </row>
    <row r="5002" spans="1:13" x14ac:dyDescent="0.25">
      <c r="A5002" s="8"/>
      <c r="C5002" s="5"/>
      <c r="M5002" s="9"/>
    </row>
    <row r="5003" spans="1:13" x14ac:dyDescent="0.25">
      <c r="A5003" s="8"/>
      <c r="C5003" s="5"/>
      <c r="M5003" s="9"/>
    </row>
    <row r="5004" spans="1:13" x14ac:dyDescent="0.25">
      <c r="A5004" s="8"/>
      <c r="C5004" s="5"/>
      <c r="M5004" s="9"/>
    </row>
    <row r="5005" spans="1:13" x14ac:dyDescent="0.25">
      <c r="A5005" s="8"/>
      <c r="C5005" s="5"/>
      <c r="M5005" s="9"/>
    </row>
    <row r="5006" spans="1:13" x14ac:dyDescent="0.25">
      <c r="A5006" s="8"/>
      <c r="C5006" s="5"/>
      <c r="M5006" s="9"/>
    </row>
    <row r="5007" spans="1:13" x14ac:dyDescent="0.25">
      <c r="A5007" s="8"/>
      <c r="C5007" s="5"/>
      <c r="M5007" s="9"/>
    </row>
    <row r="5008" spans="1:13" x14ac:dyDescent="0.25">
      <c r="A5008" s="8"/>
      <c r="C5008" s="5"/>
      <c r="M5008" s="9"/>
    </row>
    <row r="5009" spans="1:13" x14ac:dyDescent="0.25">
      <c r="A5009" s="8"/>
      <c r="C5009" s="5"/>
      <c r="M5009" s="9"/>
    </row>
    <row r="5010" spans="1:13" x14ac:dyDescent="0.25">
      <c r="A5010" s="8"/>
      <c r="C5010" s="5"/>
      <c r="M5010" s="9"/>
    </row>
    <row r="5011" spans="1:13" x14ac:dyDescent="0.25">
      <c r="A5011" s="8"/>
      <c r="C5011" s="5"/>
      <c r="M5011" s="9"/>
    </row>
    <row r="5012" spans="1:13" x14ac:dyDescent="0.25">
      <c r="A5012" s="8"/>
      <c r="C5012" s="5"/>
      <c r="M5012" s="9"/>
    </row>
    <row r="5013" spans="1:13" x14ac:dyDescent="0.25">
      <c r="A5013" s="8"/>
      <c r="C5013" s="5"/>
      <c r="M5013" s="9"/>
    </row>
    <row r="5014" spans="1:13" x14ac:dyDescent="0.25">
      <c r="A5014" s="8"/>
      <c r="C5014" s="5"/>
      <c r="M5014" s="9"/>
    </row>
    <row r="5015" spans="1:13" x14ac:dyDescent="0.25">
      <c r="A5015" s="8"/>
      <c r="C5015" s="5"/>
      <c r="M5015" s="9"/>
    </row>
    <row r="5016" spans="1:13" x14ac:dyDescent="0.25">
      <c r="A5016" s="8"/>
      <c r="C5016" s="5"/>
      <c r="M5016" s="9"/>
    </row>
    <row r="5017" spans="1:13" x14ac:dyDescent="0.25">
      <c r="A5017" s="8"/>
      <c r="C5017" s="5"/>
      <c r="M5017" s="9"/>
    </row>
    <row r="5018" spans="1:13" x14ac:dyDescent="0.25">
      <c r="A5018" s="8"/>
      <c r="C5018" s="5"/>
      <c r="M5018" s="9"/>
    </row>
    <row r="5019" spans="1:13" x14ac:dyDescent="0.25">
      <c r="A5019" s="8"/>
      <c r="C5019" s="5"/>
      <c r="M5019" s="9"/>
    </row>
    <row r="5020" spans="1:13" x14ac:dyDescent="0.25">
      <c r="A5020" s="8"/>
      <c r="C5020" s="5"/>
      <c r="M5020" s="9"/>
    </row>
    <row r="5021" spans="1:13" x14ac:dyDescent="0.25">
      <c r="A5021" s="8"/>
      <c r="C5021" s="5"/>
      <c r="M5021" s="9"/>
    </row>
    <row r="5022" spans="1:13" x14ac:dyDescent="0.25">
      <c r="A5022" s="8"/>
      <c r="C5022" s="5"/>
      <c r="M5022" s="9"/>
    </row>
    <row r="5023" spans="1:13" x14ac:dyDescent="0.25">
      <c r="A5023" s="8"/>
      <c r="C5023" s="5"/>
      <c r="M5023" s="9"/>
    </row>
    <row r="5024" spans="1:13" x14ac:dyDescent="0.25">
      <c r="A5024" s="8"/>
      <c r="C5024" s="5"/>
      <c r="M5024" s="9"/>
    </row>
    <row r="5025" spans="1:13" x14ac:dyDescent="0.25">
      <c r="A5025" s="8"/>
      <c r="C5025" s="5"/>
      <c r="M5025" s="9"/>
    </row>
    <row r="5026" spans="1:13" x14ac:dyDescent="0.25">
      <c r="A5026" s="8"/>
      <c r="C5026" s="5"/>
      <c r="M5026" s="9"/>
    </row>
    <row r="5027" spans="1:13" x14ac:dyDescent="0.25">
      <c r="A5027" s="8"/>
      <c r="C5027" s="5"/>
      <c r="M5027" s="9"/>
    </row>
    <row r="5028" spans="1:13" x14ac:dyDescent="0.25">
      <c r="A5028" s="8"/>
      <c r="C5028" s="5"/>
      <c r="M5028" s="9"/>
    </row>
    <row r="5029" spans="1:13" x14ac:dyDescent="0.25">
      <c r="A5029" s="8"/>
      <c r="C5029" s="5"/>
      <c r="M5029" s="9"/>
    </row>
    <row r="5030" spans="1:13" x14ac:dyDescent="0.25">
      <c r="A5030" s="8"/>
      <c r="C5030" s="5"/>
      <c r="M5030" s="9"/>
    </row>
    <row r="5031" spans="1:13" x14ac:dyDescent="0.25">
      <c r="A5031" s="8"/>
      <c r="C5031" s="5"/>
      <c r="M5031" s="9"/>
    </row>
    <row r="5032" spans="1:13" x14ac:dyDescent="0.25">
      <c r="A5032" s="8"/>
      <c r="C5032" s="5"/>
      <c r="M5032" s="9"/>
    </row>
    <row r="5033" spans="1:13" x14ac:dyDescent="0.25">
      <c r="A5033" s="8"/>
      <c r="C5033" s="5"/>
      <c r="M5033" s="9"/>
    </row>
    <row r="5034" spans="1:13" x14ac:dyDescent="0.25">
      <c r="A5034" s="8"/>
      <c r="C5034" s="5"/>
      <c r="M5034" s="9"/>
    </row>
    <row r="5035" spans="1:13" x14ac:dyDescent="0.25">
      <c r="A5035" s="8"/>
      <c r="C5035" s="5"/>
      <c r="M5035" s="9"/>
    </row>
    <row r="5036" spans="1:13" x14ac:dyDescent="0.25">
      <c r="A5036" s="8"/>
      <c r="C5036" s="5"/>
      <c r="M5036" s="9"/>
    </row>
    <row r="5037" spans="1:13" x14ac:dyDescent="0.25">
      <c r="A5037" s="8"/>
      <c r="C5037" s="5"/>
      <c r="M5037" s="9"/>
    </row>
    <row r="5038" spans="1:13" x14ac:dyDescent="0.25">
      <c r="A5038" s="8"/>
      <c r="C5038" s="5"/>
      <c r="M5038" s="9"/>
    </row>
    <row r="5039" spans="1:13" x14ac:dyDescent="0.25">
      <c r="A5039" s="8"/>
      <c r="C5039" s="5"/>
      <c r="M5039" s="9"/>
    </row>
    <row r="5040" spans="1:13" x14ac:dyDescent="0.25">
      <c r="A5040" s="8"/>
      <c r="C5040" s="5"/>
      <c r="M5040" s="9"/>
    </row>
    <row r="5041" spans="1:13" x14ac:dyDescent="0.25">
      <c r="A5041" s="8"/>
      <c r="C5041" s="5"/>
      <c r="M5041" s="9"/>
    </row>
    <row r="5042" spans="1:13" x14ac:dyDescent="0.25">
      <c r="A5042" s="8"/>
      <c r="C5042" s="5"/>
      <c r="M5042" s="9"/>
    </row>
    <row r="5043" spans="1:13" x14ac:dyDescent="0.25">
      <c r="A5043" s="8"/>
      <c r="C5043" s="5"/>
      <c r="M5043" s="9"/>
    </row>
    <row r="5044" spans="1:13" x14ac:dyDescent="0.25">
      <c r="A5044" s="8"/>
      <c r="C5044" s="5"/>
      <c r="M5044" s="9"/>
    </row>
    <row r="5045" spans="1:13" x14ac:dyDescent="0.25">
      <c r="A5045" s="8"/>
      <c r="C5045" s="5"/>
      <c r="M5045" s="9"/>
    </row>
    <row r="5046" spans="1:13" x14ac:dyDescent="0.25">
      <c r="A5046" s="8"/>
      <c r="C5046" s="5"/>
      <c r="M5046" s="9"/>
    </row>
    <row r="5047" spans="1:13" x14ac:dyDescent="0.25">
      <c r="A5047" s="8"/>
      <c r="C5047" s="5"/>
      <c r="M5047" s="9"/>
    </row>
    <row r="5048" spans="1:13" x14ac:dyDescent="0.25">
      <c r="A5048" s="8"/>
      <c r="C5048" s="5"/>
      <c r="M5048" s="9"/>
    </row>
    <row r="5049" spans="1:13" x14ac:dyDescent="0.25">
      <c r="A5049" s="8"/>
      <c r="C5049" s="5"/>
      <c r="M5049" s="9"/>
    </row>
    <row r="5050" spans="1:13" x14ac:dyDescent="0.25">
      <c r="A5050" s="8"/>
      <c r="C5050" s="5"/>
      <c r="M5050" s="9"/>
    </row>
    <row r="5051" spans="1:13" x14ac:dyDescent="0.25">
      <c r="A5051" s="8"/>
      <c r="C5051" s="5"/>
      <c r="M5051" s="9"/>
    </row>
    <row r="5052" spans="1:13" x14ac:dyDescent="0.25">
      <c r="A5052" s="8"/>
      <c r="C5052" s="5"/>
      <c r="M5052" s="9"/>
    </row>
    <row r="5053" spans="1:13" x14ac:dyDescent="0.25">
      <c r="A5053" s="8"/>
      <c r="C5053" s="5"/>
      <c r="M5053" s="9"/>
    </row>
    <row r="5054" spans="1:13" x14ac:dyDescent="0.25">
      <c r="A5054" s="8"/>
      <c r="C5054" s="5"/>
      <c r="M5054" s="9"/>
    </row>
    <row r="5055" spans="1:13" x14ac:dyDescent="0.25">
      <c r="A5055" s="8"/>
      <c r="C5055" s="5"/>
      <c r="M5055" s="9"/>
    </row>
    <row r="5056" spans="1:13" x14ac:dyDescent="0.25">
      <c r="A5056" s="8"/>
      <c r="C5056" s="5"/>
      <c r="M5056" s="9"/>
    </row>
    <row r="5057" spans="1:13" x14ac:dyDescent="0.25">
      <c r="A5057" s="8"/>
      <c r="C5057" s="5"/>
      <c r="M5057" s="9"/>
    </row>
    <row r="5058" spans="1:13" x14ac:dyDescent="0.25">
      <c r="A5058" s="8"/>
      <c r="C5058" s="5"/>
      <c r="M5058" s="9"/>
    </row>
    <row r="5059" spans="1:13" x14ac:dyDescent="0.25">
      <c r="A5059" s="8"/>
      <c r="C5059" s="5"/>
      <c r="M5059" s="9"/>
    </row>
    <row r="5060" spans="1:13" x14ac:dyDescent="0.25">
      <c r="A5060" s="8"/>
      <c r="C5060" s="5"/>
      <c r="M5060" s="9"/>
    </row>
    <row r="5061" spans="1:13" x14ac:dyDescent="0.25">
      <c r="A5061" s="8"/>
      <c r="C5061" s="5"/>
      <c r="M5061" s="9"/>
    </row>
    <row r="5062" spans="1:13" x14ac:dyDescent="0.25">
      <c r="A5062" s="8"/>
      <c r="C5062" s="5"/>
      <c r="M5062" s="9"/>
    </row>
    <row r="5063" spans="1:13" x14ac:dyDescent="0.25">
      <c r="A5063" s="8"/>
      <c r="C5063" s="5"/>
      <c r="M5063" s="9"/>
    </row>
    <row r="5064" spans="1:13" x14ac:dyDescent="0.25">
      <c r="A5064" s="8"/>
      <c r="C5064" s="5"/>
      <c r="M5064" s="9"/>
    </row>
    <row r="5065" spans="1:13" x14ac:dyDescent="0.25">
      <c r="A5065" s="8"/>
      <c r="C5065" s="5"/>
      <c r="M5065" s="9"/>
    </row>
    <row r="5066" spans="1:13" x14ac:dyDescent="0.25">
      <c r="A5066" s="8"/>
      <c r="C5066" s="5"/>
      <c r="M5066" s="9"/>
    </row>
    <row r="5067" spans="1:13" x14ac:dyDescent="0.25">
      <c r="A5067" s="8"/>
      <c r="C5067" s="5"/>
      <c r="M5067" s="9"/>
    </row>
    <row r="5068" spans="1:13" x14ac:dyDescent="0.25">
      <c r="A5068" s="8"/>
      <c r="C5068" s="5"/>
      <c r="M5068" s="9"/>
    </row>
    <row r="5069" spans="1:13" x14ac:dyDescent="0.25">
      <c r="A5069" s="8"/>
      <c r="C5069" s="5"/>
      <c r="M5069" s="9"/>
    </row>
    <row r="5070" spans="1:13" x14ac:dyDescent="0.25">
      <c r="A5070" s="8"/>
      <c r="C5070" s="5"/>
      <c r="M5070" s="9"/>
    </row>
    <row r="5071" spans="1:13" x14ac:dyDescent="0.25">
      <c r="A5071" s="8"/>
      <c r="C5071" s="5"/>
      <c r="M5071" s="9"/>
    </row>
    <row r="5072" spans="1:13" x14ac:dyDescent="0.25">
      <c r="A5072" s="8"/>
      <c r="C5072" s="5"/>
      <c r="M5072" s="9"/>
    </row>
    <row r="5073" spans="1:13" x14ac:dyDescent="0.25">
      <c r="A5073" s="8"/>
      <c r="C5073" s="5"/>
      <c r="M5073" s="9"/>
    </row>
    <row r="5074" spans="1:13" x14ac:dyDescent="0.25">
      <c r="A5074" s="8"/>
      <c r="C5074" s="5"/>
      <c r="M5074" s="9"/>
    </row>
    <row r="5075" spans="1:13" x14ac:dyDescent="0.25">
      <c r="A5075" s="8"/>
      <c r="C5075" s="5"/>
      <c r="M5075" s="9"/>
    </row>
    <row r="5076" spans="1:13" x14ac:dyDescent="0.25">
      <c r="A5076" s="8"/>
      <c r="C5076" s="5"/>
      <c r="M5076" s="9"/>
    </row>
    <row r="5077" spans="1:13" x14ac:dyDescent="0.25">
      <c r="A5077" s="8"/>
      <c r="C5077" s="5"/>
      <c r="M5077" s="9"/>
    </row>
    <row r="5078" spans="1:13" x14ac:dyDescent="0.25">
      <c r="A5078" s="8"/>
      <c r="C5078" s="5"/>
      <c r="M5078" s="9"/>
    </row>
    <row r="5079" spans="1:13" x14ac:dyDescent="0.25">
      <c r="A5079" s="8"/>
      <c r="C5079" s="5"/>
      <c r="M5079" s="9"/>
    </row>
    <row r="5080" spans="1:13" x14ac:dyDescent="0.25">
      <c r="A5080" s="8"/>
      <c r="C5080" s="5"/>
      <c r="M5080" s="9"/>
    </row>
    <row r="5081" spans="1:13" x14ac:dyDescent="0.25">
      <c r="A5081" s="8"/>
      <c r="C5081" s="5"/>
      <c r="M5081" s="9"/>
    </row>
    <row r="5082" spans="1:13" x14ac:dyDescent="0.25">
      <c r="A5082" s="8"/>
      <c r="C5082" s="5"/>
      <c r="M5082" s="9"/>
    </row>
    <row r="5083" spans="1:13" x14ac:dyDescent="0.25">
      <c r="A5083" s="8"/>
      <c r="C5083" s="5"/>
      <c r="M5083" s="9"/>
    </row>
    <row r="5084" spans="1:13" x14ac:dyDescent="0.25">
      <c r="A5084" s="8"/>
      <c r="C5084" s="5"/>
      <c r="M5084" s="9"/>
    </row>
    <row r="5085" spans="1:13" x14ac:dyDescent="0.25">
      <c r="A5085" s="8"/>
      <c r="C5085" s="5"/>
      <c r="M5085" s="9"/>
    </row>
    <row r="5086" spans="1:13" x14ac:dyDescent="0.25">
      <c r="A5086" s="8"/>
      <c r="C5086" s="5"/>
      <c r="M5086" s="9"/>
    </row>
    <row r="5087" spans="1:13" x14ac:dyDescent="0.25">
      <c r="A5087" s="8"/>
      <c r="C5087" s="5"/>
      <c r="M5087" s="9"/>
    </row>
    <row r="5088" spans="1:13" x14ac:dyDescent="0.25">
      <c r="A5088" s="8"/>
      <c r="C5088" s="5"/>
      <c r="M5088" s="9"/>
    </row>
    <row r="5089" spans="1:13" x14ac:dyDescent="0.25">
      <c r="A5089" s="8"/>
      <c r="C5089" s="5"/>
      <c r="M5089" s="9"/>
    </row>
    <row r="5090" spans="1:13" x14ac:dyDescent="0.25">
      <c r="A5090" s="8"/>
      <c r="C5090" s="5"/>
      <c r="M5090" s="9"/>
    </row>
    <row r="5091" spans="1:13" x14ac:dyDescent="0.25">
      <c r="A5091" s="8"/>
      <c r="C5091" s="5"/>
      <c r="M5091" s="9"/>
    </row>
    <row r="5092" spans="1:13" x14ac:dyDescent="0.25">
      <c r="A5092" s="8"/>
      <c r="C5092" s="5"/>
      <c r="M5092" s="9"/>
    </row>
    <row r="5093" spans="1:13" x14ac:dyDescent="0.25">
      <c r="A5093" s="8"/>
      <c r="C5093" s="5"/>
      <c r="M5093" s="9"/>
    </row>
    <row r="5094" spans="1:13" x14ac:dyDescent="0.25">
      <c r="A5094" s="8"/>
      <c r="C5094" s="5"/>
      <c r="M5094" s="9"/>
    </row>
    <row r="5095" spans="1:13" x14ac:dyDescent="0.25">
      <c r="A5095" s="8"/>
      <c r="C5095" s="5"/>
      <c r="M5095" s="9"/>
    </row>
    <row r="5096" spans="1:13" x14ac:dyDescent="0.25">
      <c r="A5096" s="8"/>
      <c r="C5096" s="5"/>
      <c r="M5096" s="9"/>
    </row>
    <row r="5097" spans="1:13" x14ac:dyDescent="0.25">
      <c r="A5097" s="8"/>
      <c r="C5097" s="5"/>
      <c r="M5097" s="9"/>
    </row>
    <row r="5098" spans="1:13" x14ac:dyDescent="0.25">
      <c r="A5098" s="8"/>
      <c r="C5098" s="5"/>
      <c r="M5098" s="9"/>
    </row>
    <row r="5099" spans="1:13" x14ac:dyDescent="0.25">
      <c r="A5099" s="8"/>
      <c r="C5099" s="5"/>
      <c r="M5099" s="9"/>
    </row>
    <row r="5100" spans="1:13" x14ac:dyDescent="0.25">
      <c r="A5100" s="8"/>
      <c r="C5100" s="5"/>
      <c r="M5100" s="9"/>
    </row>
    <row r="5101" spans="1:13" x14ac:dyDescent="0.25">
      <c r="A5101" s="8"/>
      <c r="C5101" s="5"/>
      <c r="M5101" s="9"/>
    </row>
    <row r="5102" spans="1:13" x14ac:dyDescent="0.25">
      <c r="A5102" s="8"/>
      <c r="C5102" s="5"/>
      <c r="M5102" s="9"/>
    </row>
    <row r="5103" spans="1:13" x14ac:dyDescent="0.25">
      <c r="A5103" s="8"/>
      <c r="C5103" s="5"/>
      <c r="M5103" s="9"/>
    </row>
    <row r="5104" spans="1:13" x14ac:dyDescent="0.25">
      <c r="A5104" s="8"/>
      <c r="C5104" s="5"/>
      <c r="M5104" s="9"/>
    </row>
    <row r="5105" spans="1:13" x14ac:dyDescent="0.25">
      <c r="A5105" s="8"/>
      <c r="C5105" s="5"/>
      <c r="M5105" s="9"/>
    </row>
    <row r="5106" spans="1:13" x14ac:dyDescent="0.25">
      <c r="A5106" s="8"/>
      <c r="C5106" s="5"/>
      <c r="M5106" s="9"/>
    </row>
    <row r="5107" spans="1:13" x14ac:dyDescent="0.25">
      <c r="A5107" s="8"/>
      <c r="C5107" s="5"/>
      <c r="M5107" s="9"/>
    </row>
    <row r="5108" spans="1:13" x14ac:dyDescent="0.25">
      <c r="A5108" s="8"/>
      <c r="C5108" s="5"/>
      <c r="M5108" s="9"/>
    </row>
    <row r="5109" spans="1:13" x14ac:dyDescent="0.25">
      <c r="A5109" s="8"/>
      <c r="C5109" s="5"/>
      <c r="M5109" s="9"/>
    </row>
    <row r="5110" spans="1:13" x14ac:dyDescent="0.25">
      <c r="A5110" s="8"/>
      <c r="C5110" s="5"/>
      <c r="M5110" s="9"/>
    </row>
    <row r="5111" spans="1:13" x14ac:dyDescent="0.25">
      <c r="A5111" s="8"/>
      <c r="C5111" s="5"/>
      <c r="M5111" s="9"/>
    </row>
    <row r="5112" spans="1:13" x14ac:dyDescent="0.25">
      <c r="A5112" s="8"/>
      <c r="C5112" s="5"/>
      <c r="M5112" s="9"/>
    </row>
    <row r="5113" spans="1:13" x14ac:dyDescent="0.25">
      <c r="A5113" s="8"/>
      <c r="C5113" s="5"/>
      <c r="M5113" s="9"/>
    </row>
    <row r="5114" spans="1:13" x14ac:dyDescent="0.25">
      <c r="A5114" s="8"/>
      <c r="C5114" s="5"/>
      <c r="M5114" s="9"/>
    </row>
    <row r="5115" spans="1:13" x14ac:dyDescent="0.25">
      <c r="A5115" s="8"/>
      <c r="C5115" s="5"/>
      <c r="M5115" s="9"/>
    </row>
    <row r="5116" spans="1:13" x14ac:dyDescent="0.25">
      <c r="A5116" s="8"/>
      <c r="C5116" s="5"/>
      <c r="M5116" s="9"/>
    </row>
    <row r="5117" spans="1:13" x14ac:dyDescent="0.25">
      <c r="A5117" s="8"/>
      <c r="C5117" s="5"/>
      <c r="M5117" s="9"/>
    </row>
    <row r="5118" spans="1:13" x14ac:dyDescent="0.25">
      <c r="A5118" s="8"/>
      <c r="C5118" s="5"/>
      <c r="M5118" s="9"/>
    </row>
    <row r="5119" spans="1:13" x14ac:dyDescent="0.25">
      <c r="A5119" s="8"/>
      <c r="C5119" s="5"/>
      <c r="M5119" s="9"/>
    </row>
    <row r="5120" spans="1:13" x14ac:dyDescent="0.25">
      <c r="A5120" s="8"/>
      <c r="C5120" s="5"/>
      <c r="M5120" s="9"/>
    </row>
    <row r="5121" spans="1:13" x14ac:dyDescent="0.25">
      <c r="A5121" s="8"/>
      <c r="C5121" s="5"/>
      <c r="M5121" s="9"/>
    </row>
    <row r="5122" spans="1:13" x14ac:dyDescent="0.25">
      <c r="A5122" s="8"/>
      <c r="C5122" s="5"/>
      <c r="M5122" s="9"/>
    </row>
    <row r="5123" spans="1:13" x14ac:dyDescent="0.25">
      <c r="A5123" s="8"/>
      <c r="C5123" s="5"/>
      <c r="M5123" s="9"/>
    </row>
    <row r="5124" spans="1:13" x14ac:dyDescent="0.25">
      <c r="A5124" s="8"/>
      <c r="C5124" s="5"/>
      <c r="M5124" s="9"/>
    </row>
    <row r="5125" spans="1:13" x14ac:dyDescent="0.25">
      <c r="A5125" s="8"/>
      <c r="C5125" s="5"/>
      <c r="M5125" s="9"/>
    </row>
    <row r="5126" spans="1:13" x14ac:dyDescent="0.25">
      <c r="A5126" s="8"/>
      <c r="C5126" s="5"/>
      <c r="M5126" s="9"/>
    </row>
    <row r="5127" spans="1:13" x14ac:dyDescent="0.25">
      <c r="A5127" s="8"/>
      <c r="C5127" s="5"/>
      <c r="M5127" s="9"/>
    </row>
    <row r="5128" spans="1:13" x14ac:dyDescent="0.25">
      <c r="A5128" s="8"/>
      <c r="C5128" s="5"/>
      <c r="M5128" s="9"/>
    </row>
    <row r="5129" spans="1:13" x14ac:dyDescent="0.25">
      <c r="A5129" s="8"/>
      <c r="C5129" s="5"/>
      <c r="M5129" s="9"/>
    </row>
    <row r="5130" spans="1:13" x14ac:dyDescent="0.25">
      <c r="A5130" s="8"/>
      <c r="C5130" s="5"/>
      <c r="M5130" s="9"/>
    </row>
    <row r="5131" spans="1:13" x14ac:dyDescent="0.25">
      <c r="A5131" s="8"/>
      <c r="C5131" s="5"/>
      <c r="M5131" s="9"/>
    </row>
    <row r="5132" spans="1:13" x14ac:dyDescent="0.25">
      <c r="A5132" s="8"/>
      <c r="C5132" s="5"/>
      <c r="M5132" s="9"/>
    </row>
    <row r="5133" spans="1:13" x14ac:dyDescent="0.25">
      <c r="A5133" s="8"/>
      <c r="C5133" s="5"/>
      <c r="M5133" s="9"/>
    </row>
    <row r="5134" spans="1:13" x14ac:dyDescent="0.25">
      <c r="A5134" s="8"/>
      <c r="C5134" s="5"/>
      <c r="M5134" s="9"/>
    </row>
    <row r="5135" spans="1:13" x14ac:dyDescent="0.25">
      <c r="A5135" s="8"/>
      <c r="C5135" s="5"/>
      <c r="M5135" s="9"/>
    </row>
    <row r="5136" spans="1:13" x14ac:dyDescent="0.25">
      <c r="A5136" s="8"/>
      <c r="C5136" s="5"/>
      <c r="M5136" s="9"/>
    </row>
    <row r="5137" spans="1:13" x14ac:dyDescent="0.25">
      <c r="A5137" s="8"/>
      <c r="C5137" s="5"/>
      <c r="M5137" s="9"/>
    </row>
    <row r="5138" spans="1:13" x14ac:dyDescent="0.25">
      <c r="A5138" s="8"/>
      <c r="C5138" s="5"/>
      <c r="M5138" s="9"/>
    </row>
    <row r="5139" spans="1:13" x14ac:dyDescent="0.25">
      <c r="A5139" s="8"/>
      <c r="C5139" s="5"/>
      <c r="M5139" s="9"/>
    </row>
    <row r="5140" spans="1:13" x14ac:dyDescent="0.25">
      <c r="A5140" s="8"/>
      <c r="C5140" s="5"/>
      <c r="M5140" s="9"/>
    </row>
    <row r="5141" spans="1:13" x14ac:dyDescent="0.25">
      <c r="A5141" s="8"/>
      <c r="C5141" s="5"/>
      <c r="M5141" s="9"/>
    </row>
    <row r="5142" spans="1:13" x14ac:dyDescent="0.25">
      <c r="A5142" s="8"/>
      <c r="C5142" s="5"/>
      <c r="M5142" s="9"/>
    </row>
    <row r="5143" spans="1:13" x14ac:dyDescent="0.25">
      <c r="A5143" s="8"/>
      <c r="C5143" s="5"/>
      <c r="M5143" s="9"/>
    </row>
    <row r="5144" spans="1:13" x14ac:dyDescent="0.25">
      <c r="A5144" s="8"/>
      <c r="C5144" s="5"/>
      <c r="M5144" s="9"/>
    </row>
    <row r="5145" spans="1:13" x14ac:dyDescent="0.25">
      <c r="A5145" s="8"/>
      <c r="C5145" s="5"/>
      <c r="M5145" s="9"/>
    </row>
    <row r="5146" spans="1:13" x14ac:dyDescent="0.25">
      <c r="A5146" s="8"/>
      <c r="C5146" s="5"/>
      <c r="M5146" s="9"/>
    </row>
    <row r="5147" spans="1:13" x14ac:dyDescent="0.25">
      <c r="A5147" s="8"/>
      <c r="C5147" s="5"/>
      <c r="M5147" s="9"/>
    </row>
    <row r="5148" spans="1:13" x14ac:dyDescent="0.25">
      <c r="A5148" s="8"/>
      <c r="C5148" s="5"/>
      <c r="M5148" s="9"/>
    </row>
    <row r="5149" spans="1:13" x14ac:dyDescent="0.25">
      <c r="A5149" s="8"/>
      <c r="C5149" s="5"/>
      <c r="M5149" s="9"/>
    </row>
    <row r="5150" spans="1:13" x14ac:dyDescent="0.25">
      <c r="A5150" s="8"/>
      <c r="C5150" s="5"/>
      <c r="M5150" s="9"/>
    </row>
    <row r="5151" spans="1:13" x14ac:dyDescent="0.25">
      <c r="A5151" s="8"/>
      <c r="C5151" s="5"/>
      <c r="M5151" s="9"/>
    </row>
    <row r="5152" spans="1:13" x14ac:dyDescent="0.25">
      <c r="A5152" s="8"/>
      <c r="C5152" s="5"/>
      <c r="M5152" s="9"/>
    </row>
    <row r="5153" spans="1:13" x14ac:dyDescent="0.25">
      <c r="A5153" s="8"/>
      <c r="C5153" s="5"/>
      <c r="M5153" s="9"/>
    </row>
    <row r="5154" spans="1:13" x14ac:dyDescent="0.25">
      <c r="A5154" s="8"/>
      <c r="C5154" s="5"/>
      <c r="M5154" s="9"/>
    </row>
    <row r="5155" spans="1:13" x14ac:dyDescent="0.25">
      <c r="A5155" s="8"/>
      <c r="C5155" s="5"/>
      <c r="M5155" s="9"/>
    </row>
    <row r="5156" spans="1:13" x14ac:dyDescent="0.25">
      <c r="A5156" s="8"/>
      <c r="C5156" s="5"/>
      <c r="M5156" s="9"/>
    </row>
    <row r="5157" spans="1:13" x14ac:dyDescent="0.25">
      <c r="A5157" s="8"/>
      <c r="C5157" s="5"/>
      <c r="M5157" s="9"/>
    </row>
    <row r="5158" spans="1:13" x14ac:dyDescent="0.25">
      <c r="A5158" s="8"/>
      <c r="C5158" s="5"/>
      <c r="M5158" s="9"/>
    </row>
    <row r="5159" spans="1:13" x14ac:dyDescent="0.25">
      <c r="A5159" s="8"/>
      <c r="C5159" s="5"/>
      <c r="M5159" s="9"/>
    </row>
    <row r="5160" spans="1:13" x14ac:dyDescent="0.25">
      <c r="A5160" s="8"/>
      <c r="C5160" s="5"/>
      <c r="M5160" s="9"/>
    </row>
    <row r="5161" spans="1:13" x14ac:dyDescent="0.25">
      <c r="A5161" s="8"/>
      <c r="C5161" s="5"/>
      <c r="M5161" s="9"/>
    </row>
    <row r="5162" spans="1:13" x14ac:dyDescent="0.25">
      <c r="A5162" s="8"/>
      <c r="C5162" s="5"/>
      <c r="M5162" s="9"/>
    </row>
    <row r="5163" spans="1:13" x14ac:dyDescent="0.25">
      <c r="A5163" s="8"/>
      <c r="C5163" s="5"/>
      <c r="M5163" s="9"/>
    </row>
    <row r="5164" spans="1:13" x14ac:dyDescent="0.25">
      <c r="A5164" s="8"/>
      <c r="C5164" s="5"/>
      <c r="M5164" s="9"/>
    </row>
    <row r="5165" spans="1:13" x14ac:dyDescent="0.25">
      <c r="A5165" s="8"/>
      <c r="C5165" s="5"/>
      <c r="M5165" s="9"/>
    </row>
    <row r="5166" spans="1:13" x14ac:dyDescent="0.25">
      <c r="A5166" s="8"/>
      <c r="C5166" s="5"/>
      <c r="M5166" s="9"/>
    </row>
    <row r="5167" spans="1:13" x14ac:dyDescent="0.25">
      <c r="A5167" s="8"/>
      <c r="C5167" s="5"/>
      <c r="M5167" s="9"/>
    </row>
    <row r="5168" spans="1:13" x14ac:dyDescent="0.25">
      <c r="A5168" s="8"/>
      <c r="C5168" s="5"/>
      <c r="M5168" s="9"/>
    </row>
    <row r="5169" spans="1:13" x14ac:dyDescent="0.25">
      <c r="A5169" s="8"/>
      <c r="C5169" s="5"/>
      <c r="M5169" s="9"/>
    </row>
    <row r="5170" spans="1:13" x14ac:dyDescent="0.25">
      <c r="A5170" s="8"/>
      <c r="C5170" s="5"/>
      <c r="M5170" s="9"/>
    </row>
    <row r="5171" spans="1:13" x14ac:dyDescent="0.25">
      <c r="A5171" s="8"/>
      <c r="C5171" s="5"/>
      <c r="M5171" s="9"/>
    </row>
    <row r="5172" spans="1:13" x14ac:dyDescent="0.25">
      <c r="A5172" s="8"/>
      <c r="C5172" s="5"/>
      <c r="M5172" s="9"/>
    </row>
    <row r="5173" spans="1:13" x14ac:dyDescent="0.25">
      <c r="A5173" s="8"/>
      <c r="C5173" s="5"/>
      <c r="M5173" s="9"/>
    </row>
    <row r="5174" spans="1:13" x14ac:dyDescent="0.25">
      <c r="A5174" s="8"/>
      <c r="C5174" s="5"/>
      <c r="M5174" s="9"/>
    </row>
    <row r="5175" spans="1:13" x14ac:dyDescent="0.25">
      <c r="A5175" s="8"/>
      <c r="C5175" s="5"/>
      <c r="M5175" s="9"/>
    </row>
    <row r="5176" spans="1:13" x14ac:dyDescent="0.25">
      <c r="A5176" s="8"/>
      <c r="C5176" s="5"/>
      <c r="M5176" s="9"/>
    </row>
    <row r="5177" spans="1:13" x14ac:dyDescent="0.25">
      <c r="A5177" s="8"/>
      <c r="C5177" s="5"/>
      <c r="M5177" s="9"/>
    </row>
    <row r="5178" spans="1:13" x14ac:dyDescent="0.25">
      <c r="A5178" s="8"/>
      <c r="C5178" s="5"/>
      <c r="M5178" s="9"/>
    </row>
    <row r="5179" spans="1:13" x14ac:dyDescent="0.25">
      <c r="A5179" s="8"/>
      <c r="C5179" s="5"/>
      <c r="M5179" s="9"/>
    </row>
    <row r="5180" spans="1:13" x14ac:dyDescent="0.25">
      <c r="A5180" s="8"/>
      <c r="C5180" s="5"/>
      <c r="M5180" s="9"/>
    </row>
    <row r="5181" spans="1:13" x14ac:dyDescent="0.25">
      <c r="A5181" s="8"/>
      <c r="C5181" s="5"/>
      <c r="M5181" s="9"/>
    </row>
    <row r="5182" spans="1:13" x14ac:dyDescent="0.25">
      <c r="A5182" s="8"/>
      <c r="C5182" s="5"/>
      <c r="M5182" s="9"/>
    </row>
    <row r="5183" spans="1:13" x14ac:dyDescent="0.25">
      <c r="A5183" s="8"/>
      <c r="C5183" s="5"/>
      <c r="M5183" s="9"/>
    </row>
    <row r="5184" spans="1:13" x14ac:dyDescent="0.25">
      <c r="A5184" s="8"/>
      <c r="C5184" s="5"/>
      <c r="M5184" s="9"/>
    </row>
    <row r="5185" spans="1:13" x14ac:dyDescent="0.25">
      <c r="A5185" s="8"/>
      <c r="C5185" s="5"/>
      <c r="M5185" s="9"/>
    </row>
    <row r="5186" spans="1:13" x14ac:dyDescent="0.25">
      <c r="A5186" s="8"/>
      <c r="C5186" s="5"/>
      <c r="M5186" s="9"/>
    </row>
    <row r="5187" spans="1:13" x14ac:dyDescent="0.25">
      <c r="A5187" s="8"/>
      <c r="C5187" s="5"/>
      <c r="M5187" s="9"/>
    </row>
    <row r="5188" spans="1:13" x14ac:dyDescent="0.25">
      <c r="A5188" s="8"/>
      <c r="C5188" s="5"/>
      <c r="M5188" s="9"/>
    </row>
    <row r="5189" spans="1:13" x14ac:dyDescent="0.25">
      <c r="A5189" s="8"/>
      <c r="C5189" s="5"/>
      <c r="M5189" s="9"/>
    </row>
    <row r="5190" spans="1:13" x14ac:dyDescent="0.25">
      <c r="A5190" s="8"/>
      <c r="C5190" s="5"/>
      <c r="M5190" s="9"/>
    </row>
    <row r="5191" spans="1:13" x14ac:dyDescent="0.25">
      <c r="A5191" s="8"/>
      <c r="C5191" s="5"/>
      <c r="M5191" s="9"/>
    </row>
    <row r="5192" spans="1:13" x14ac:dyDescent="0.25">
      <c r="A5192" s="8"/>
      <c r="C5192" s="5"/>
      <c r="M5192" s="9"/>
    </row>
    <row r="5193" spans="1:13" x14ac:dyDescent="0.25">
      <c r="A5193" s="8"/>
      <c r="C5193" s="5"/>
      <c r="M5193" s="9"/>
    </row>
    <row r="5194" spans="1:13" x14ac:dyDescent="0.25">
      <c r="A5194" s="8"/>
      <c r="C5194" s="5"/>
      <c r="M5194" s="9"/>
    </row>
    <row r="5195" spans="1:13" x14ac:dyDescent="0.25">
      <c r="A5195" s="8"/>
      <c r="C5195" s="5"/>
      <c r="M5195" s="9"/>
    </row>
    <row r="5196" spans="1:13" x14ac:dyDescent="0.25">
      <c r="A5196" s="8"/>
      <c r="C5196" s="5"/>
      <c r="M5196" s="9"/>
    </row>
    <row r="5197" spans="1:13" x14ac:dyDescent="0.25">
      <c r="A5197" s="8"/>
      <c r="C5197" s="5"/>
      <c r="M5197" s="9"/>
    </row>
    <row r="5198" spans="1:13" x14ac:dyDescent="0.25">
      <c r="A5198" s="8"/>
      <c r="C5198" s="5"/>
      <c r="M5198" s="9"/>
    </row>
    <row r="5199" spans="1:13" x14ac:dyDescent="0.25">
      <c r="A5199" s="8"/>
      <c r="C5199" s="5"/>
      <c r="M5199" s="9"/>
    </row>
    <row r="5200" spans="1:13" x14ac:dyDescent="0.25">
      <c r="A5200" s="8"/>
      <c r="C5200" s="5"/>
      <c r="M5200" s="9"/>
    </row>
    <row r="5201" spans="1:13" x14ac:dyDescent="0.25">
      <c r="A5201" s="8"/>
      <c r="C5201" s="5"/>
      <c r="M5201" s="9"/>
    </row>
    <row r="5202" spans="1:13" x14ac:dyDescent="0.25">
      <c r="A5202" s="8"/>
      <c r="C5202" s="5"/>
      <c r="M5202" s="9"/>
    </row>
    <row r="5203" spans="1:13" x14ac:dyDescent="0.25">
      <c r="A5203" s="8"/>
      <c r="C5203" s="5"/>
      <c r="M5203" s="9"/>
    </row>
    <row r="5204" spans="1:13" x14ac:dyDescent="0.25">
      <c r="A5204" s="8"/>
      <c r="C5204" s="5"/>
      <c r="M5204" s="9"/>
    </row>
    <row r="5205" spans="1:13" x14ac:dyDescent="0.25">
      <c r="A5205" s="8"/>
      <c r="C5205" s="5"/>
      <c r="M5205" s="9"/>
    </row>
    <row r="5206" spans="1:13" x14ac:dyDescent="0.25">
      <c r="A5206" s="8"/>
      <c r="C5206" s="5"/>
      <c r="M5206" s="9"/>
    </row>
    <row r="5207" spans="1:13" x14ac:dyDescent="0.25">
      <c r="A5207" s="8"/>
      <c r="C5207" s="5"/>
      <c r="M5207" s="9"/>
    </row>
    <row r="5208" spans="1:13" x14ac:dyDescent="0.25">
      <c r="A5208" s="8"/>
      <c r="C5208" s="5"/>
      <c r="M5208" s="9"/>
    </row>
    <row r="5209" spans="1:13" x14ac:dyDescent="0.25">
      <c r="A5209" s="8"/>
      <c r="C5209" s="5"/>
      <c r="M5209" s="9"/>
    </row>
    <row r="5210" spans="1:13" x14ac:dyDescent="0.25">
      <c r="A5210" s="8"/>
      <c r="C5210" s="5"/>
      <c r="M5210" s="9"/>
    </row>
    <row r="5211" spans="1:13" x14ac:dyDescent="0.25">
      <c r="A5211" s="8"/>
      <c r="C5211" s="5"/>
      <c r="M5211" s="9"/>
    </row>
    <row r="5212" spans="1:13" x14ac:dyDescent="0.25">
      <c r="A5212" s="8"/>
      <c r="C5212" s="5"/>
      <c r="M5212" s="9"/>
    </row>
    <row r="5213" spans="1:13" x14ac:dyDescent="0.25">
      <c r="A5213" s="8"/>
      <c r="C5213" s="5"/>
      <c r="M5213" s="9"/>
    </row>
    <row r="5214" spans="1:13" x14ac:dyDescent="0.25">
      <c r="A5214" s="8"/>
      <c r="C5214" s="5"/>
      <c r="M5214" s="9"/>
    </row>
    <row r="5215" spans="1:13" x14ac:dyDescent="0.25">
      <c r="A5215" s="8"/>
      <c r="C5215" s="5"/>
      <c r="M5215" s="9"/>
    </row>
    <row r="5216" spans="1:13" x14ac:dyDescent="0.25">
      <c r="A5216" s="8"/>
      <c r="C5216" s="5"/>
      <c r="M5216" s="9"/>
    </row>
    <row r="5217" spans="1:13" x14ac:dyDescent="0.25">
      <c r="A5217" s="8"/>
      <c r="C5217" s="5"/>
      <c r="M5217" s="9"/>
    </row>
    <row r="5218" spans="1:13" x14ac:dyDescent="0.25">
      <c r="A5218" s="8"/>
      <c r="C5218" s="5"/>
      <c r="M5218" s="9"/>
    </row>
    <row r="5219" spans="1:13" x14ac:dyDescent="0.25">
      <c r="A5219" s="8"/>
      <c r="C5219" s="5"/>
      <c r="M5219" s="9"/>
    </row>
    <row r="5220" spans="1:13" x14ac:dyDescent="0.25">
      <c r="A5220" s="8"/>
      <c r="C5220" s="5"/>
      <c r="M5220" s="9"/>
    </row>
    <row r="5221" spans="1:13" x14ac:dyDescent="0.25">
      <c r="A5221" s="8"/>
      <c r="C5221" s="5"/>
      <c r="M5221" s="9"/>
    </row>
    <row r="5222" spans="1:13" x14ac:dyDescent="0.25">
      <c r="A5222" s="8"/>
      <c r="C5222" s="5"/>
      <c r="M5222" s="9"/>
    </row>
    <row r="5223" spans="1:13" x14ac:dyDescent="0.25">
      <c r="A5223" s="8"/>
      <c r="C5223" s="5"/>
      <c r="M5223" s="9"/>
    </row>
    <row r="5224" spans="1:13" x14ac:dyDescent="0.25">
      <c r="A5224" s="8"/>
      <c r="C5224" s="5"/>
      <c r="M5224" s="9"/>
    </row>
    <row r="5225" spans="1:13" x14ac:dyDescent="0.25">
      <c r="A5225" s="8"/>
      <c r="C5225" s="5"/>
      <c r="M5225" s="9"/>
    </row>
    <row r="5226" spans="1:13" x14ac:dyDescent="0.25">
      <c r="A5226" s="8"/>
      <c r="C5226" s="5"/>
      <c r="M5226" s="9"/>
    </row>
    <row r="5227" spans="1:13" x14ac:dyDescent="0.25">
      <c r="A5227" s="8"/>
      <c r="C5227" s="5"/>
      <c r="M5227" s="9"/>
    </row>
    <row r="5228" spans="1:13" x14ac:dyDescent="0.25">
      <c r="A5228" s="8"/>
      <c r="C5228" s="5"/>
      <c r="M5228" s="9"/>
    </row>
    <row r="5229" spans="1:13" x14ac:dyDescent="0.25">
      <c r="A5229" s="8"/>
      <c r="C5229" s="5"/>
      <c r="M5229" s="9"/>
    </row>
    <row r="5230" spans="1:13" x14ac:dyDescent="0.25">
      <c r="A5230" s="8"/>
      <c r="C5230" s="5"/>
      <c r="M5230" s="9"/>
    </row>
    <row r="5231" spans="1:13" x14ac:dyDescent="0.25">
      <c r="A5231" s="8"/>
      <c r="C5231" s="5"/>
      <c r="M5231" s="9"/>
    </row>
    <row r="5232" spans="1:13" x14ac:dyDescent="0.25">
      <c r="A5232" s="8"/>
      <c r="C5232" s="5"/>
      <c r="M5232" s="9"/>
    </row>
    <row r="5233" spans="1:13" x14ac:dyDescent="0.25">
      <c r="A5233" s="8"/>
      <c r="C5233" s="5"/>
      <c r="M5233" s="9"/>
    </row>
    <row r="5234" spans="1:13" x14ac:dyDescent="0.25">
      <c r="A5234" s="8"/>
      <c r="C5234" s="5"/>
      <c r="M5234" s="9"/>
    </row>
    <row r="5235" spans="1:13" x14ac:dyDescent="0.25">
      <c r="A5235" s="8"/>
      <c r="C5235" s="5"/>
      <c r="M5235" s="9"/>
    </row>
    <row r="5236" spans="1:13" x14ac:dyDescent="0.25">
      <c r="A5236" s="8"/>
      <c r="C5236" s="5"/>
      <c r="M5236" s="9"/>
    </row>
    <row r="5237" spans="1:13" x14ac:dyDescent="0.25">
      <c r="A5237" s="8"/>
      <c r="C5237" s="5"/>
      <c r="M5237" s="9"/>
    </row>
    <row r="5238" spans="1:13" x14ac:dyDescent="0.25">
      <c r="A5238" s="8"/>
      <c r="C5238" s="5"/>
      <c r="M5238" s="9"/>
    </row>
    <row r="5239" spans="1:13" x14ac:dyDescent="0.25">
      <c r="A5239" s="8"/>
      <c r="C5239" s="5"/>
      <c r="M5239" s="9"/>
    </row>
    <row r="5240" spans="1:13" x14ac:dyDescent="0.25">
      <c r="A5240" s="8"/>
      <c r="C5240" s="5"/>
      <c r="M5240" s="9"/>
    </row>
    <row r="5241" spans="1:13" x14ac:dyDescent="0.25">
      <c r="A5241" s="8"/>
      <c r="C5241" s="5"/>
      <c r="M5241" s="9"/>
    </row>
    <row r="5242" spans="1:13" x14ac:dyDescent="0.25">
      <c r="A5242" s="8"/>
      <c r="C5242" s="5"/>
      <c r="M5242" s="9"/>
    </row>
    <row r="5243" spans="1:13" x14ac:dyDescent="0.25">
      <c r="A5243" s="8"/>
      <c r="C5243" s="5"/>
      <c r="M5243" s="9"/>
    </row>
    <row r="5244" spans="1:13" x14ac:dyDescent="0.25">
      <c r="A5244" s="8"/>
      <c r="C5244" s="5"/>
      <c r="M5244" s="9"/>
    </row>
    <row r="5245" spans="1:13" x14ac:dyDescent="0.25">
      <c r="A5245" s="8"/>
      <c r="C5245" s="5"/>
      <c r="M5245" s="9"/>
    </row>
    <row r="5246" spans="1:13" x14ac:dyDescent="0.25">
      <c r="A5246" s="8"/>
      <c r="C5246" s="5"/>
      <c r="M5246" s="9"/>
    </row>
    <row r="5247" spans="1:13" x14ac:dyDescent="0.25">
      <c r="A5247" s="8"/>
      <c r="C5247" s="5"/>
      <c r="M5247" s="9"/>
    </row>
    <row r="5248" spans="1:13" x14ac:dyDescent="0.25">
      <c r="A5248" s="8"/>
      <c r="C5248" s="5"/>
      <c r="M5248" s="9"/>
    </row>
    <row r="5249" spans="1:13" x14ac:dyDescent="0.25">
      <c r="A5249" s="8"/>
      <c r="C5249" s="5"/>
      <c r="M5249" s="9"/>
    </row>
    <row r="5250" spans="1:13" x14ac:dyDescent="0.25">
      <c r="A5250" s="8"/>
      <c r="C5250" s="5"/>
      <c r="M5250" s="9"/>
    </row>
    <row r="5251" spans="1:13" x14ac:dyDescent="0.25">
      <c r="A5251" s="8"/>
      <c r="C5251" s="5"/>
      <c r="M5251" s="9"/>
    </row>
    <row r="5252" spans="1:13" x14ac:dyDescent="0.25">
      <c r="A5252" s="8"/>
      <c r="C5252" s="5"/>
      <c r="M5252" s="9"/>
    </row>
    <row r="5253" spans="1:13" x14ac:dyDescent="0.25">
      <c r="A5253" s="8"/>
      <c r="C5253" s="5"/>
      <c r="M5253" s="9"/>
    </row>
    <row r="5254" spans="1:13" x14ac:dyDescent="0.25">
      <c r="A5254" s="8"/>
      <c r="C5254" s="5"/>
      <c r="M5254" s="9"/>
    </row>
    <row r="5255" spans="1:13" x14ac:dyDescent="0.25">
      <c r="A5255" s="8"/>
      <c r="C5255" s="5"/>
      <c r="M5255" s="9"/>
    </row>
    <row r="5256" spans="1:13" x14ac:dyDescent="0.25">
      <c r="A5256" s="8"/>
      <c r="C5256" s="5"/>
      <c r="M5256" s="9"/>
    </row>
    <row r="5257" spans="1:13" x14ac:dyDescent="0.25">
      <c r="A5257" s="8"/>
      <c r="C5257" s="5"/>
      <c r="M5257" s="9"/>
    </row>
    <row r="5258" spans="1:13" x14ac:dyDescent="0.25">
      <c r="A5258" s="8"/>
      <c r="C5258" s="5"/>
      <c r="M5258" s="9"/>
    </row>
    <row r="5259" spans="1:13" x14ac:dyDescent="0.25">
      <c r="A5259" s="8"/>
      <c r="C5259" s="5"/>
      <c r="M5259" s="9"/>
    </row>
    <row r="5260" spans="1:13" x14ac:dyDescent="0.25">
      <c r="A5260" s="8"/>
      <c r="C5260" s="5"/>
      <c r="M5260" s="9"/>
    </row>
    <row r="5261" spans="1:13" x14ac:dyDescent="0.25">
      <c r="A5261" s="8"/>
      <c r="C5261" s="5"/>
      <c r="M5261" s="9"/>
    </row>
    <row r="5262" spans="1:13" x14ac:dyDescent="0.25">
      <c r="A5262" s="8"/>
      <c r="C5262" s="5"/>
      <c r="M5262" s="9"/>
    </row>
    <row r="5263" spans="1:13" x14ac:dyDescent="0.25">
      <c r="A5263" s="8"/>
      <c r="C5263" s="5"/>
      <c r="M5263" s="9"/>
    </row>
    <row r="5264" spans="1:13" x14ac:dyDescent="0.25">
      <c r="A5264" s="8"/>
      <c r="C5264" s="5"/>
      <c r="M5264" s="9"/>
    </row>
    <row r="5265" spans="1:13" x14ac:dyDescent="0.25">
      <c r="A5265" s="8"/>
      <c r="C5265" s="5"/>
      <c r="M5265" s="9"/>
    </row>
    <row r="5266" spans="1:13" x14ac:dyDescent="0.25">
      <c r="A5266" s="8"/>
      <c r="C5266" s="5"/>
      <c r="M5266" s="9"/>
    </row>
    <row r="5267" spans="1:13" x14ac:dyDescent="0.25">
      <c r="A5267" s="8"/>
      <c r="C5267" s="5"/>
      <c r="M5267" s="9"/>
    </row>
    <row r="5268" spans="1:13" x14ac:dyDescent="0.25">
      <c r="A5268" s="8"/>
      <c r="C5268" s="5"/>
      <c r="M5268" s="9"/>
    </row>
    <row r="5269" spans="1:13" x14ac:dyDescent="0.25">
      <c r="A5269" s="8"/>
      <c r="C5269" s="5"/>
      <c r="M5269" s="9"/>
    </row>
    <row r="5270" spans="1:13" x14ac:dyDescent="0.25">
      <c r="A5270" s="8"/>
      <c r="C5270" s="5"/>
      <c r="M5270" s="9"/>
    </row>
    <row r="5271" spans="1:13" x14ac:dyDescent="0.25">
      <c r="A5271" s="8"/>
      <c r="C5271" s="5"/>
      <c r="M5271" s="9"/>
    </row>
    <row r="5272" spans="1:13" x14ac:dyDescent="0.25">
      <c r="A5272" s="8"/>
      <c r="C5272" s="5"/>
      <c r="M5272" s="9"/>
    </row>
    <row r="5273" spans="1:13" x14ac:dyDescent="0.25">
      <c r="A5273" s="8"/>
      <c r="C5273" s="5"/>
      <c r="M5273" s="9"/>
    </row>
    <row r="5274" spans="1:13" x14ac:dyDescent="0.25">
      <c r="A5274" s="8"/>
      <c r="C5274" s="5"/>
      <c r="M5274" s="9"/>
    </row>
    <row r="5275" spans="1:13" x14ac:dyDescent="0.25">
      <c r="A5275" s="8"/>
      <c r="C5275" s="5"/>
      <c r="M5275" s="9"/>
    </row>
    <row r="5276" spans="1:13" x14ac:dyDescent="0.25">
      <c r="A5276" s="8"/>
      <c r="C5276" s="5"/>
      <c r="M5276" s="9"/>
    </row>
    <row r="5277" spans="1:13" x14ac:dyDescent="0.25">
      <c r="A5277" s="8"/>
      <c r="C5277" s="5"/>
      <c r="M5277" s="9"/>
    </row>
    <row r="5278" spans="1:13" x14ac:dyDescent="0.25">
      <c r="A5278" s="8"/>
      <c r="C5278" s="5"/>
      <c r="M5278" s="9"/>
    </row>
    <row r="5279" spans="1:13" x14ac:dyDescent="0.25">
      <c r="A5279" s="8"/>
      <c r="C5279" s="5"/>
      <c r="M5279" s="9"/>
    </row>
    <row r="5280" spans="1:13" x14ac:dyDescent="0.25">
      <c r="A5280" s="8"/>
      <c r="C5280" s="5"/>
      <c r="M5280" s="9"/>
    </row>
    <row r="5281" spans="1:13" x14ac:dyDescent="0.25">
      <c r="A5281" s="8"/>
      <c r="C5281" s="5"/>
      <c r="M5281" s="9"/>
    </row>
    <row r="5282" spans="1:13" x14ac:dyDescent="0.25">
      <c r="A5282" s="8"/>
      <c r="C5282" s="5"/>
      <c r="M5282" s="9"/>
    </row>
    <row r="5283" spans="1:13" x14ac:dyDescent="0.25">
      <c r="A5283" s="8"/>
      <c r="C5283" s="5"/>
      <c r="M5283" s="9"/>
    </row>
    <row r="5284" spans="1:13" x14ac:dyDescent="0.25">
      <c r="A5284" s="8"/>
      <c r="C5284" s="5"/>
      <c r="M5284" s="9"/>
    </row>
    <row r="5285" spans="1:13" x14ac:dyDescent="0.25">
      <c r="A5285" s="8"/>
      <c r="C5285" s="5"/>
      <c r="M5285" s="9"/>
    </row>
    <row r="5286" spans="1:13" x14ac:dyDescent="0.25">
      <c r="A5286" s="8"/>
      <c r="C5286" s="5"/>
      <c r="M5286" s="9"/>
    </row>
    <row r="5287" spans="1:13" x14ac:dyDescent="0.25">
      <c r="A5287" s="8"/>
      <c r="C5287" s="5"/>
      <c r="M5287" s="9"/>
    </row>
    <row r="5288" spans="1:13" x14ac:dyDescent="0.25">
      <c r="A5288" s="8"/>
      <c r="C5288" s="5"/>
      <c r="M5288" s="9"/>
    </row>
    <row r="5289" spans="1:13" x14ac:dyDescent="0.25">
      <c r="A5289" s="8"/>
      <c r="C5289" s="5"/>
      <c r="M5289" s="9"/>
    </row>
    <row r="5290" spans="1:13" x14ac:dyDescent="0.25">
      <c r="A5290" s="8"/>
      <c r="C5290" s="5"/>
      <c r="M5290" s="9"/>
    </row>
    <row r="5291" spans="1:13" x14ac:dyDescent="0.25">
      <c r="A5291" s="8"/>
      <c r="C5291" s="5"/>
      <c r="M5291" s="9"/>
    </row>
    <row r="5292" spans="1:13" x14ac:dyDescent="0.25">
      <c r="A5292" s="8"/>
      <c r="C5292" s="5"/>
      <c r="M5292" s="9"/>
    </row>
    <row r="5293" spans="1:13" x14ac:dyDescent="0.25">
      <c r="A5293" s="8"/>
      <c r="C5293" s="5"/>
      <c r="M5293" s="9"/>
    </row>
    <row r="5294" spans="1:13" x14ac:dyDescent="0.25">
      <c r="A5294" s="8"/>
      <c r="C5294" s="5"/>
      <c r="M5294" s="9"/>
    </row>
    <row r="5295" spans="1:13" x14ac:dyDescent="0.25">
      <c r="A5295" s="8"/>
      <c r="C5295" s="5"/>
      <c r="M5295" s="9"/>
    </row>
    <row r="5296" spans="1:13" x14ac:dyDescent="0.25">
      <c r="A5296" s="8"/>
      <c r="C5296" s="5"/>
      <c r="M5296" s="9"/>
    </row>
    <row r="5297" spans="1:13" x14ac:dyDescent="0.25">
      <c r="A5297" s="8"/>
      <c r="C5297" s="5"/>
      <c r="M5297" s="9"/>
    </row>
    <row r="5298" spans="1:13" x14ac:dyDescent="0.25">
      <c r="A5298" s="8"/>
      <c r="C5298" s="5"/>
      <c r="M5298" s="9"/>
    </row>
    <row r="5299" spans="1:13" x14ac:dyDescent="0.25">
      <c r="A5299" s="8"/>
      <c r="C5299" s="5"/>
      <c r="M5299" s="9"/>
    </row>
    <row r="5300" spans="1:13" x14ac:dyDescent="0.25">
      <c r="A5300" s="8"/>
      <c r="C5300" s="5"/>
      <c r="M5300" s="9"/>
    </row>
    <row r="5301" spans="1:13" x14ac:dyDescent="0.25">
      <c r="A5301" s="8"/>
      <c r="C5301" s="5"/>
      <c r="M5301" s="9"/>
    </row>
    <row r="5302" spans="1:13" x14ac:dyDescent="0.25">
      <c r="A5302" s="8"/>
      <c r="C5302" s="5"/>
      <c r="M5302" s="9"/>
    </row>
    <row r="5303" spans="1:13" x14ac:dyDescent="0.25">
      <c r="A5303" s="8"/>
      <c r="C5303" s="5"/>
      <c r="M5303" s="9"/>
    </row>
    <row r="5304" spans="1:13" x14ac:dyDescent="0.25">
      <c r="A5304" s="8"/>
      <c r="C5304" s="5"/>
      <c r="M5304" s="9"/>
    </row>
    <row r="5305" spans="1:13" x14ac:dyDescent="0.25">
      <c r="A5305" s="8"/>
      <c r="C5305" s="5"/>
      <c r="M5305" s="9"/>
    </row>
    <row r="5306" spans="1:13" x14ac:dyDescent="0.25">
      <c r="A5306" s="8"/>
      <c r="C5306" s="5"/>
      <c r="M5306" s="9"/>
    </row>
    <row r="5307" spans="1:13" x14ac:dyDescent="0.25">
      <c r="A5307" s="8"/>
      <c r="C5307" s="5"/>
      <c r="M5307" s="9"/>
    </row>
    <row r="5308" spans="1:13" x14ac:dyDescent="0.25">
      <c r="A5308" s="8"/>
      <c r="C5308" s="5"/>
      <c r="M5308" s="9"/>
    </row>
    <row r="5309" spans="1:13" x14ac:dyDescent="0.25">
      <c r="A5309" s="8"/>
      <c r="C5309" s="5"/>
      <c r="M5309" s="9"/>
    </row>
    <row r="5310" spans="1:13" x14ac:dyDescent="0.25">
      <c r="A5310" s="8"/>
      <c r="C5310" s="5"/>
      <c r="M5310" s="9"/>
    </row>
    <row r="5311" spans="1:13" x14ac:dyDescent="0.25">
      <c r="A5311" s="8"/>
      <c r="C5311" s="5"/>
      <c r="M5311" s="9"/>
    </row>
    <row r="5312" spans="1:13" x14ac:dyDescent="0.25">
      <c r="A5312" s="8"/>
      <c r="C5312" s="5"/>
      <c r="M5312" s="9"/>
    </row>
    <row r="5313" spans="1:13" x14ac:dyDescent="0.25">
      <c r="A5313" s="8"/>
      <c r="C5313" s="5"/>
      <c r="M5313" s="9"/>
    </row>
    <row r="5314" spans="1:13" x14ac:dyDescent="0.25">
      <c r="A5314" s="8"/>
      <c r="C5314" s="5"/>
      <c r="M5314" s="9"/>
    </row>
    <row r="5315" spans="1:13" x14ac:dyDescent="0.25">
      <c r="A5315" s="8"/>
      <c r="C5315" s="5"/>
      <c r="M5315" s="9"/>
    </row>
    <row r="5316" spans="1:13" x14ac:dyDescent="0.25">
      <c r="A5316" s="8"/>
      <c r="C5316" s="5"/>
      <c r="M5316" s="9"/>
    </row>
    <row r="5317" spans="1:13" x14ac:dyDescent="0.25">
      <c r="A5317" s="8"/>
      <c r="C5317" s="5"/>
      <c r="M5317" s="9"/>
    </row>
    <row r="5318" spans="1:13" x14ac:dyDescent="0.25">
      <c r="A5318" s="8"/>
      <c r="C5318" s="5"/>
      <c r="M5318" s="9"/>
    </row>
    <row r="5319" spans="1:13" x14ac:dyDescent="0.25">
      <c r="A5319" s="8"/>
      <c r="C5319" s="5"/>
      <c r="M5319" s="9"/>
    </row>
    <row r="5320" spans="1:13" x14ac:dyDescent="0.25">
      <c r="A5320" s="8"/>
      <c r="C5320" s="5"/>
      <c r="M5320" s="9"/>
    </row>
    <row r="5321" spans="1:13" x14ac:dyDescent="0.25">
      <c r="A5321" s="8"/>
      <c r="C5321" s="5"/>
      <c r="M5321" s="9"/>
    </row>
    <row r="5322" spans="1:13" x14ac:dyDescent="0.25">
      <c r="A5322" s="8"/>
      <c r="C5322" s="5"/>
      <c r="M5322" s="9"/>
    </row>
    <row r="5323" spans="1:13" x14ac:dyDescent="0.25">
      <c r="A5323" s="8"/>
      <c r="C5323" s="5"/>
      <c r="M5323" s="9"/>
    </row>
    <row r="5324" spans="1:13" x14ac:dyDescent="0.25">
      <c r="A5324" s="8"/>
      <c r="C5324" s="5"/>
      <c r="M5324" s="9"/>
    </row>
    <row r="5325" spans="1:13" x14ac:dyDescent="0.25">
      <c r="A5325" s="8"/>
      <c r="C5325" s="5"/>
      <c r="M5325" s="9"/>
    </row>
    <row r="5326" spans="1:13" x14ac:dyDescent="0.25">
      <c r="A5326" s="8"/>
      <c r="C5326" s="5"/>
      <c r="M5326" s="9"/>
    </row>
    <row r="5327" spans="1:13" x14ac:dyDescent="0.25">
      <c r="A5327" s="8"/>
      <c r="C5327" s="5"/>
      <c r="M5327" s="9"/>
    </row>
    <row r="5328" spans="1:13" x14ac:dyDescent="0.25">
      <c r="A5328" s="8"/>
      <c r="C5328" s="5"/>
      <c r="M5328" s="9"/>
    </row>
    <row r="5329" spans="1:13" x14ac:dyDescent="0.25">
      <c r="A5329" s="8"/>
      <c r="C5329" s="5"/>
      <c r="M5329" s="9"/>
    </row>
    <row r="5330" spans="1:13" x14ac:dyDescent="0.25">
      <c r="A5330" s="8"/>
      <c r="C5330" s="5"/>
      <c r="M5330" s="9"/>
    </row>
    <row r="5331" spans="1:13" x14ac:dyDescent="0.25">
      <c r="A5331" s="8"/>
      <c r="C5331" s="5"/>
      <c r="M5331" s="9"/>
    </row>
    <row r="5332" spans="1:13" x14ac:dyDescent="0.25">
      <c r="A5332" s="8"/>
      <c r="C5332" s="5"/>
      <c r="M5332" s="9"/>
    </row>
    <row r="5333" spans="1:13" x14ac:dyDescent="0.25">
      <c r="A5333" s="8"/>
      <c r="C5333" s="5"/>
      <c r="M5333" s="9"/>
    </row>
    <row r="5334" spans="1:13" x14ac:dyDescent="0.25">
      <c r="A5334" s="8"/>
      <c r="C5334" s="5"/>
      <c r="M5334" s="9"/>
    </row>
    <row r="5335" spans="1:13" x14ac:dyDescent="0.25">
      <c r="A5335" s="8"/>
      <c r="C5335" s="5"/>
      <c r="M5335" s="9"/>
    </row>
    <row r="5336" spans="1:13" x14ac:dyDescent="0.25">
      <c r="A5336" s="8"/>
      <c r="C5336" s="5"/>
      <c r="M5336" s="9"/>
    </row>
    <row r="5337" spans="1:13" x14ac:dyDescent="0.25">
      <c r="A5337" s="8"/>
      <c r="C5337" s="5"/>
      <c r="M5337" s="9"/>
    </row>
    <row r="5338" spans="1:13" x14ac:dyDescent="0.25">
      <c r="A5338" s="8"/>
      <c r="C5338" s="5"/>
      <c r="M5338" s="9"/>
    </row>
    <row r="5339" spans="1:13" x14ac:dyDescent="0.25">
      <c r="A5339" s="8"/>
      <c r="C5339" s="5"/>
      <c r="M5339" s="9"/>
    </row>
    <row r="5340" spans="1:13" x14ac:dyDescent="0.25">
      <c r="A5340" s="8"/>
      <c r="C5340" s="5"/>
      <c r="M5340" s="9"/>
    </row>
    <row r="5341" spans="1:13" x14ac:dyDescent="0.25">
      <c r="A5341" s="8"/>
      <c r="C5341" s="5"/>
      <c r="M5341" s="9"/>
    </row>
    <row r="5342" spans="1:13" x14ac:dyDescent="0.25">
      <c r="A5342" s="8"/>
      <c r="C5342" s="5"/>
      <c r="M5342" s="9"/>
    </row>
    <row r="5343" spans="1:13" x14ac:dyDescent="0.25">
      <c r="A5343" s="8"/>
      <c r="C5343" s="5"/>
      <c r="M5343" s="9"/>
    </row>
    <row r="5344" spans="1:13" x14ac:dyDescent="0.25">
      <c r="A5344" s="8"/>
      <c r="C5344" s="5"/>
      <c r="M5344" s="9"/>
    </row>
    <row r="5345" spans="1:13" x14ac:dyDescent="0.25">
      <c r="A5345" s="8"/>
      <c r="C5345" s="5"/>
      <c r="M5345" s="9"/>
    </row>
    <row r="5346" spans="1:13" x14ac:dyDescent="0.25">
      <c r="A5346" s="8"/>
      <c r="C5346" s="5"/>
      <c r="M5346" s="9"/>
    </row>
    <row r="5347" spans="1:13" x14ac:dyDescent="0.25">
      <c r="A5347" s="8"/>
      <c r="C5347" s="5"/>
      <c r="M5347" s="9"/>
    </row>
    <row r="5348" spans="1:13" x14ac:dyDescent="0.25">
      <c r="A5348" s="8"/>
      <c r="C5348" s="5"/>
      <c r="M5348" s="9"/>
    </row>
    <row r="5349" spans="1:13" x14ac:dyDescent="0.25">
      <c r="A5349" s="8"/>
      <c r="C5349" s="5"/>
      <c r="M5349" s="9"/>
    </row>
    <row r="5350" spans="1:13" x14ac:dyDescent="0.25">
      <c r="A5350" s="8"/>
      <c r="C5350" s="5"/>
      <c r="M5350" s="9"/>
    </row>
    <row r="5351" spans="1:13" x14ac:dyDescent="0.25">
      <c r="A5351" s="8"/>
      <c r="C5351" s="5"/>
      <c r="M5351" s="9"/>
    </row>
    <row r="5352" spans="1:13" x14ac:dyDescent="0.25">
      <c r="A5352" s="8"/>
      <c r="C5352" s="5"/>
      <c r="M5352" s="9"/>
    </row>
    <row r="5353" spans="1:13" x14ac:dyDescent="0.25">
      <c r="A5353" s="8"/>
      <c r="C5353" s="5"/>
      <c r="M5353" s="9"/>
    </row>
    <row r="5354" spans="1:13" x14ac:dyDescent="0.25">
      <c r="A5354" s="8"/>
      <c r="C5354" s="5"/>
      <c r="M5354" s="9"/>
    </row>
    <row r="5355" spans="1:13" x14ac:dyDescent="0.25">
      <c r="A5355" s="8"/>
      <c r="C5355" s="5"/>
      <c r="M5355" s="9"/>
    </row>
    <row r="5356" spans="1:13" x14ac:dyDescent="0.25">
      <c r="A5356" s="8"/>
      <c r="C5356" s="5"/>
      <c r="M5356" s="9"/>
    </row>
    <row r="5357" spans="1:13" x14ac:dyDescent="0.25">
      <c r="A5357" s="8"/>
      <c r="C5357" s="5"/>
      <c r="M5357" s="9"/>
    </row>
    <row r="5358" spans="1:13" x14ac:dyDescent="0.25">
      <c r="A5358" s="8"/>
      <c r="C5358" s="5"/>
      <c r="M5358" s="9"/>
    </row>
    <row r="5359" spans="1:13" x14ac:dyDescent="0.25">
      <c r="A5359" s="8"/>
      <c r="C5359" s="5"/>
      <c r="M5359" s="9"/>
    </row>
    <row r="5360" spans="1:13" x14ac:dyDescent="0.25">
      <c r="A5360" s="8"/>
      <c r="C5360" s="5"/>
      <c r="M5360" s="9"/>
    </row>
    <row r="5361" spans="1:13" x14ac:dyDescent="0.25">
      <c r="A5361" s="8"/>
      <c r="C5361" s="5"/>
      <c r="M5361" s="9"/>
    </row>
    <row r="5362" spans="1:13" x14ac:dyDescent="0.25">
      <c r="A5362" s="8"/>
      <c r="C5362" s="5"/>
      <c r="M5362" s="9"/>
    </row>
    <row r="5363" spans="1:13" x14ac:dyDescent="0.25">
      <c r="A5363" s="8"/>
      <c r="C5363" s="5"/>
      <c r="M5363" s="9"/>
    </row>
    <row r="5364" spans="1:13" x14ac:dyDescent="0.25">
      <c r="A5364" s="8"/>
      <c r="C5364" s="5"/>
      <c r="M5364" s="9"/>
    </row>
    <row r="5365" spans="1:13" x14ac:dyDescent="0.25">
      <c r="A5365" s="8"/>
      <c r="C5365" s="5"/>
      <c r="M5365" s="9"/>
    </row>
    <row r="5366" spans="1:13" x14ac:dyDescent="0.25">
      <c r="A5366" s="8"/>
      <c r="C5366" s="5"/>
      <c r="M5366" s="9"/>
    </row>
    <row r="5367" spans="1:13" x14ac:dyDescent="0.25">
      <c r="A5367" s="8"/>
      <c r="C5367" s="5"/>
      <c r="M5367" s="9"/>
    </row>
    <row r="5368" spans="1:13" x14ac:dyDescent="0.25">
      <c r="A5368" s="8"/>
      <c r="C5368" s="5"/>
      <c r="M5368" s="9"/>
    </row>
    <row r="5369" spans="1:13" x14ac:dyDescent="0.25">
      <c r="A5369" s="8"/>
      <c r="C5369" s="5"/>
      <c r="M5369" s="9"/>
    </row>
    <row r="5370" spans="1:13" x14ac:dyDescent="0.25">
      <c r="A5370" s="8"/>
      <c r="C5370" s="5"/>
      <c r="M5370" s="9"/>
    </row>
    <row r="5371" spans="1:13" x14ac:dyDescent="0.25">
      <c r="A5371" s="8"/>
      <c r="C5371" s="5"/>
      <c r="M5371" s="9"/>
    </row>
    <row r="5372" spans="1:13" x14ac:dyDescent="0.25">
      <c r="A5372" s="8"/>
      <c r="C5372" s="5"/>
      <c r="M5372" s="9"/>
    </row>
    <row r="5373" spans="1:13" x14ac:dyDescent="0.25">
      <c r="A5373" s="8"/>
      <c r="C5373" s="5"/>
      <c r="M5373" s="9"/>
    </row>
    <row r="5374" spans="1:13" x14ac:dyDescent="0.25">
      <c r="A5374" s="8"/>
      <c r="C5374" s="5"/>
      <c r="M5374" s="9"/>
    </row>
    <row r="5375" spans="1:13" x14ac:dyDescent="0.25">
      <c r="A5375" s="8"/>
      <c r="C5375" s="5"/>
      <c r="M5375" s="9"/>
    </row>
    <row r="5376" spans="1:13" x14ac:dyDescent="0.25">
      <c r="A5376" s="8"/>
      <c r="C5376" s="5"/>
      <c r="M5376" s="9"/>
    </row>
    <row r="5377" spans="1:13" x14ac:dyDescent="0.25">
      <c r="A5377" s="8"/>
      <c r="C5377" s="5"/>
      <c r="M5377" s="9"/>
    </row>
    <row r="5378" spans="1:13" x14ac:dyDescent="0.25">
      <c r="A5378" s="8"/>
      <c r="C5378" s="5"/>
      <c r="M5378" s="9"/>
    </row>
    <row r="5379" spans="1:13" x14ac:dyDescent="0.25">
      <c r="A5379" s="8"/>
      <c r="C5379" s="5"/>
      <c r="M5379" s="9"/>
    </row>
    <row r="5380" spans="1:13" x14ac:dyDescent="0.25">
      <c r="A5380" s="8"/>
      <c r="C5380" s="5"/>
      <c r="M5380" s="9"/>
    </row>
    <row r="5381" spans="1:13" x14ac:dyDescent="0.25">
      <c r="A5381" s="8"/>
      <c r="C5381" s="5"/>
      <c r="M5381" s="9"/>
    </row>
    <row r="5382" spans="1:13" x14ac:dyDescent="0.25">
      <c r="A5382" s="8"/>
      <c r="C5382" s="5"/>
      <c r="M5382" s="9"/>
    </row>
    <row r="5383" spans="1:13" x14ac:dyDescent="0.25">
      <c r="A5383" s="8"/>
      <c r="C5383" s="5"/>
      <c r="M5383" s="9"/>
    </row>
    <row r="5384" spans="1:13" x14ac:dyDescent="0.25">
      <c r="A5384" s="8"/>
      <c r="C5384" s="5"/>
      <c r="M5384" s="9"/>
    </row>
    <row r="5385" spans="1:13" x14ac:dyDescent="0.25">
      <c r="A5385" s="8"/>
      <c r="C5385" s="5"/>
      <c r="M5385" s="9"/>
    </row>
    <row r="5386" spans="1:13" x14ac:dyDescent="0.25">
      <c r="A5386" s="8"/>
      <c r="C5386" s="5"/>
      <c r="M5386" s="9"/>
    </row>
    <row r="5387" spans="1:13" x14ac:dyDescent="0.25">
      <c r="A5387" s="8"/>
      <c r="C5387" s="5"/>
      <c r="M5387" s="9"/>
    </row>
    <row r="5388" spans="1:13" x14ac:dyDescent="0.25">
      <c r="A5388" s="8"/>
      <c r="C5388" s="5"/>
      <c r="M5388" s="9"/>
    </row>
    <row r="5389" spans="1:13" x14ac:dyDescent="0.25">
      <c r="A5389" s="8"/>
      <c r="C5389" s="5"/>
      <c r="M5389" s="9"/>
    </row>
    <row r="5390" spans="1:13" x14ac:dyDescent="0.25">
      <c r="A5390" s="8"/>
      <c r="C5390" s="5"/>
      <c r="M5390" s="9"/>
    </row>
    <row r="5391" spans="1:13" x14ac:dyDescent="0.25">
      <c r="A5391" s="8"/>
      <c r="C5391" s="5"/>
      <c r="M5391" s="9"/>
    </row>
    <row r="5392" spans="1:13" x14ac:dyDescent="0.25">
      <c r="A5392" s="8"/>
      <c r="C5392" s="5"/>
      <c r="M5392" s="9"/>
    </row>
    <row r="5393" spans="1:13" x14ac:dyDescent="0.25">
      <c r="A5393" s="8"/>
      <c r="C5393" s="5"/>
      <c r="M5393" s="9"/>
    </row>
    <row r="5394" spans="1:13" x14ac:dyDescent="0.25">
      <c r="A5394" s="8"/>
      <c r="C5394" s="5"/>
      <c r="M5394" s="9"/>
    </row>
    <row r="5395" spans="1:13" x14ac:dyDescent="0.25">
      <c r="A5395" s="8"/>
      <c r="C5395" s="5"/>
      <c r="M5395" s="9"/>
    </row>
    <row r="5396" spans="1:13" x14ac:dyDescent="0.25">
      <c r="A5396" s="8"/>
      <c r="C5396" s="5"/>
      <c r="M5396" s="9"/>
    </row>
    <row r="5397" spans="1:13" x14ac:dyDescent="0.25">
      <c r="A5397" s="8"/>
      <c r="C5397" s="5"/>
      <c r="M5397" s="9"/>
    </row>
    <row r="5398" spans="1:13" x14ac:dyDescent="0.25">
      <c r="A5398" s="8"/>
      <c r="C5398" s="5"/>
      <c r="M5398" s="9"/>
    </row>
    <row r="5399" spans="1:13" x14ac:dyDescent="0.25">
      <c r="A5399" s="8"/>
      <c r="C5399" s="5"/>
      <c r="M5399" s="9"/>
    </row>
    <row r="5400" spans="1:13" x14ac:dyDescent="0.25">
      <c r="A5400" s="8"/>
      <c r="C5400" s="5"/>
      <c r="M5400" s="9"/>
    </row>
    <row r="5401" spans="1:13" x14ac:dyDescent="0.25">
      <c r="A5401" s="8"/>
      <c r="C5401" s="5"/>
      <c r="M5401" s="9"/>
    </row>
    <row r="5402" spans="1:13" x14ac:dyDescent="0.25">
      <c r="A5402" s="8"/>
      <c r="C5402" s="5"/>
      <c r="M5402" s="9"/>
    </row>
    <row r="5403" spans="1:13" x14ac:dyDescent="0.25">
      <c r="A5403" s="8"/>
      <c r="C5403" s="5"/>
      <c r="M5403" s="9"/>
    </row>
    <row r="5404" spans="1:13" x14ac:dyDescent="0.25">
      <c r="A5404" s="8"/>
      <c r="C5404" s="5"/>
      <c r="M5404" s="9"/>
    </row>
    <row r="5405" spans="1:13" x14ac:dyDescent="0.25">
      <c r="A5405" s="8"/>
      <c r="C5405" s="5"/>
      <c r="M5405" s="9"/>
    </row>
    <row r="5406" spans="1:13" x14ac:dyDescent="0.25">
      <c r="A5406" s="8"/>
      <c r="C5406" s="5"/>
      <c r="M5406" s="9"/>
    </row>
    <row r="5407" spans="1:13" x14ac:dyDescent="0.25">
      <c r="A5407" s="8"/>
      <c r="C5407" s="5"/>
      <c r="M5407" s="9"/>
    </row>
    <row r="5408" spans="1:13" x14ac:dyDescent="0.25">
      <c r="A5408" s="8"/>
      <c r="C5408" s="5"/>
      <c r="M5408" s="9"/>
    </row>
    <row r="5409" spans="1:13" x14ac:dyDescent="0.25">
      <c r="A5409" s="8"/>
      <c r="C5409" s="5"/>
      <c r="M5409" s="9"/>
    </row>
    <row r="5410" spans="1:13" x14ac:dyDescent="0.25">
      <c r="A5410" s="8"/>
      <c r="C5410" s="5"/>
      <c r="M5410" s="9"/>
    </row>
    <row r="5411" spans="1:13" x14ac:dyDescent="0.25">
      <c r="A5411" s="8"/>
      <c r="C5411" s="5"/>
      <c r="M5411" s="9"/>
    </row>
    <row r="5412" spans="1:13" x14ac:dyDescent="0.25">
      <c r="A5412" s="8"/>
      <c r="C5412" s="5"/>
      <c r="M5412" s="9"/>
    </row>
    <row r="5413" spans="1:13" x14ac:dyDescent="0.25">
      <c r="A5413" s="8"/>
      <c r="C5413" s="5"/>
      <c r="M5413" s="9"/>
    </row>
    <row r="5414" spans="1:13" x14ac:dyDescent="0.25">
      <c r="A5414" s="8"/>
      <c r="C5414" s="5"/>
      <c r="M5414" s="9"/>
    </row>
    <row r="5415" spans="1:13" x14ac:dyDescent="0.25">
      <c r="A5415" s="8"/>
      <c r="C5415" s="5"/>
      <c r="M5415" s="9"/>
    </row>
    <row r="5416" spans="1:13" x14ac:dyDescent="0.25">
      <c r="A5416" s="8"/>
      <c r="C5416" s="5"/>
      <c r="M5416" s="9"/>
    </row>
    <row r="5417" spans="1:13" x14ac:dyDescent="0.25">
      <c r="A5417" s="8"/>
      <c r="C5417" s="5"/>
      <c r="M5417" s="9"/>
    </row>
    <row r="5418" spans="1:13" x14ac:dyDescent="0.25">
      <c r="A5418" s="8"/>
      <c r="C5418" s="5"/>
      <c r="M5418" s="9"/>
    </row>
    <row r="5419" spans="1:13" x14ac:dyDescent="0.25">
      <c r="A5419" s="8"/>
      <c r="C5419" s="5"/>
      <c r="M5419" s="9"/>
    </row>
    <row r="5420" spans="1:13" x14ac:dyDescent="0.25">
      <c r="A5420" s="8"/>
      <c r="C5420" s="5"/>
      <c r="M5420" s="9"/>
    </row>
    <row r="5421" spans="1:13" x14ac:dyDescent="0.25">
      <c r="A5421" s="8"/>
      <c r="C5421" s="5"/>
      <c r="M5421" s="9"/>
    </row>
    <row r="5422" spans="1:13" x14ac:dyDescent="0.25">
      <c r="A5422" s="8"/>
      <c r="C5422" s="5"/>
      <c r="M5422" s="9"/>
    </row>
    <row r="5423" spans="1:13" x14ac:dyDescent="0.25">
      <c r="A5423" s="8"/>
      <c r="C5423" s="5"/>
      <c r="M5423" s="9"/>
    </row>
    <row r="5424" spans="1:13" x14ac:dyDescent="0.25">
      <c r="A5424" s="8"/>
      <c r="C5424" s="5"/>
      <c r="M5424" s="9"/>
    </row>
    <row r="5425" spans="1:13" x14ac:dyDescent="0.25">
      <c r="A5425" s="8"/>
      <c r="C5425" s="5"/>
      <c r="M5425" s="9"/>
    </row>
    <row r="5426" spans="1:13" x14ac:dyDescent="0.25">
      <c r="A5426" s="8"/>
      <c r="C5426" s="5"/>
      <c r="M5426" s="9"/>
    </row>
    <row r="5427" spans="1:13" x14ac:dyDescent="0.25">
      <c r="A5427" s="8"/>
      <c r="C5427" s="5"/>
      <c r="M5427" s="9"/>
    </row>
    <row r="5428" spans="1:13" x14ac:dyDescent="0.25">
      <c r="A5428" s="8"/>
      <c r="C5428" s="5"/>
      <c r="M5428" s="9"/>
    </row>
    <row r="5429" spans="1:13" x14ac:dyDescent="0.25">
      <c r="A5429" s="8"/>
      <c r="C5429" s="5"/>
      <c r="M5429" s="9"/>
    </row>
    <row r="5430" spans="1:13" x14ac:dyDescent="0.25">
      <c r="A5430" s="8"/>
      <c r="C5430" s="5"/>
      <c r="M5430" s="9"/>
    </row>
    <row r="5431" spans="1:13" x14ac:dyDescent="0.25">
      <c r="A5431" s="8"/>
      <c r="C5431" s="5"/>
      <c r="M5431" s="9"/>
    </row>
    <row r="5432" spans="1:13" x14ac:dyDescent="0.25">
      <c r="A5432" s="8"/>
      <c r="C5432" s="5"/>
      <c r="M5432" s="9"/>
    </row>
    <row r="5433" spans="1:13" x14ac:dyDescent="0.25">
      <c r="A5433" s="8"/>
      <c r="C5433" s="5"/>
      <c r="M5433" s="9"/>
    </row>
    <row r="5434" spans="1:13" x14ac:dyDescent="0.25">
      <c r="A5434" s="8"/>
      <c r="C5434" s="5"/>
      <c r="M5434" s="9"/>
    </row>
    <row r="5435" spans="1:13" x14ac:dyDescent="0.25">
      <c r="A5435" s="8"/>
      <c r="C5435" s="5"/>
      <c r="M5435" s="9"/>
    </row>
    <row r="5436" spans="1:13" x14ac:dyDescent="0.25">
      <c r="A5436" s="8"/>
      <c r="C5436" s="5"/>
      <c r="M5436" s="9"/>
    </row>
    <row r="5437" spans="1:13" x14ac:dyDescent="0.25">
      <c r="A5437" s="8"/>
      <c r="C5437" s="5"/>
      <c r="M5437" s="9"/>
    </row>
    <row r="5438" spans="1:13" x14ac:dyDescent="0.25">
      <c r="A5438" s="8"/>
      <c r="C5438" s="5"/>
      <c r="M5438" s="9"/>
    </row>
    <row r="5439" spans="1:13" x14ac:dyDescent="0.25">
      <c r="A5439" s="8"/>
      <c r="C5439" s="5"/>
      <c r="M5439" s="9"/>
    </row>
    <row r="5440" spans="1:13" x14ac:dyDescent="0.25">
      <c r="A5440" s="8"/>
      <c r="C5440" s="5"/>
      <c r="M5440" s="9"/>
    </row>
    <row r="5441" spans="1:13" x14ac:dyDescent="0.25">
      <c r="A5441" s="8"/>
      <c r="C5441" s="5"/>
      <c r="M5441" s="9"/>
    </row>
    <row r="5442" spans="1:13" x14ac:dyDescent="0.25">
      <c r="A5442" s="8"/>
      <c r="C5442" s="5"/>
      <c r="M5442" s="9"/>
    </row>
    <row r="5443" spans="1:13" x14ac:dyDescent="0.25">
      <c r="A5443" s="8"/>
      <c r="C5443" s="5"/>
      <c r="M5443" s="9"/>
    </row>
    <row r="5444" spans="1:13" x14ac:dyDescent="0.25">
      <c r="A5444" s="8"/>
      <c r="C5444" s="5"/>
      <c r="M5444" s="9"/>
    </row>
    <row r="5445" spans="1:13" x14ac:dyDescent="0.25">
      <c r="A5445" s="8"/>
      <c r="C5445" s="5"/>
      <c r="M5445" s="9"/>
    </row>
    <row r="5446" spans="1:13" x14ac:dyDescent="0.25">
      <c r="A5446" s="8"/>
      <c r="C5446" s="5"/>
      <c r="M5446" s="9"/>
    </row>
    <row r="5447" spans="1:13" x14ac:dyDescent="0.25">
      <c r="A5447" s="8"/>
      <c r="C5447" s="5"/>
      <c r="M5447" s="9"/>
    </row>
    <row r="5448" spans="1:13" x14ac:dyDescent="0.25">
      <c r="A5448" s="8"/>
      <c r="C5448" s="5"/>
      <c r="M5448" s="9"/>
    </row>
    <row r="5449" spans="1:13" x14ac:dyDescent="0.25">
      <c r="A5449" s="8"/>
      <c r="C5449" s="5"/>
      <c r="M5449" s="9"/>
    </row>
    <row r="5450" spans="1:13" x14ac:dyDescent="0.25">
      <c r="A5450" s="8"/>
      <c r="C5450" s="5"/>
      <c r="M5450" s="9"/>
    </row>
    <row r="5451" spans="1:13" x14ac:dyDescent="0.25">
      <c r="A5451" s="8"/>
      <c r="C5451" s="5"/>
      <c r="M5451" s="9"/>
    </row>
    <row r="5452" spans="1:13" x14ac:dyDescent="0.25">
      <c r="A5452" s="8"/>
      <c r="C5452" s="5"/>
      <c r="M5452" s="9"/>
    </row>
    <row r="5453" spans="1:13" x14ac:dyDescent="0.25">
      <c r="A5453" s="8"/>
      <c r="C5453" s="5"/>
      <c r="M5453" s="9"/>
    </row>
    <row r="5454" spans="1:13" x14ac:dyDescent="0.25">
      <c r="A5454" s="8"/>
      <c r="C5454" s="5"/>
      <c r="M5454" s="9"/>
    </row>
    <row r="5455" spans="1:13" x14ac:dyDescent="0.25">
      <c r="A5455" s="8"/>
      <c r="C5455" s="5"/>
      <c r="M5455" s="9"/>
    </row>
    <row r="5456" spans="1:13" x14ac:dyDescent="0.25">
      <c r="A5456" s="8"/>
      <c r="C5456" s="5"/>
      <c r="M5456" s="9"/>
    </row>
    <row r="5457" spans="1:13" x14ac:dyDescent="0.25">
      <c r="A5457" s="8"/>
      <c r="C5457" s="5"/>
      <c r="M5457" s="9"/>
    </row>
    <row r="5458" spans="1:13" x14ac:dyDescent="0.25">
      <c r="A5458" s="8"/>
      <c r="C5458" s="5"/>
      <c r="M5458" s="9"/>
    </row>
    <row r="5459" spans="1:13" x14ac:dyDescent="0.25">
      <c r="A5459" s="8"/>
      <c r="C5459" s="5"/>
      <c r="M5459" s="9"/>
    </row>
    <row r="5460" spans="1:13" x14ac:dyDescent="0.25">
      <c r="A5460" s="8"/>
      <c r="C5460" s="5"/>
      <c r="M5460" s="9"/>
    </row>
    <row r="5461" spans="1:13" x14ac:dyDescent="0.25">
      <c r="A5461" s="8"/>
      <c r="C5461" s="5"/>
      <c r="M5461" s="9"/>
    </row>
    <row r="5462" spans="1:13" x14ac:dyDescent="0.25">
      <c r="A5462" s="8"/>
      <c r="C5462" s="5"/>
      <c r="M5462" s="9"/>
    </row>
    <row r="5463" spans="1:13" x14ac:dyDescent="0.25">
      <c r="A5463" s="8"/>
      <c r="C5463" s="5"/>
      <c r="M5463" s="9"/>
    </row>
    <row r="5464" spans="1:13" x14ac:dyDescent="0.25">
      <c r="A5464" s="8"/>
      <c r="C5464" s="5"/>
      <c r="M5464" s="9"/>
    </row>
    <row r="5465" spans="1:13" x14ac:dyDescent="0.25">
      <c r="A5465" s="8"/>
      <c r="C5465" s="5"/>
      <c r="M5465" s="9"/>
    </row>
    <row r="5466" spans="1:13" x14ac:dyDescent="0.25">
      <c r="A5466" s="8"/>
      <c r="C5466" s="5"/>
      <c r="M5466" s="9"/>
    </row>
    <row r="5467" spans="1:13" x14ac:dyDescent="0.25">
      <c r="A5467" s="8"/>
      <c r="C5467" s="5"/>
      <c r="M5467" s="9"/>
    </row>
    <row r="5468" spans="1:13" x14ac:dyDescent="0.25">
      <c r="A5468" s="8"/>
      <c r="C5468" s="5"/>
      <c r="M5468" s="9"/>
    </row>
    <row r="5469" spans="1:13" x14ac:dyDescent="0.25">
      <c r="A5469" s="8"/>
      <c r="C5469" s="5"/>
      <c r="M5469" s="9"/>
    </row>
    <row r="5470" spans="1:13" x14ac:dyDescent="0.25">
      <c r="A5470" s="8"/>
      <c r="C5470" s="5"/>
      <c r="M5470" s="9"/>
    </row>
    <row r="5471" spans="1:13" x14ac:dyDescent="0.25">
      <c r="A5471" s="8"/>
      <c r="C5471" s="5"/>
      <c r="M5471" s="9"/>
    </row>
    <row r="5472" spans="1:13" x14ac:dyDescent="0.25">
      <c r="A5472" s="8"/>
      <c r="C5472" s="5"/>
      <c r="M5472" s="9"/>
    </row>
    <row r="5473" spans="1:13" x14ac:dyDescent="0.25">
      <c r="A5473" s="8"/>
      <c r="C5473" s="5"/>
      <c r="M5473" s="9"/>
    </row>
    <row r="5474" spans="1:13" x14ac:dyDescent="0.25">
      <c r="A5474" s="8"/>
      <c r="C5474" s="5"/>
      <c r="M5474" s="9"/>
    </row>
    <row r="5475" spans="1:13" x14ac:dyDescent="0.25">
      <c r="A5475" s="8"/>
      <c r="C5475" s="5"/>
      <c r="M5475" s="9"/>
    </row>
    <row r="5476" spans="1:13" x14ac:dyDescent="0.25">
      <c r="A5476" s="8"/>
      <c r="C5476" s="5"/>
      <c r="M5476" s="9"/>
    </row>
    <row r="5477" spans="1:13" x14ac:dyDescent="0.25">
      <c r="A5477" s="8"/>
      <c r="C5477" s="5"/>
      <c r="M5477" s="9"/>
    </row>
    <row r="5478" spans="1:13" x14ac:dyDescent="0.25">
      <c r="A5478" s="8"/>
      <c r="C5478" s="5"/>
      <c r="M5478" s="9"/>
    </row>
    <row r="5479" spans="1:13" x14ac:dyDescent="0.25">
      <c r="A5479" s="8"/>
      <c r="C5479" s="5"/>
      <c r="M5479" s="9"/>
    </row>
    <row r="5480" spans="1:13" x14ac:dyDescent="0.25">
      <c r="A5480" s="8"/>
      <c r="C5480" s="5"/>
      <c r="M5480" s="9"/>
    </row>
    <row r="5481" spans="1:13" x14ac:dyDescent="0.25">
      <c r="A5481" s="8"/>
      <c r="C5481" s="5"/>
      <c r="M5481" s="9"/>
    </row>
    <row r="5482" spans="1:13" x14ac:dyDescent="0.25">
      <c r="A5482" s="8"/>
      <c r="C5482" s="5"/>
      <c r="M5482" s="9"/>
    </row>
    <row r="5483" spans="1:13" x14ac:dyDescent="0.25">
      <c r="A5483" s="8"/>
      <c r="C5483" s="5"/>
      <c r="M5483" s="9"/>
    </row>
    <row r="5484" spans="1:13" x14ac:dyDescent="0.25">
      <c r="A5484" s="8"/>
      <c r="C5484" s="5"/>
      <c r="M5484" s="9"/>
    </row>
    <row r="5485" spans="1:13" x14ac:dyDescent="0.25">
      <c r="A5485" s="8"/>
      <c r="C5485" s="5"/>
      <c r="M5485" s="9"/>
    </row>
    <row r="5486" spans="1:13" x14ac:dyDescent="0.25">
      <c r="A5486" s="8"/>
      <c r="C5486" s="5"/>
      <c r="M5486" s="9"/>
    </row>
    <row r="5487" spans="1:13" x14ac:dyDescent="0.25">
      <c r="A5487" s="8"/>
      <c r="C5487" s="5"/>
      <c r="M5487" s="9"/>
    </row>
    <row r="5488" spans="1:13" x14ac:dyDescent="0.25">
      <c r="A5488" s="8"/>
      <c r="C5488" s="5"/>
      <c r="M5488" s="9"/>
    </row>
    <row r="5489" spans="1:13" x14ac:dyDescent="0.25">
      <c r="A5489" s="8"/>
      <c r="C5489" s="5"/>
      <c r="M5489" s="9"/>
    </row>
    <row r="5490" spans="1:13" x14ac:dyDescent="0.25">
      <c r="A5490" s="8"/>
      <c r="C5490" s="5"/>
      <c r="M5490" s="9"/>
    </row>
    <row r="5491" spans="1:13" x14ac:dyDescent="0.25">
      <c r="A5491" s="8"/>
      <c r="C5491" s="5"/>
      <c r="M5491" s="9"/>
    </row>
    <row r="5492" spans="1:13" x14ac:dyDescent="0.25">
      <c r="A5492" s="8"/>
      <c r="C5492" s="5"/>
      <c r="M5492" s="9"/>
    </row>
    <row r="5493" spans="1:13" x14ac:dyDescent="0.25">
      <c r="A5493" s="8"/>
      <c r="C5493" s="5"/>
      <c r="M5493" s="9"/>
    </row>
    <row r="5494" spans="1:13" x14ac:dyDescent="0.25">
      <c r="A5494" s="8"/>
      <c r="C5494" s="5"/>
      <c r="M5494" s="9"/>
    </row>
    <row r="5495" spans="1:13" x14ac:dyDescent="0.25">
      <c r="A5495" s="8"/>
      <c r="C5495" s="5"/>
      <c r="M5495" s="9"/>
    </row>
    <row r="5496" spans="1:13" x14ac:dyDescent="0.25">
      <c r="A5496" s="8"/>
      <c r="C5496" s="5"/>
      <c r="M5496" s="9"/>
    </row>
    <row r="5497" spans="1:13" x14ac:dyDescent="0.25">
      <c r="A5497" s="8"/>
      <c r="C5497" s="5"/>
      <c r="M5497" s="9"/>
    </row>
    <row r="5498" spans="1:13" x14ac:dyDescent="0.25">
      <c r="A5498" s="8"/>
      <c r="C5498" s="5"/>
      <c r="M5498" s="9"/>
    </row>
    <row r="5499" spans="1:13" x14ac:dyDescent="0.25">
      <c r="A5499" s="8"/>
      <c r="C5499" s="5"/>
      <c r="M5499" s="9"/>
    </row>
    <row r="5500" spans="1:13" x14ac:dyDescent="0.25">
      <c r="A5500" s="8"/>
      <c r="C5500" s="5"/>
      <c r="M5500" s="9"/>
    </row>
    <row r="5501" spans="1:13" x14ac:dyDescent="0.25">
      <c r="A5501" s="8"/>
      <c r="C5501" s="5"/>
      <c r="M5501" s="9"/>
    </row>
    <row r="5502" spans="1:13" x14ac:dyDescent="0.25">
      <c r="A5502" s="8"/>
      <c r="C5502" s="5"/>
      <c r="M5502" s="9"/>
    </row>
    <row r="5503" spans="1:13" x14ac:dyDescent="0.25">
      <c r="A5503" s="8"/>
      <c r="C5503" s="5"/>
      <c r="M5503" s="9"/>
    </row>
    <row r="5504" spans="1:13" x14ac:dyDescent="0.25">
      <c r="A5504" s="8"/>
      <c r="C5504" s="5"/>
      <c r="M5504" s="9"/>
    </row>
    <row r="5505" spans="1:13" x14ac:dyDescent="0.25">
      <c r="A5505" s="8"/>
      <c r="C5505" s="5"/>
      <c r="M5505" s="9"/>
    </row>
    <row r="5506" spans="1:13" x14ac:dyDescent="0.25">
      <c r="A5506" s="8"/>
      <c r="C5506" s="5"/>
      <c r="M5506" s="9"/>
    </row>
    <row r="5507" spans="1:13" x14ac:dyDescent="0.25">
      <c r="A5507" s="8"/>
      <c r="C5507" s="5"/>
      <c r="M5507" s="9"/>
    </row>
    <row r="5508" spans="1:13" x14ac:dyDescent="0.25">
      <c r="A5508" s="8"/>
      <c r="C5508" s="5"/>
      <c r="M5508" s="9"/>
    </row>
    <row r="5509" spans="1:13" x14ac:dyDescent="0.25">
      <c r="A5509" s="8"/>
      <c r="C5509" s="5"/>
      <c r="M5509" s="9"/>
    </row>
    <row r="5510" spans="1:13" x14ac:dyDescent="0.25">
      <c r="A5510" s="8"/>
      <c r="C5510" s="5"/>
      <c r="M5510" s="9"/>
    </row>
    <row r="5511" spans="1:13" x14ac:dyDescent="0.25">
      <c r="A5511" s="8"/>
      <c r="C5511" s="5"/>
      <c r="M5511" s="9"/>
    </row>
    <row r="5512" spans="1:13" x14ac:dyDescent="0.25">
      <c r="A5512" s="8"/>
      <c r="C5512" s="5"/>
      <c r="M5512" s="9"/>
    </row>
    <row r="5513" spans="1:13" x14ac:dyDescent="0.25">
      <c r="A5513" s="8"/>
      <c r="C5513" s="5"/>
      <c r="M5513" s="9"/>
    </row>
    <row r="5514" spans="1:13" x14ac:dyDescent="0.25">
      <c r="A5514" s="8"/>
      <c r="C5514" s="5"/>
      <c r="M5514" s="9"/>
    </row>
    <row r="5515" spans="1:13" x14ac:dyDescent="0.25">
      <c r="A5515" s="8"/>
      <c r="C5515" s="5"/>
      <c r="M5515" s="9"/>
    </row>
    <row r="5516" spans="1:13" x14ac:dyDescent="0.25">
      <c r="A5516" s="8"/>
      <c r="C5516" s="5"/>
      <c r="M5516" s="9"/>
    </row>
    <row r="5517" spans="1:13" x14ac:dyDescent="0.25">
      <c r="A5517" s="8"/>
      <c r="C5517" s="5"/>
      <c r="M5517" s="9"/>
    </row>
    <row r="5518" spans="1:13" x14ac:dyDescent="0.25">
      <c r="A5518" s="8"/>
      <c r="C5518" s="5"/>
      <c r="M5518" s="9"/>
    </row>
    <row r="5519" spans="1:13" x14ac:dyDescent="0.25">
      <c r="A5519" s="8"/>
      <c r="C5519" s="5"/>
      <c r="M5519" s="9"/>
    </row>
    <row r="5520" spans="1:13" x14ac:dyDescent="0.25">
      <c r="A5520" s="8"/>
      <c r="C5520" s="5"/>
      <c r="M5520" s="9"/>
    </row>
    <row r="5521" spans="1:13" x14ac:dyDescent="0.25">
      <c r="A5521" s="8"/>
      <c r="C5521" s="5"/>
      <c r="M5521" s="9"/>
    </row>
    <row r="5522" spans="1:13" x14ac:dyDescent="0.25">
      <c r="A5522" s="8"/>
      <c r="C5522" s="5"/>
      <c r="M5522" s="9"/>
    </row>
    <row r="5523" spans="1:13" x14ac:dyDescent="0.25">
      <c r="A5523" s="8"/>
      <c r="C5523" s="5"/>
      <c r="M5523" s="9"/>
    </row>
    <row r="5524" spans="1:13" x14ac:dyDescent="0.25">
      <c r="A5524" s="8"/>
      <c r="C5524" s="5"/>
      <c r="M5524" s="9"/>
    </row>
    <row r="5525" spans="1:13" x14ac:dyDescent="0.25">
      <c r="A5525" s="8"/>
      <c r="C5525" s="5"/>
      <c r="M5525" s="9"/>
    </row>
    <row r="5526" spans="1:13" x14ac:dyDescent="0.25">
      <c r="A5526" s="8"/>
      <c r="C5526" s="5"/>
      <c r="M5526" s="9"/>
    </row>
    <row r="5527" spans="1:13" x14ac:dyDescent="0.25">
      <c r="A5527" s="8"/>
      <c r="C5527" s="5"/>
      <c r="M5527" s="9"/>
    </row>
    <row r="5528" spans="1:13" x14ac:dyDescent="0.25">
      <c r="A5528" s="8"/>
      <c r="C5528" s="5"/>
      <c r="M5528" s="9"/>
    </row>
    <row r="5529" spans="1:13" x14ac:dyDescent="0.25">
      <c r="A5529" s="8"/>
      <c r="C5529" s="5"/>
      <c r="M5529" s="9"/>
    </row>
    <row r="5530" spans="1:13" x14ac:dyDescent="0.25">
      <c r="A5530" s="8"/>
      <c r="C5530" s="5"/>
      <c r="M5530" s="9"/>
    </row>
    <row r="5531" spans="1:13" x14ac:dyDescent="0.25">
      <c r="A5531" s="8"/>
      <c r="C5531" s="5"/>
      <c r="M5531" s="9"/>
    </row>
    <row r="5532" spans="1:13" x14ac:dyDescent="0.25">
      <c r="A5532" s="8"/>
      <c r="C5532" s="5"/>
      <c r="M5532" s="9"/>
    </row>
    <row r="5533" spans="1:13" x14ac:dyDescent="0.25">
      <c r="A5533" s="8"/>
      <c r="C5533" s="5"/>
      <c r="M5533" s="9"/>
    </row>
    <row r="5534" spans="1:13" x14ac:dyDescent="0.25">
      <c r="A5534" s="8"/>
      <c r="C5534" s="5"/>
      <c r="M5534" s="9"/>
    </row>
    <row r="5535" spans="1:13" x14ac:dyDescent="0.25">
      <c r="A5535" s="8"/>
      <c r="C5535" s="5"/>
      <c r="M5535" s="9"/>
    </row>
    <row r="5536" spans="1:13" x14ac:dyDescent="0.25">
      <c r="A5536" s="8"/>
      <c r="C5536" s="5"/>
      <c r="M5536" s="9"/>
    </row>
    <row r="5537" spans="1:13" x14ac:dyDescent="0.25">
      <c r="A5537" s="8"/>
      <c r="C5537" s="5"/>
      <c r="M5537" s="9"/>
    </row>
    <row r="5538" spans="1:13" x14ac:dyDescent="0.25">
      <c r="A5538" s="8"/>
      <c r="C5538" s="5"/>
      <c r="M5538" s="9"/>
    </row>
    <row r="5539" spans="1:13" x14ac:dyDescent="0.25">
      <c r="A5539" s="8"/>
      <c r="C5539" s="5"/>
      <c r="M5539" s="9"/>
    </row>
    <row r="5540" spans="1:13" x14ac:dyDescent="0.25">
      <c r="A5540" s="8"/>
      <c r="C5540" s="5"/>
      <c r="M5540" s="9"/>
    </row>
    <row r="5541" spans="1:13" x14ac:dyDescent="0.25">
      <c r="A5541" s="8"/>
      <c r="C5541" s="5"/>
      <c r="M5541" s="9"/>
    </row>
    <row r="5542" spans="1:13" x14ac:dyDescent="0.25">
      <c r="A5542" s="8"/>
      <c r="C5542" s="5"/>
      <c r="M5542" s="9"/>
    </row>
    <row r="5543" spans="1:13" x14ac:dyDescent="0.25">
      <c r="A5543" s="8"/>
      <c r="C5543" s="5"/>
      <c r="M5543" s="9"/>
    </row>
    <row r="5544" spans="1:13" x14ac:dyDescent="0.25">
      <c r="A5544" s="8"/>
      <c r="C5544" s="5"/>
      <c r="M5544" s="9"/>
    </row>
    <row r="5545" spans="1:13" x14ac:dyDescent="0.25">
      <c r="A5545" s="8"/>
      <c r="C5545" s="5"/>
      <c r="M5545" s="9"/>
    </row>
    <row r="5546" spans="1:13" x14ac:dyDescent="0.25">
      <c r="A5546" s="8"/>
      <c r="C5546" s="5"/>
      <c r="M5546" s="9"/>
    </row>
    <row r="5547" spans="1:13" x14ac:dyDescent="0.25">
      <c r="A5547" s="8"/>
      <c r="C5547" s="5"/>
      <c r="M5547" s="9"/>
    </row>
    <row r="5548" spans="1:13" x14ac:dyDescent="0.25">
      <c r="A5548" s="8"/>
      <c r="C5548" s="5"/>
      <c r="M5548" s="9"/>
    </row>
    <row r="5549" spans="1:13" x14ac:dyDescent="0.25">
      <c r="A5549" s="8"/>
      <c r="C5549" s="5"/>
      <c r="M5549" s="9"/>
    </row>
    <row r="5550" spans="1:13" x14ac:dyDescent="0.25">
      <c r="A5550" s="8"/>
      <c r="C5550" s="5"/>
      <c r="M5550" s="9"/>
    </row>
    <row r="5551" spans="1:13" x14ac:dyDescent="0.25">
      <c r="A5551" s="8"/>
      <c r="C5551" s="5"/>
      <c r="M5551" s="9"/>
    </row>
    <row r="5552" spans="1:13" x14ac:dyDescent="0.25">
      <c r="A5552" s="8"/>
      <c r="C5552" s="5"/>
      <c r="M5552" s="9"/>
    </row>
    <row r="5553" spans="1:13" x14ac:dyDescent="0.25">
      <c r="A5553" s="8"/>
      <c r="C5553" s="5"/>
      <c r="M5553" s="9"/>
    </row>
    <row r="5554" spans="1:13" x14ac:dyDescent="0.25">
      <c r="A5554" s="8"/>
      <c r="C5554" s="5"/>
      <c r="M5554" s="9"/>
    </row>
    <row r="5555" spans="1:13" x14ac:dyDescent="0.25">
      <c r="A5555" s="8"/>
      <c r="C5555" s="5"/>
      <c r="M5555" s="9"/>
    </row>
    <row r="5556" spans="1:13" x14ac:dyDescent="0.25">
      <c r="A5556" s="8"/>
      <c r="C5556" s="5"/>
      <c r="M5556" s="9"/>
    </row>
    <row r="5557" spans="1:13" x14ac:dyDescent="0.25">
      <c r="A5557" s="8"/>
      <c r="C5557" s="5"/>
      <c r="M5557" s="9"/>
    </row>
    <row r="5558" spans="1:13" x14ac:dyDescent="0.25">
      <c r="A5558" s="8"/>
      <c r="C5558" s="5"/>
      <c r="M5558" s="9"/>
    </row>
    <row r="5559" spans="1:13" x14ac:dyDescent="0.25">
      <c r="A5559" s="8"/>
      <c r="C5559" s="5"/>
      <c r="M5559" s="9"/>
    </row>
    <row r="5560" spans="1:13" x14ac:dyDescent="0.25">
      <c r="A5560" s="8"/>
      <c r="C5560" s="5"/>
      <c r="M5560" s="9"/>
    </row>
    <row r="5561" spans="1:13" x14ac:dyDescent="0.25">
      <c r="A5561" s="8"/>
      <c r="C5561" s="5"/>
      <c r="M5561" s="9"/>
    </row>
    <row r="5562" spans="1:13" x14ac:dyDescent="0.25">
      <c r="A5562" s="8"/>
      <c r="C5562" s="5"/>
      <c r="M5562" s="9"/>
    </row>
    <row r="5563" spans="1:13" x14ac:dyDescent="0.25">
      <c r="A5563" s="8"/>
      <c r="C5563" s="5"/>
      <c r="M5563" s="9"/>
    </row>
    <row r="5564" spans="1:13" x14ac:dyDescent="0.25">
      <c r="A5564" s="8"/>
      <c r="C5564" s="5"/>
      <c r="M5564" s="9"/>
    </row>
    <row r="5565" spans="1:13" x14ac:dyDescent="0.25">
      <c r="A5565" s="8"/>
      <c r="C5565" s="5"/>
      <c r="M5565" s="9"/>
    </row>
    <row r="5566" spans="1:13" x14ac:dyDescent="0.25">
      <c r="A5566" s="8"/>
      <c r="C5566" s="5"/>
      <c r="M5566" s="9"/>
    </row>
    <row r="5567" spans="1:13" x14ac:dyDescent="0.25">
      <c r="A5567" s="8"/>
      <c r="C5567" s="5"/>
      <c r="M5567" s="9"/>
    </row>
    <row r="5568" spans="1:13" x14ac:dyDescent="0.25">
      <c r="A5568" s="8"/>
      <c r="C5568" s="5"/>
      <c r="M5568" s="9"/>
    </row>
    <row r="5569" spans="1:13" x14ac:dyDescent="0.25">
      <c r="A5569" s="8"/>
      <c r="C5569" s="5"/>
      <c r="M5569" s="9"/>
    </row>
    <row r="5570" spans="1:13" x14ac:dyDescent="0.25">
      <c r="A5570" s="8"/>
      <c r="C5570" s="5"/>
      <c r="M5570" s="9"/>
    </row>
    <row r="5571" spans="1:13" x14ac:dyDescent="0.25">
      <c r="A5571" s="8"/>
      <c r="C5571" s="5"/>
      <c r="M5571" s="9"/>
    </row>
    <row r="5572" spans="1:13" x14ac:dyDescent="0.25">
      <c r="A5572" s="8"/>
      <c r="C5572" s="5"/>
      <c r="M5572" s="9"/>
    </row>
    <row r="5573" spans="1:13" x14ac:dyDescent="0.25">
      <c r="A5573" s="8"/>
      <c r="C5573" s="5"/>
      <c r="M5573" s="9"/>
    </row>
    <row r="5574" spans="1:13" x14ac:dyDescent="0.25">
      <c r="A5574" s="8"/>
      <c r="C5574" s="5"/>
      <c r="M5574" s="9"/>
    </row>
    <row r="5575" spans="1:13" x14ac:dyDescent="0.25">
      <c r="A5575" s="8"/>
      <c r="C5575" s="5"/>
      <c r="M5575" s="9"/>
    </row>
    <row r="5576" spans="1:13" x14ac:dyDescent="0.25">
      <c r="A5576" s="8"/>
      <c r="C5576" s="5"/>
      <c r="M5576" s="9"/>
    </row>
    <row r="5577" spans="1:13" x14ac:dyDescent="0.25">
      <c r="A5577" s="8"/>
      <c r="C5577" s="5"/>
      <c r="M5577" s="9"/>
    </row>
    <row r="5578" spans="1:13" x14ac:dyDescent="0.25">
      <c r="A5578" s="8"/>
      <c r="C5578" s="5"/>
      <c r="M5578" s="9"/>
    </row>
    <row r="5579" spans="1:13" x14ac:dyDescent="0.25">
      <c r="A5579" s="8"/>
      <c r="C5579" s="5"/>
      <c r="M5579" s="9"/>
    </row>
    <row r="5580" spans="1:13" x14ac:dyDescent="0.25">
      <c r="A5580" s="8"/>
      <c r="C5580" s="5"/>
      <c r="M5580" s="9"/>
    </row>
    <row r="5581" spans="1:13" x14ac:dyDescent="0.25">
      <c r="A5581" s="8"/>
      <c r="C5581" s="5"/>
      <c r="M5581" s="9"/>
    </row>
    <row r="5582" spans="1:13" x14ac:dyDescent="0.25">
      <c r="A5582" s="8"/>
      <c r="C5582" s="5"/>
      <c r="M5582" s="9"/>
    </row>
    <row r="5583" spans="1:13" x14ac:dyDescent="0.25">
      <c r="A5583" s="8"/>
      <c r="C5583" s="5"/>
      <c r="M5583" s="9"/>
    </row>
    <row r="5584" spans="1:13" x14ac:dyDescent="0.25">
      <c r="A5584" s="8"/>
      <c r="C5584" s="5"/>
      <c r="M5584" s="9"/>
    </row>
    <row r="5585" spans="1:13" x14ac:dyDescent="0.25">
      <c r="A5585" s="8"/>
      <c r="C5585" s="5"/>
      <c r="M5585" s="9"/>
    </row>
    <row r="5586" spans="1:13" x14ac:dyDescent="0.25">
      <c r="A5586" s="8"/>
      <c r="C5586" s="5"/>
      <c r="M5586" s="9"/>
    </row>
    <row r="5587" spans="1:13" x14ac:dyDescent="0.25">
      <c r="A5587" s="8"/>
      <c r="C5587" s="5"/>
      <c r="M5587" s="9"/>
    </row>
    <row r="5588" spans="1:13" x14ac:dyDescent="0.25">
      <c r="A5588" s="8"/>
      <c r="C5588" s="5"/>
      <c r="M5588" s="9"/>
    </row>
    <row r="5589" spans="1:13" x14ac:dyDescent="0.25">
      <c r="A5589" s="8"/>
      <c r="C5589" s="5"/>
      <c r="M5589" s="9"/>
    </row>
    <row r="5590" spans="1:13" x14ac:dyDescent="0.25">
      <c r="A5590" s="8"/>
      <c r="C5590" s="5"/>
      <c r="M5590" s="9"/>
    </row>
    <row r="5591" spans="1:13" x14ac:dyDescent="0.25">
      <c r="A5591" s="8"/>
      <c r="C5591" s="5"/>
      <c r="M5591" s="9"/>
    </row>
    <row r="5592" spans="1:13" x14ac:dyDescent="0.25">
      <c r="A5592" s="8"/>
      <c r="C5592" s="5"/>
      <c r="M5592" s="9"/>
    </row>
    <row r="5593" spans="1:13" x14ac:dyDescent="0.25">
      <c r="A5593" s="8"/>
      <c r="C5593" s="5"/>
      <c r="M5593" s="9"/>
    </row>
    <row r="5594" spans="1:13" x14ac:dyDescent="0.25">
      <c r="A5594" s="8"/>
      <c r="C5594" s="5"/>
      <c r="M5594" s="9"/>
    </row>
    <row r="5595" spans="1:13" x14ac:dyDescent="0.25">
      <c r="A5595" s="8"/>
      <c r="C5595" s="5"/>
      <c r="M5595" s="9"/>
    </row>
    <row r="5596" spans="1:13" x14ac:dyDescent="0.25">
      <c r="A5596" s="8"/>
      <c r="C5596" s="5"/>
      <c r="M5596" s="9"/>
    </row>
    <row r="5597" spans="1:13" x14ac:dyDescent="0.25">
      <c r="A5597" s="8"/>
      <c r="C5597" s="5"/>
      <c r="M5597" s="9"/>
    </row>
    <row r="5598" spans="1:13" x14ac:dyDescent="0.25">
      <c r="A5598" s="8"/>
      <c r="C5598" s="5"/>
      <c r="M5598" s="9"/>
    </row>
    <row r="5599" spans="1:13" x14ac:dyDescent="0.25">
      <c r="A5599" s="8"/>
      <c r="C5599" s="5"/>
      <c r="M5599" s="9"/>
    </row>
    <row r="5600" spans="1:13" x14ac:dyDescent="0.25">
      <c r="A5600" s="8"/>
      <c r="C5600" s="5"/>
      <c r="M5600" s="9"/>
    </row>
    <row r="5601" spans="1:13" x14ac:dyDescent="0.25">
      <c r="A5601" s="8"/>
      <c r="C5601" s="5"/>
      <c r="M5601" s="9"/>
    </row>
    <row r="5602" spans="1:13" x14ac:dyDescent="0.25">
      <c r="A5602" s="8"/>
      <c r="C5602" s="5"/>
      <c r="M5602" s="9"/>
    </row>
    <row r="5603" spans="1:13" x14ac:dyDescent="0.25">
      <c r="A5603" s="8"/>
      <c r="C5603" s="5"/>
      <c r="M5603" s="9"/>
    </row>
    <row r="5604" spans="1:13" x14ac:dyDescent="0.25">
      <c r="A5604" s="8"/>
      <c r="C5604" s="5"/>
      <c r="M5604" s="9"/>
    </row>
    <row r="5605" spans="1:13" x14ac:dyDescent="0.25">
      <c r="A5605" s="8"/>
      <c r="C5605" s="5"/>
      <c r="M5605" s="9"/>
    </row>
    <row r="5606" spans="1:13" x14ac:dyDescent="0.25">
      <c r="A5606" s="8"/>
      <c r="C5606" s="5"/>
      <c r="M5606" s="9"/>
    </row>
    <row r="5607" spans="1:13" x14ac:dyDescent="0.25">
      <c r="A5607" s="8"/>
      <c r="C5607" s="5"/>
      <c r="M5607" s="9"/>
    </row>
    <row r="5608" spans="1:13" x14ac:dyDescent="0.25">
      <c r="A5608" s="8"/>
      <c r="C5608" s="5"/>
      <c r="M5608" s="9"/>
    </row>
    <row r="5609" spans="1:13" x14ac:dyDescent="0.25">
      <c r="A5609" s="8"/>
      <c r="C5609" s="5"/>
      <c r="M5609" s="9"/>
    </row>
    <row r="5610" spans="1:13" x14ac:dyDescent="0.25">
      <c r="A5610" s="8"/>
      <c r="C5610" s="5"/>
      <c r="M5610" s="9"/>
    </row>
    <row r="5611" spans="1:13" x14ac:dyDescent="0.25">
      <c r="A5611" s="8"/>
      <c r="C5611" s="5"/>
      <c r="M5611" s="9"/>
    </row>
    <row r="5612" spans="1:13" x14ac:dyDescent="0.25">
      <c r="A5612" s="8"/>
      <c r="C5612" s="5"/>
      <c r="M5612" s="9"/>
    </row>
    <row r="5613" spans="1:13" x14ac:dyDescent="0.25">
      <c r="A5613" s="8"/>
      <c r="C5613" s="5"/>
      <c r="M5613" s="9"/>
    </row>
    <row r="5614" spans="1:13" x14ac:dyDescent="0.25">
      <c r="A5614" s="8"/>
      <c r="C5614" s="5"/>
      <c r="M5614" s="9"/>
    </row>
    <row r="5615" spans="1:13" x14ac:dyDescent="0.25">
      <c r="A5615" s="8"/>
      <c r="C5615" s="5"/>
      <c r="M5615" s="9"/>
    </row>
    <row r="5616" spans="1:13" x14ac:dyDescent="0.25">
      <c r="A5616" s="8"/>
      <c r="C5616" s="5"/>
      <c r="M5616" s="9"/>
    </row>
    <row r="5617" spans="1:13" x14ac:dyDescent="0.25">
      <c r="A5617" s="8"/>
      <c r="C5617" s="5"/>
      <c r="M5617" s="9"/>
    </row>
    <row r="5618" spans="1:13" x14ac:dyDescent="0.25">
      <c r="A5618" s="8"/>
      <c r="C5618" s="5"/>
      <c r="M5618" s="9"/>
    </row>
    <row r="5619" spans="1:13" x14ac:dyDescent="0.25">
      <c r="A5619" s="8"/>
      <c r="C5619" s="5"/>
      <c r="M5619" s="9"/>
    </row>
    <row r="5620" spans="1:13" x14ac:dyDescent="0.25">
      <c r="A5620" s="8"/>
      <c r="C5620" s="5"/>
      <c r="M5620" s="9"/>
    </row>
    <row r="5621" spans="1:13" x14ac:dyDescent="0.25">
      <c r="A5621" s="8"/>
      <c r="C5621" s="5"/>
      <c r="M5621" s="9"/>
    </row>
    <row r="5622" spans="1:13" x14ac:dyDescent="0.25">
      <c r="A5622" s="8"/>
      <c r="C5622" s="5"/>
      <c r="M5622" s="9"/>
    </row>
    <row r="5623" spans="1:13" x14ac:dyDescent="0.25">
      <c r="A5623" s="8"/>
      <c r="C5623" s="5"/>
      <c r="M5623" s="9"/>
    </row>
    <row r="5624" spans="1:13" x14ac:dyDescent="0.25">
      <c r="A5624" s="8"/>
      <c r="C5624" s="5"/>
      <c r="M5624" s="9"/>
    </row>
    <row r="5625" spans="1:13" x14ac:dyDescent="0.25">
      <c r="A5625" s="8"/>
      <c r="C5625" s="5"/>
      <c r="M5625" s="9"/>
    </row>
    <row r="5626" spans="1:13" x14ac:dyDescent="0.25">
      <c r="A5626" s="8"/>
      <c r="C5626" s="5"/>
      <c r="M5626" s="9"/>
    </row>
    <row r="5627" spans="1:13" x14ac:dyDescent="0.25">
      <c r="A5627" s="8"/>
      <c r="C5627" s="5"/>
      <c r="M5627" s="9"/>
    </row>
    <row r="5628" spans="1:13" x14ac:dyDescent="0.25">
      <c r="A5628" s="8"/>
      <c r="C5628" s="5"/>
      <c r="M5628" s="9"/>
    </row>
    <row r="5629" spans="1:13" x14ac:dyDescent="0.25">
      <c r="A5629" s="8"/>
      <c r="C5629" s="5"/>
      <c r="M5629" s="9"/>
    </row>
    <row r="5630" spans="1:13" x14ac:dyDescent="0.25">
      <c r="A5630" s="8"/>
      <c r="C5630" s="5"/>
      <c r="M5630" s="9"/>
    </row>
    <row r="5631" spans="1:13" x14ac:dyDescent="0.25">
      <c r="A5631" s="8"/>
      <c r="C5631" s="5"/>
      <c r="M5631" s="9"/>
    </row>
    <row r="5632" spans="1:13" x14ac:dyDescent="0.25">
      <c r="A5632" s="8"/>
      <c r="C5632" s="5"/>
      <c r="M5632" s="9"/>
    </row>
    <row r="5633" spans="1:13" x14ac:dyDescent="0.25">
      <c r="A5633" s="8"/>
      <c r="C5633" s="5"/>
      <c r="M5633" s="9"/>
    </row>
    <row r="5634" spans="1:13" x14ac:dyDescent="0.25">
      <c r="A5634" s="8"/>
      <c r="C5634" s="5"/>
      <c r="M5634" s="9"/>
    </row>
    <row r="5635" spans="1:13" x14ac:dyDescent="0.25">
      <c r="A5635" s="8"/>
      <c r="C5635" s="5"/>
      <c r="M5635" s="9"/>
    </row>
    <row r="5636" spans="1:13" x14ac:dyDescent="0.25">
      <c r="A5636" s="8"/>
      <c r="C5636" s="5"/>
      <c r="M5636" s="9"/>
    </row>
    <row r="5637" spans="1:13" x14ac:dyDescent="0.25">
      <c r="A5637" s="8"/>
      <c r="C5637" s="5"/>
      <c r="M5637" s="9"/>
    </row>
    <row r="5638" spans="1:13" x14ac:dyDescent="0.25">
      <c r="A5638" s="8"/>
      <c r="C5638" s="5"/>
      <c r="M5638" s="9"/>
    </row>
    <row r="5639" spans="1:13" x14ac:dyDescent="0.25">
      <c r="A5639" s="8"/>
      <c r="C5639" s="5"/>
      <c r="M5639" s="9"/>
    </row>
    <row r="5640" spans="1:13" x14ac:dyDescent="0.25">
      <c r="A5640" s="8"/>
      <c r="C5640" s="5"/>
      <c r="M5640" s="9"/>
    </row>
    <row r="5641" spans="1:13" x14ac:dyDescent="0.25">
      <c r="A5641" s="8"/>
      <c r="C5641" s="5"/>
      <c r="M5641" s="9"/>
    </row>
    <row r="5642" spans="1:13" x14ac:dyDescent="0.25">
      <c r="A5642" s="8"/>
      <c r="C5642" s="5"/>
      <c r="M5642" s="9"/>
    </row>
    <row r="5643" spans="1:13" x14ac:dyDescent="0.25">
      <c r="A5643" s="8"/>
      <c r="C5643" s="5"/>
      <c r="M5643" s="9"/>
    </row>
    <row r="5644" spans="1:13" x14ac:dyDescent="0.25">
      <c r="A5644" s="8"/>
      <c r="C5644" s="5"/>
      <c r="M5644" s="9"/>
    </row>
    <row r="5645" spans="1:13" x14ac:dyDescent="0.25">
      <c r="A5645" s="8"/>
      <c r="C5645" s="5"/>
      <c r="M5645" s="9"/>
    </row>
    <row r="5646" spans="1:13" x14ac:dyDescent="0.25">
      <c r="A5646" s="8"/>
      <c r="C5646" s="5"/>
      <c r="M5646" s="9"/>
    </row>
    <row r="5647" spans="1:13" x14ac:dyDescent="0.25">
      <c r="A5647" s="8"/>
      <c r="C5647" s="5"/>
      <c r="M5647" s="9"/>
    </row>
    <row r="5648" spans="1:13" x14ac:dyDescent="0.25">
      <c r="A5648" s="8"/>
      <c r="C5648" s="5"/>
      <c r="M5648" s="9"/>
    </row>
    <row r="5649" spans="1:13" x14ac:dyDescent="0.25">
      <c r="A5649" s="8"/>
      <c r="C5649" s="5"/>
      <c r="M5649" s="9"/>
    </row>
    <row r="5650" spans="1:13" x14ac:dyDescent="0.25">
      <c r="A5650" s="8"/>
      <c r="C5650" s="5"/>
      <c r="M5650" s="9"/>
    </row>
    <row r="5651" spans="1:13" x14ac:dyDescent="0.25">
      <c r="A5651" s="8"/>
      <c r="C5651" s="5"/>
      <c r="M5651" s="9"/>
    </row>
    <row r="5652" spans="1:13" x14ac:dyDescent="0.25">
      <c r="A5652" s="8"/>
      <c r="C5652" s="5"/>
      <c r="M5652" s="9"/>
    </row>
    <row r="5653" spans="1:13" x14ac:dyDescent="0.25">
      <c r="A5653" s="8"/>
      <c r="C5653" s="5"/>
      <c r="M5653" s="9"/>
    </row>
    <row r="5654" spans="1:13" x14ac:dyDescent="0.25">
      <c r="A5654" s="8"/>
      <c r="C5654" s="5"/>
      <c r="M5654" s="9"/>
    </row>
    <row r="5655" spans="1:13" x14ac:dyDescent="0.25">
      <c r="A5655" s="8"/>
      <c r="C5655" s="5"/>
      <c r="M5655" s="9"/>
    </row>
    <row r="5656" spans="1:13" x14ac:dyDescent="0.25">
      <c r="A5656" s="8"/>
      <c r="C5656" s="5"/>
      <c r="M5656" s="9"/>
    </row>
    <row r="5657" spans="1:13" x14ac:dyDescent="0.25">
      <c r="A5657" s="8"/>
      <c r="C5657" s="5"/>
      <c r="M5657" s="9"/>
    </row>
    <row r="5658" spans="1:13" x14ac:dyDescent="0.25">
      <c r="A5658" s="8"/>
      <c r="C5658" s="5"/>
      <c r="M5658" s="9"/>
    </row>
    <row r="5659" spans="1:13" x14ac:dyDescent="0.25">
      <c r="A5659" s="8"/>
      <c r="C5659" s="5"/>
      <c r="M5659" s="9"/>
    </row>
    <row r="5660" spans="1:13" x14ac:dyDescent="0.25">
      <c r="A5660" s="8"/>
      <c r="C5660" s="5"/>
      <c r="M5660" s="9"/>
    </row>
    <row r="5661" spans="1:13" x14ac:dyDescent="0.25">
      <c r="A5661" s="8"/>
      <c r="C5661" s="5"/>
      <c r="M5661" s="9"/>
    </row>
    <row r="5662" spans="1:13" x14ac:dyDescent="0.25">
      <c r="A5662" s="8"/>
      <c r="C5662" s="5"/>
      <c r="M5662" s="9"/>
    </row>
    <row r="5663" spans="1:13" x14ac:dyDescent="0.25">
      <c r="A5663" s="8"/>
      <c r="C5663" s="5"/>
      <c r="M5663" s="9"/>
    </row>
    <row r="5664" spans="1:13" x14ac:dyDescent="0.25">
      <c r="A5664" s="8"/>
      <c r="C5664" s="5"/>
      <c r="M5664" s="9"/>
    </row>
    <row r="5665" spans="1:13" x14ac:dyDescent="0.25">
      <c r="A5665" s="8"/>
      <c r="C5665" s="5"/>
      <c r="M5665" s="9"/>
    </row>
    <row r="5666" spans="1:13" x14ac:dyDescent="0.25">
      <c r="A5666" s="8"/>
      <c r="C5666" s="5"/>
      <c r="M5666" s="9"/>
    </row>
    <row r="5667" spans="1:13" x14ac:dyDescent="0.25">
      <c r="A5667" s="8"/>
      <c r="C5667" s="5"/>
      <c r="M5667" s="9"/>
    </row>
    <row r="5668" spans="1:13" x14ac:dyDescent="0.25">
      <c r="A5668" s="8"/>
      <c r="C5668" s="5"/>
      <c r="M5668" s="9"/>
    </row>
    <row r="5669" spans="1:13" x14ac:dyDescent="0.25">
      <c r="A5669" s="8"/>
      <c r="C5669" s="5"/>
      <c r="M5669" s="9"/>
    </row>
    <row r="5670" spans="1:13" x14ac:dyDescent="0.25">
      <c r="A5670" s="8"/>
      <c r="C5670" s="5"/>
      <c r="M5670" s="9"/>
    </row>
    <row r="5671" spans="1:13" x14ac:dyDescent="0.25">
      <c r="A5671" s="8"/>
      <c r="C5671" s="5"/>
      <c r="M5671" s="9"/>
    </row>
    <row r="5672" spans="1:13" x14ac:dyDescent="0.25">
      <c r="A5672" s="8"/>
      <c r="C5672" s="5"/>
      <c r="M5672" s="9"/>
    </row>
    <row r="5673" spans="1:13" x14ac:dyDescent="0.25">
      <c r="A5673" s="8"/>
      <c r="C5673" s="5"/>
      <c r="M5673" s="9"/>
    </row>
    <row r="5674" spans="1:13" x14ac:dyDescent="0.25">
      <c r="A5674" s="8"/>
      <c r="C5674" s="5"/>
      <c r="M5674" s="9"/>
    </row>
    <row r="5675" spans="1:13" x14ac:dyDescent="0.25">
      <c r="A5675" s="8"/>
      <c r="C5675" s="5"/>
      <c r="M5675" s="9"/>
    </row>
    <row r="5676" spans="1:13" x14ac:dyDescent="0.25">
      <c r="A5676" s="8"/>
      <c r="C5676" s="5"/>
      <c r="M5676" s="9"/>
    </row>
    <row r="5677" spans="1:13" x14ac:dyDescent="0.25">
      <c r="A5677" s="8"/>
      <c r="C5677" s="5"/>
      <c r="M5677" s="9"/>
    </row>
    <row r="5678" spans="1:13" x14ac:dyDescent="0.25">
      <c r="A5678" s="8"/>
      <c r="C5678" s="5"/>
      <c r="M5678" s="9"/>
    </row>
    <row r="5679" spans="1:13" x14ac:dyDescent="0.25">
      <c r="A5679" s="8"/>
      <c r="C5679" s="5"/>
      <c r="M5679" s="9"/>
    </row>
    <row r="5680" spans="1:13" x14ac:dyDescent="0.25">
      <c r="A5680" s="8"/>
      <c r="C5680" s="5"/>
      <c r="M5680" s="9"/>
    </row>
    <row r="5681" spans="1:13" x14ac:dyDescent="0.25">
      <c r="A5681" s="8"/>
      <c r="C5681" s="5"/>
      <c r="M5681" s="9"/>
    </row>
    <row r="5682" spans="1:13" x14ac:dyDescent="0.25">
      <c r="A5682" s="8"/>
      <c r="C5682" s="5"/>
      <c r="M5682" s="9"/>
    </row>
    <row r="5683" spans="1:13" x14ac:dyDescent="0.25">
      <c r="A5683" s="8"/>
      <c r="C5683" s="5"/>
      <c r="M5683" s="9"/>
    </row>
    <row r="5684" spans="1:13" x14ac:dyDescent="0.25">
      <c r="A5684" s="8"/>
      <c r="C5684" s="5"/>
      <c r="M5684" s="9"/>
    </row>
    <row r="5685" spans="1:13" x14ac:dyDescent="0.25">
      <c r="A5685" s="8"/>
      <c r="C5685" s="5"/>
      <c r="M5685" s="9"/>
    </row>
    <row r="5686" spans="1:13" x14ac:dyDescent="0.25">
      <c r="A5686" s="8"/>
      <c r="C5686" s="5"/>
      <c r="M5686" s="9"/>
    </row>
    <row r="5687" spans="1:13" x14ac:dyDescent="0.25">
      <c r="A5687" s="8"/>
      <c r="C5687" s="5"/>
      <c r="M5687" s="9"/>
    </row>
    <row r="5688" spans="1:13" x14ac:dyDescent="0.25">
      <c r="A5688" s="8"/>
      <c r="C5688" s="5"/>
      <c r="M5688" s="9"/>
    </row>
    <row r="5689" spans="1:13" x14ac:dyDescent="0.25">
      <c r="A5689" s="8"/>
      <c r="C5689" s="5"/>
      <c r="M5689" s="9"/>
    </row>
    <row r="5690" spans="1:13" x14ac:dyDescent="0.25">
      <c r="A5690" s="8"/>
      <c r="C5690" s="5"/>
      <c r="M5690" s="9"/>
    </row>
    <row r="5691" spans="1:13" x14ac:dyDescent="0.25">
      <c r="A5691" s="8"/>
      <c r="C5691" s="5"/>
      <c r="M5691" s="9"/>
    </row>
    <row r="5692" spans="1:13" x14ac:dyDescent="0.25">
      <c r="A5692" s="8"/>
      <c r="C5692" s="5"/>
      <c r="M5692" s="9"/>
    </row>
    <row r="5693" spans="1:13" x14ac:dyDescent="0.25">
      <c r="A5693" s="8"/>
      <c r="C5693" s="5"/>
      <c r="M5693" s="9"/>
    </row>
    <row r="5694" spans="1:13" x14ac:dyDescent="0.25">
      <c r="A5694" s="8"/>
      <c r="C5694" s="5"/>
      <c r="M5694" s="9"/>
    </row>
    <row r="5695" spans="1:13" x14ac:dyDescent="0.25">
      <c r="A5695" s="8"/>
      <c r="C5695" s="5"/>
      <c r="M5695" s="9"/>
    </row>
    <row r="5696" spans="1:13" x14ac:dyDescent="0.25">
      <c r="A5696" s="8"/>
      <c r="C5696" s="5"/>
      <c r="M5696" s="9"/>
    </row>
    <row r="5697" spans="1:13" x14ac:dyDescent="0.25">
      <c r="A5697" s="8"/>
      <c r="C5697" s="5"/>
      <c r="M5697" s="9"/>
    </row>
    <row r="5698" spans="1:13" x14ac:dyDescent="0.25">
      <c r="A5698" s="8"/>
      <c r="C5698" s="5"/>
      <c r="M5698" s="9"/>
    </row>
    <row r="5699" spans="1:13" x14ac:dyDescent="0.25">
      <c r="A5699" s="8"/>
      <c r="C5699" s="5"/>
      <c r="M5699" s="9"/>
    </row>
    <row r="5700" spans="1:13" x14ac:dyDescent="0.25">
      <c r="A5700" s="8"/>
      <c r="C5700" s="5"/>
      <c r="M5700" s="9"/>
    </row>
    <row r="5701" spans="1:13" x14ac:dyDescent="0.25">
      <c r="A5701" s="8"/>
      <c r="C5701" s="5"/>
      <c r="M5701" s="9"/>
    </row>
    <row r="5702" spans="1:13" x14ac:dyDescent="0.25">
      <c r="A5702" s="8"/>
      <c r="C5702" s="5"/>
      <c r="M5702" s="9"/>
    </row>
    <row r="5703" spans="1:13" x14ac:dyDescent="0.25">
      <c r="A5703" s="8"/>
      <c r="C5703" s="5"/>
      <c r="M5703" s="9"/>
    </row>
    <row r="5704" spans="1:13" x14ac:dyDescent="0.25">
      <c r="A5704" s="8"/>
      <c r="C5704" s="5"/>
      <c r="M5704" s="9"/>
    </row>
    <row r="5705" spans="1:13" x14ac:dyDescent="0.25">
      <c r="A5705" s="8"/>
      <c r="C5705" s="5"/>
      <c r="M5705" s="9"/>
    </row>
    <row r="5706" spans="1:13" x14ac:dyDescent="0.25">
      <c r="A5706" s="8"/>
      <c r="C5706" s="5"/>
      <c r="M5706" s="9"/>
    </row>
    <row r="5707" spans="1:13" x14ac:dyDescent="0.25">
      <c r="A5707" s="8"/>
      <c r="C5707" s="5"/>
      <c r="M5707" s="9"/>
    </row>
    <row r="5708" spans="1:13" x14ac:dyDescent="0.25">
      <c r="A5708" s="8"/>
      <c r="C5708" s="5"/>
      <c r="M5708" s="9"/>
    </row>
    <row r="5709" spans="1:13" x14ac:dyDescent="0.25">
      <c r="A5709" s="8"/>
      <c r="C5709" s="5"/>
      <c r="M5709" s="9"/>
    </row>
    <row r="5710" spans="1:13" x14ac:dyDescent="0.25">
      <c r="A5710" s="8"/>
      <c r="C5710" s="5"/>
      <c r="M5710" s="9"/>
    </row>
    <row r="5711" spans="1:13" x14ac:dyDescent="0.25">
      <c r="A5711" s="8"/>
      <c r="C5711" s="5"/>
      <c r="M5711" s="9"/>
    </row>
    <row r="5712" spans="1:13" x14ac:dyDescent="0.25">
      <c r="A5712" s="8"/>
      <c r="C5712" s="5"/>
      <c r="M5712" s="9"/>
    </row>
    <row r="5713" spans="1:13" x14ac:dyDescent="0.25">
      <c r="A5713" s="8"/>
      <c r="C5713" s="5"/>
      <c r="M5713" s="9"/>
    </row>
    <row r="5714" spans="1:13" x14ac:dyDescent="0.25">
      <c r="A5714" s="8"/>
      <c r="C5714" s="5"/>
      <c r="M5714" s="9"/>
    </row>
    <row r="5715" spans="1:13" x14ac:dyDescent="0.25">
      <c r="A5715" s="8"/>
      <c r="C5715" s="5"/>
      <c r="M5715" s="9"/>
    </row>
    <row r="5716" spans="1:13" x14ac:dyDescent="0.25">
      <c r="A5716" s="8"/>
      <c r="C5716" s="5"/>
      <c r="M5716" s="9"/>
    </row>
    <row r="5717" spans="1:13" x14ac:dyDescent="0.25">
      <c r="A5717" s="8"/>
      <c r="C5717" s="5"/>
      <c r="M5717" s="9"/>
    </row>
    <row r="5718" spans="1:13" x14ac:dyDescent="0.25">
      <c r="A5718" s="8"/>
      <c r="C5718" s="5"/>
      <c r="M5718" s="9"/>
    </row>
    <row r="5719" spans="1:13" x14ac:dyDescent="0.25">
      <c r="A5719" s="8"/>
      <c r="C5719" s="5"/>
      <c r="M5719" s="9"/>
    </row>
    <row r="5720" spans="1:13" x14ac:dyDescent="0.25">
      <c r="A5720" s="8"/>
      <c r="C5720" s="5"/>
      <c r="M5720" s="9"/>
    </row>
    <row r="5721" spans="1:13" x14ac:dyDescent="0.25">
      <c r="A5721" s="8"/>
      <c r="C5721" s="5"/>
      <c r="M5721" s="9"/>
    </row>
    <row r="5722" spans="1:13" x14ac:dyDescent="0.25">
      <c r="A5722" s="8"/>
      <c r="C5722" s="5"/>
      <c r="M5722" s="9"/>
    </row>
    <row r="5723" spans="1:13" x14ac:dyDescent="0.25">
      <c r="A5723" s="8"/>
      <c r="C5723" s="5"/>
      <c r="M5723" s="9"/>
    </row>
    <row r="5724" spans="1:13" x14ac:dyDescent="0.25">
      <c r="A5724" s="8"/>
      <c r="C5724" s="5"/>
      <c r="M5724" s="9"/>
    </row>
    <row r="5725" spans="1:13" x14ac:dyDescent="0.25">
      <c r="A5725" s="8"/>
      <c r="C5725" s="5"/>
      <c r="M5725" s="9"/>
    </row>
    <row r="5726" spans="1:13" x14ac:dyDescent="0.25">
      <c r="A5726" s="8"/>
      <c r="C5726" s="5"/>
      <c r="M5726" s="9"/>
    </row>
    <row r="5727" spans="1:13" x14ac:dyDescent="0.25">
      <c r="A5727" s="8"/>
      <c r="C5727" s="5"/>
      <c r="M5727" s="9"/>
    </row>
    <row r="5728" spans="1:13" x14ac:dyDescent="0.25">
      <c r="A5728" s="8"/>
      <c r="C5728" s="5"/>
      <c r="M5728" s="9"/>
    </row>
    <row r="5729" spans="1:13" x14ac:dyDescent="0.25">
      <c r="A5729" s="8"/>
      <c r="C5729" s="5"/>
      <c r="M5729" s="9"/>
    </row>
    <row r="5730" spans="1:13" x14ac:dyDescent="0.25">
      <c r="A5730" s="8"/>
      <c r="C5730" s="5"/>
      <c r="M5730" s="9"/>
    </row>
    <row r="5731" spans="1:13" x14ac:dyDescent="0.25">
      <c r="A5731" s="8"/>
      <c r="C5731" s="5"/>
      <c r="M5731" s="9"/>
    </row>
    <row r="5732" spans="1:13" x14ac:dyDescent="0.25">
      <c r="A5732" s="8"/>
      <c r="C5732" s="5"/>
      <c r="M5732" s="9"/>
    </row>
    <row r="5733" spans="1:13" x14ac:dyDescent="0.25">
      <c r="A5733" s="8"/>
      <c r="C5733" s="5"/>
      <c r="M5733" s="9"/>
    </row>
    <row r="5734" spans="1:13" x14ac:dyDescent="0.25">
      <c r="A5734" s="8"/>
      <c r="C5734" s="5"/>
      <c r="M5734" s="9"/>
    </row>
    <row r="5735" spans="1:13" x14ac:dyDescent="0.25">
      <c r="A5735" s="8"/>
      <c r="C5735" s="5"/>
      <c r="M5735" s="9"/>
    </row>
    <row r="5736" spans="1:13" x14ac:dyDescent="0.25">
      <c r="A5736" s="8"/>
      <c r="C5736" s="5"/>
      <c r="M5736" s="9"/>
    </row>
    <row r="5737" spans="1:13" x14ac:dyDescent="0.25">
      <c r="A5737" s="8"/>
      <c r="C5737" s="5"/>
      <c r="M5737" s="9"/>
    </row>
    <row r="5738" spans="1:13" x14ac:dyDescent="0.25">
      <c r="A5738" s="8"/>
      <c r="C5738" s="5"/>
      <c r="M5738" s="9"/>
    </row>
    <row r="5739" spans="1:13" x14ac:dyDescent="0.25">
      <c r="A5739" s="8"/>
      <c r="C5739" s="5"/>
      <c r="M5739" s="9"/>
    </row>
    <row r="5740" spans="1:13" x14ac:dyDescent="0.25">
      <c r="A5740" s="8"/>
      <c r="C5740" s="5"/>
      <c r="M5740" s="9"/>
    </row>
    <row r="5741" spans="1:13" x14ac:dyDescent="0.25">
      <c r="A5741" s="8"/>
      <c r="C5741" s="5"/>
      <c r="M5741" s="9"/>
    </row>
    <row r="5742" spans="1:13" x14ac:dyDescent="0.25">
      <c r="A5742" s="8"/>
      <c r="C5742" s="5"/>
      <c r="M5742" s="9"/>
    </row>
    <row r="5743" spans="1:13" x14ac:dyDescent="0.25">
      <c r="A5743" s="8"/>
      <c r="C5743" s="5"/>
      <c r="M5743" s="9"/>
    </row>
    <row r="5744" spans="1:13" x14ac:dyDescent="0.25">
      <c r="A5744" s="8"/>
      <c r="C5744" s="5"/>
      <c r="M5744" s="9"/>
    </row>
    <row r="5745" spans="1:13" x14ac:dyDescent="0.25">
      <c r="A5745" s="8"/>
      <c r="C5745" s="5"/>
      <c r="M5745" s="9"/>
    </row>
    <row r="5746" spans="1:13" x14ac:dyDescent="0.25">
      <c r="A5746" s="8"/>
      <c r="C5746" s="5"/>
      <c r="M5746" s="9"/>
    </row>
    <row r="5747" spans="1:13" x14ac:dyDescent="0.25">
      <c r="A5747" s="8"/>
      <c r="C5747" s="5"/>
      <c r="M5747" s="9"/>
    </row>
    <row r="5748" spans="1:13" x14ac:dyDescent="0.25">
      <c r="A5748" s="8"/>
      <c r="C5748" s="5"/>
      <c r="M5748" s="9"/>
    </row>
    <row r="5749" spans="1:13" x14ac:dyDescent="0.25">
      <c r="A5749" s="8"/>
      <c r="C5749" s="5"/>
      <c r="M5749" s="9"/>
    </row>
    <row r="5750" spans="1:13" x14ac:dyDescent="0.25">
      <c r="A5750" s="8"/>
      <c r="C5750" s="5"/>
      <c r="M5750" s="9"/>
    </row>
    <row r="5751" spans="1:13" x14ac:dyDescent="0.25">
      <c r="A5751" s="8"/>
      <c r="C5751" s="5"/>
      <c r="M5751" s="9"/>
    </row>
    <row r="5752" spans="1:13" x14ac:dyDescent="0.25">
      <c r="A5752" s="8"/>
      <c r="C5752" s="5"/>
      <c r="M5752" s="9"/>
    </row>
    <row r="5753" spans="1:13" x14ac:dyDescent="0.25">
      <c r="A5753" s="8"/>
      <c r="C5753" s="5"/>
      <c r="M5753" s="9"/>
    </row>
    <row r="5754" spans="1:13" x14ac:dyDescent="0.25">
      <c r="A5754" s="8"/>
      <c r="C5754" s="5"/>
      <c r="M5754" s="9"/>
    </row>
    <row r="5755" spans="1:13" x14ac:dyDescent="0.25">
      <c r="A5755" s="8"/>
      <c r="C5755" s="5"/>
      <c r="M5755" s="9"/>
    </row>
    <row r="5756" spans="1:13" x14ac:dyDescent="0.25">
      <c r="A5756" s="8"/>
      <c r="C5756" s="5"/>
      <c r="M5756" s="9"/>
    </row>
    <row r="5757" spans="1:13" x14ac:dyDescent="0.25">
      <c r="A5757" s="8"/>
      <c r="C5757" s="5"/>
      <c r="M5757" s="9"/>
    </row>
    <row r="5758" spans="1:13" x14ac:dyDescent="0.25">
      <c r="A5758" s="8"/>
      <c r="C5758" s="5"/>
      <c r="M5758" s="9"/>
    </row>
    <row r="5759" spans="1:13" x14ac:dyDescent="0.25">
      <c r="A5759" s="8"/>
      <c r="C5759" s="5"/>
      <c r="M5759" s="9"/>
    </row>
    <row r="5760" spans="1:13" x14ac:dyDescent="0.25">
      <c r="A5760" s="8"/>
      <c r="C5760" s="5"/>
      <c r="M5760" s="9"/>
    </row>
    <row r="5761" spans="1:13" x14ac:dyDescent="0.25">
      <c r="A5761" s="8"/>
      <c r="C5761" s="5"/>
      <c r="M5761" s="9"/>
    </row>
    <row r="5762" spans="1:13" x14ac:dyDescent="0.25">
      <c r="A5762" s="8"/>
      <c r="C5762" s="5"/>
      <c r="M5762" s="9"/>
    </row>
    <row r="5763" spans="1:13" x14ac:dyDescent="0.25">
      <c r="A5763" s="8"/>
      <c r="C5763" s="5"/>
      <c r="M5763" s="9"/>
    </row>
    <row r="5764" spans="1:13" x14ac:dyDescent="0.25">
      <c r="A5764" s="8"/>
      <c r="C5764" s="5"/>
      <c r="M5764" s="9"/>
    </row>
    <row r="5765" spans="1:13" x14ac:dyDescent="0.25">
      <c r="A5765" s="8"/>
      <c r="C5765" s="5"/>
      <c r="M5765" s="9"/>
    </row>
    <row r="5766" spans="1:13" x14ac:dyDescent="0.25">
      <c r="A5766" s="8"/>
      <c r="C5766" s="5"/>
      <c r="M5766" s="9"/>
    </row>
    <row r="5767" spans="1:13" x14ac:dyDescent="0.25">
      <c r="A5767" s="8"/>
      <c r="C5767" s="5"/>
      <c r="M5767" s="9"/>
    </row>
    <row r="5768" spans="1:13" x14ac:dyDescent="0.25">
      <c r="A5768" s="8"/>
      <c r="C5768" s="5"/>
      <c r="M5768" s="9"/>
    </row>
    <row r="5769" spans="1:13" x14ac:dyDescent="0.25">
      <c r="A5769" s="8"/>
      <c r="C5769" s="5"/>
      <c r="M5769" s="9"/>
    </row>
    <row r="5770" spans="1:13" x14ac:dyDescent="0.25">
      <c r="A5770" s="8"/>
      <c r="C5770" s="5"/>
      <c r="M5770" s="9"/>
    </row>
    <row r="5771" spans="1:13" x14ac:dyDescent="0.25">
      <c r="A5771" s="8"/>
      <c r="C5771" s="5"/>
      <c r="M5771" s="9"/>
    </row>
    <row r="5772" spans="1:13" x14ac:dyDescent="0.25">
      <c r="A5772" s="8"/>
      <c r="C5772" s="5"/>
      <c r="M5772" s="9"/>
    </row>
    <row r="5773" spans="1:13" x14ac:dyDescent="0.25">
      <c r="A5773" s="8"/>
      <c r="C5773" s="5"/>
      <c r="M5773" s="9"/>
    </row>
    <row r="5774" spans="1:13" x14ac:dyDescent="0.25">
      <c r="A5774" s="8"/>
      <c r="C5774" s="5"/>
      <c r="M5774" s="9"/>
    </row>
    <row r="5775" spans="1:13" x14ac:dyDescent="0.25">
      <c r="A5775" s="8"/>
      <c r="C5775" s="5"/>
      <c r="M5775" s="9"/>
    </row>
    <row r="5776" spans="1:13" x14ac:dyDescent="0.25">
      <c r="A5776" s="8"/>
      <c r="C5776" s="5"/>
      <c r="M5776" s="9"/>
    </row>
    <row r="5777" spans="1:13" x14ac:dyDescent="0.25">
      <c r="A5777" s="8"/>
      <c r="C5777" s="5"/>
      <c r="M5777" s="9"/>
    </row>
    <row r="5778" spans="1:13" x14ac:dyDescent="0.25">
      <c r="A5778" s="8"/>
      <c r="C5778" s="5"/>
      <c r="M5778" s="9"/>
    </row>
    <row r="5779" spans="1:13" x14ac:dyDescent="0.25">
      <c r="A5779" s="8"/>
      <c r="C5779" s="5"/>
      <c r="M5779" s="9"/>
    </row>
    <row r="5780" spans="1:13" x14ac:dyDescent="0.25">
      <c r="A5780" s="8"/>
      <c r="C5780" s="5"/>
      <c r="M5780" s="9"/>
    </row>
    <row r="5781" spans="1:13" x14ac:dyDescent="0.25">
      <c r="A5781" s="8"/>
      <c r="C5781" s="5"/>
      <c r="M5781" s="9"/>
    </row>
    <row r="5782" spans="1:13" x14ac:dyDescent="0.25">
      <c r="A5782" s="8"/>
      <c r="C5782" s="5"/>
      <c r="M5782" s="9"/>
    </row>
    <row r="5783" spans="1:13" x14ac:dyDescent="0.25">
      <c r="A5783" s="8"/>
      <c r="C5783" s="5"/>
      <c r="M5783" s="9"/>
    </row>
    <row r="5784" spans="1:13" x14ac:dyDescent="0.25">
      <c r="A5784" s="8"/>
      <c r="C5784" s="5"/>
      <c r="M5784" s="9"/>
    </row>
    <row r="5785" spans="1:13" x14ac:dyDescent="0.25">
      <c r="A5785" s="8"/>
      <c r="C5785" s="5"/>
      <c r="M5785" s="9"/>
    </row>
    <row r="5786" spans="1:13" x14ac:dyDescent="0.25">
      <c r="A5786" s="8"/>
      <c r="C5786" s="5"/>
      <c r="M5786" s="9"/>
    </row>
    <row r="5787" spans="1:13" x14ac:dyDescent="0.25">
      <c r="A5787" s="8"/>
      <c r="C5787" s="5"/>
      <c r="M5787" s="9"/>
    </row>
    <row r="5788" spans="1:13" x14ac:dyDescent="0.25">
      <c r="A5788" s="8"/>
      <c r="C5788" s="5"/>
      <c r="M5788" s="9"/>
    </row>
    <row r="5789" spans="1:13" x14ac:dyDescent="0.25">
      <c r="A5789" s="8"/>
      <c r="C5789" s="5"/>
      <c r="M5789" s="9"/>
    </row>
    <row r="5790" spans="1:13" x14ac:dyDescent="0.25">
      <c r="A5790" s="8"/>
      <c r="C5790" s="5"/>
      <c r="M5790" s="9"/>
    </row>
    <row r="5791" spans="1:13" x14ac:dyDescent="0.25">
      <c r="A5791" s="8"/>
      <c r="C5791" s="5"/>
      <c r="M5791" s="9"/>
    </row>
    <row r="5792" spans="1:13" x14ac:dyDescent="0.25">
      <c r="A5792" s="8"/>
      <c r="C5792" s="5"/>
      <c r="M5792" s="9"/>
    </row>
    <row r="5793" spans="1:13" x14ac:dyDescent="0.25">
      <c r="A5793" s="8"/>
      <c r="C5793" s="5"/>
      <c r="M5793" s="9"/>
    </row>
    <row r="5794" spans="1:13" x14ac:dyDescent="0.25">
      <c r="A5794" s="8"/>
      <c r="C5794" s="5"/>
      <c r="M5794" s="9"/>
    </row>
    <row r="5795" spans="1:13" x14ac:dyDescent="0.25">
      <c r="A5795" s="8"/>
      <c r="C5795" s="5"/>
      <c r="M5795" s="9"/>
    </row>
    <row r="5796" spans="1:13" x14ac:dyDescent="0.25">
      <c r="A5796" s="8"/>
      <c r="C5796" s="5"/>
      <c r="M5796" s="9"/>
    </row>
    <row r="5797" spans="1:13" x14ac:dyDescent="0.25">
      <c r="A5797" s="8"/>
      <c r="C5797" s="5"/>
      <c r="M5797" s="9"/>
    </row>
    <row r="5798" spans="1:13" x14ac:dyDescent="0.25">
      <c r="A5798" s="8"/>
      <c r="C5798" s="5"/>
      <c r="M5798" s="9"/>
    </row>
    <row r="5799" spans="1:13" x14ac:dyDescent="0.25">
      <c r="A5799" s="8"/>
      <c r="C5799" s="5"/>
      <c r="M5799" s="9"/>
    </row>
    <row r="5800" spans="1:13" x14ac:dyDescent="0.25">
      <c r="A5800" s="8"/>
      <c r="C5800" s="5"/>
      <c r="M5800" s="9"/>
    </row>
    <row r="5801" spans="1:13" x14ac:dyDescent="0.25">
      <c r="A5801" s="8"/>
      <c r="C5801" s="5"/>
      <c r="M5801" s="9"/>
    </row>
    <row r="5802" spans="1:13" x14ac:dyDescent="0.25">
      <c r="A5802" s="8"/>
      <c r="C5802" s="5"/>
      <c r="M5802" s="9"/>
    </row>
    <row r="5803" spans="1:13" x14ac:dyDescent="0.25">
      <c r="A5803" s="8"/>
      <c r="C5803" s="5"/>
      <c r="M5803" s="9"/>
    </row>
    <row r="5804" spans="1:13" x14ac:dyDescent="0.25">
      <c r="A5804" s="8"/>
      <c r="C5804" s="5"/>
      <c r="M5804" s="9"/>
    </row>
    <row r="5805" spans="1:13" x14ac:dyDescent="0.25">
      <c r="A5805" s="8"/>
      <c r="C5805" s="5"/>
      <c r="M5805" s="9"/>
    </row>
    <row r="5806" spans="1:13" x14ac:dyDescent="0.25">
      <c r="A5806" s="8"/>
      <c r="C5806" s="5"/>
      <c r="M5806" s="9"/>
    </row>
    <row r="5807" spans="1:13" x14ac:dyDescent="0.25">
      <c r="A5807" s="8"/>
      <c r="C5807" s="5"/>
      <c r="M5807" s="9"/>
    </row>
    <row r="5808" spans="1:13" x14ac:dyDescent="0.25">
      <c r="A5808" s="8"/>
      <c r="C5808" s="5"/>
      <c r="M5808" s="9"/>
    </row>
    <row r="5809" spans="1:13" x14ac:dyDescent="0.25">
      <c r="A5809" s="8"/>
      <c r="C5809" s="5"/>
      <c r="M5809" s="9"/>
    </row>
    <row r="5810" spans="1:13" x14ac:dyDescent="0.25">
      <c r="A5810" s="8"/>
      <c r="C5810" s="5"/>
      <c r="M5810" s="9"/>
    </row>
    <row r="5811" spans="1:13" x14ac:dyDescent="0.25">
      <c r="A5811" s="8"/>
      <c r="C5811" s="5"/>
      <c r="M5811" s="9"/>
    </row>
    <row r="5812" spans="1:13" x14ac:dyDescent="0.25">
      <c r="A5812" s="8"/>
      <c r="C5812" s="5"/>
      <c r="M5812" s="9"/>
    </row>
    <row r="5813" spans="1:13" x14ac:dyDescent="0.25">
      <c r="A5813" s="8"/>
      <c r="C5813" s="5"/>
      <c r="M5813" s="9"/>
    </row>
    <row r="5814" spans="1:13" x14ac:dyDescent="0.25">
      <c r="A5814" s="8"/>
      <c r="C5814" s="5"/>
      <c r="M5814" s="9"/>
    </row>
    <row r="5815" spans="1:13" x14ac:dyDescent="0.25">
      <c r="A5815" s="8"/>
      <c r="C5815" s="5"/>
      <c r="M5815" s="9"/>
    </row>
    <row r="5816" spans="1:13" x14ac:dyDescent="0.25">
      <c r="A5816" s="8"/>
      <c r="C5816" s="5"/>
      <c r="M5816" s="9"/>
    </row>
    <row r="5817" spans="1:13" x14ac:dyDescent="0.25">
      <c r="A5817" s="8"/>
      <c r="C5817" s="5"/>
      <c r="M5817" s="9"/>
    </row>
    <row r="5818" spans="1:13" x14ac:dyDescent="0.25">
      <c r="A5818" s="8"/>
      <c r="C5818" s="5"/>
      <c r="M5818" s="9"/>
    </row>
    <row r="5819" spans="1:13" x14ac:dyDescent="0.25">
      <c r="A5819" s="8"/>
      <c r="C5819" s="5"/>
      <c r="M5819" s="9"/>
    </row>
    <row r="5820" spans="1:13" x14ac:dyDescent="0.25">
      <c r="A5820" s="8"/>
      <c r="C5820" s="5"/>
      <c r="M5820" s="9"/>
    </row>
    <row r="5821" spans="1:13" x14ac:dyDescent="0.25">
      <c r="A5821" s="8"/>
      <c r="C5821" s="5"/>
      <c r="M5821" s="9"/>
    </row>
    <row r="5822" spans="1:13" x14ac:dyDescent="0.25">
      <c r="A5822" s="8"/>
      <c r="C5822" s="5"/>
      <c r="M5822" s="9"/>
    </row>
    <row r="5823" spans="1:13" x14ac:dyDescent="0.25">
      <c r="A5823" s="8"/>
      <c r="C5823" s="5"/>
      <c r="M5823" s="9"/>
    </row>
    <row r="5824" spans="1:13" x14ac:dyDescent="0.25">
      <c r="A5824" s="8"/>
      <c r="C5824" s="5"/>
      <c r="M5824" s="9"/>
    </row>
    <row r="5825" spans="1:13" x14ac:dyDescent="0.25">
      <c r="A5825" s="8"/>
      <c r="C5825" s="5"/>
      <c r="M5825" s="9"/>
    </row>
    <row r="5826" spans="1:13" x14ac:dyDescent="0.25">
      <c r="A5826" s="8"/>
      <c r="C5826" s="5"/>
      <c r="M5826" s="9"/>
    </row>
    <row r="5827" spans="1:13" x14ac:dyDescent="0.25">
      <c r="A5827" s="8"/>
      <c r="C5827" s="5"/>
      <c r="M5827" s="9"/>
    </row>
    <row r="5828" spans="1:13" x14ac:dyDescent="0.25">
      <c r="A5828" s="8"/>
      <c r="C5828" s="5"/>
      <c r="M5828" s="9"/>
    </row>
    <row r="5829" spans="1:13" x14ac:dyDescent="0.25">
      <c r="A5829" s="8"/>
      <c r="C5829" s="5"/>
      <c r="M5829" s="9"/>
    </row>
    <row r="5830" spans="1:13" x14ac:dyDescent="0.25">
      <c r="A5830" s="8"/>
      <c r="C5830" s="5"/>
      <c r="M5830" s="9"/>
    </row>
    <row r="5831" spans="1:13" x14ac:dyDescent="0.25">
      <c r="A5831" s="8"/>
      <c r="C5831" s="5"/>
      <c r="M5831" s="9"/>
    </row>
    <row r="5832" spans="1:13" x14ac:dyDescent="0.25">
      <c r="A5832" s="8"/>
      <c r="C5832" s="5"/>
      <c r="M5832" s="9"/>
    </row>
    <row r="5833" spans="1:13" x14ac:dyDescent="0.25">
      <c r="A5833" s="8"/>
      <c r="C5833" s="5"/>
      <c r="M5833" s="9"/>
    </row>
    <row r="5834" spans="1:13" x14ac:dyDescent="0.25">
      <c r="A5834" s="8"/>
      <c r="C5834" s="5"/>
      <c r="M5834" s="9"/>
    </row>
    <row r="5835" spans="1:13" x14ac:dyDescent="0.25">
      <c r="A5835" s="8"/>
      <c r="C5835" s="5"/>
      <c r="M5835" s="9"/>
    </row>
    <row r="5836" spans="1:13" x14ac:dyDescent="0.25">
      <c r="A5836" s="8"/>
      <c r="C5836" s="5"/>
      <c r="M5836" s="9"/>
    </row>
    <row r="5837" spans="1:13" x14ac:dyDescent="0.25">
      <c r="A5837" s="8"/>
      <c r="C5837" s="5"/>
      <c r="M5837" s="9"/>
    </row>
    <row r="5838" spans="1:13" x14ac:dyDescent="0.25">
      <c r="A5838" s="8"/>
      <c r="C5838" s="5"/>
      <c r="M5838" s="9"/>
    </row>
    <row r="5839" spans="1:13" x14ac:dyDescent="0.25">
      <c r="A5839" s="8"/>
      <c r="C5839" s="5"/>
      <c r="M5839" s="9"/>
    </row>
    <row r="5840" spans="1:13" x14ac:dyDescent="0.25">
      <c r="A5840" s="8"/>
      <c r="C5840" s="5"/>
      <c r="M5840" s="9"/>
    </row>
    <row r="5841" spans="1:13" x14ac:dyDescent="0.25">
      <c r="A5841" s="8"/>
      <c r="C5841" s="5"/>
      <c r="M5841" s="9"/>
    </row>
    <row r="5842" spans="1:13" x14ac:dyDescent="0.25">
      <c r="A5842" s="8"/>
      <c r="C5842" s="5"/>
      <c r="M5842" s="9"/>
    </row>
    <row r="5843" spans="1:13" x14ac:dyDescent="0.25">
      <c r="A5843" s="8"/>
      <c r="C5843" s="5"/>
      <c r="M5843" s="9"/>
    </row>
    <row r="5844" spans="1:13" x14ac:dyDescent="0.25">
      <c r="A5844" s="8"/>
      <c r="C5844" s="5"/>
      <c r="M5844" s="9"/>
    </row>
    <row r="5845" spans="1:13" x14ac:dyDescent="0.25">
      <c r="A5845" s="8"/>
      <c r="C5845" s="5"/>
      <c r="M5845" s="9"/>
    </row>
    <row r="5846" spans="1:13" x14ac:dyDescent="0.25">
      <c r="A5846" s="8"/>
      <c r="C5846" s="5"/>
      <c r="M5846" s="9"/>
    </row>
    <row r="5847" spans="1:13" x14ac:dyDescent="0.25">
      <c r="A5847" s="8"/>
      <c r="C5847" s="5"/>
      <c r="M5847" s="9"/>
    </row>
    <row r="5848" spans="1:13" x14ac:dyDescent="0.25">
      <c r="A5848" s="8"/>
      <c r="C5848" s="5"/>
      <c r="M5848" s="9"/>
    </row>
    <row r="5849" spans="1:13" x14ac:dyDescent="0.25">
      <c r="A5849" s="8"/>
      <c r="C5849" s="5"/>
      <c r="M5849" s="9"/>
    </row>
    <row r="5850" spans="1:13" x14ac:dyDescent="0.25">
      <c r="A5850" s="8"/>
      <c r="C5850" s="5"/>
      <c r="M5850" s="9"/>
    </row>
    <row r="5851" spans="1:13" x14ac:dyDescent="0.25">
      <c r="A5851" s="8"/>
      <c r="C5851" s="5"/>
      <c r="M5851" s="9"/>
    </row>
    <row r="5852" spans="1:13" x14ac:dyDescent="0.25">
      <c r="A5852" s="8"/>
      <c r="C5852" s="5"/>
      <c r="M5852" s="9"/>
    </row>
    <row r="5853" spans="1:13" x14ac:dyDescent="0.25">
      <c r="A5853" s="8"/>
      <c r="C5853" s="5"/>
      <c r="M5853" s="9"/>
    </row>
    <row r="5854" spans="1:13" x14ac:dyDescent="0.25">
      <c r="A5854" s="8"/>
      <c r="C5854" s="5"/>
      <c r="M5854" s="9"/>
    </row>
    <row r="5855" spans="1:13" x14ac:dyDescent="0.25">
      <c r="A5855" s="8"/>
      <c r="C5855" s="5"/>
      <c r="M5855" s="9"/>
    </row>
    <row r="5856" spans="1:13" x14ac:dyDescent="0.25">
      <c r="A5856" s="8"/>
      <c r="C5856" s="5"/>
      <c r="M5856" s="9"/>
    </row>
    <row r="5857" spans="1:13" x14ac:dyDescent="0.25">
      <c r="A5857" s="8"/>
      <c r="C5857" s="5"/>
      <c r="M5857" s="9"/>
    </row>
    <row r="5858" spans="1:13" x14ac:dyDescent="0.25">
      <c r="A5858" s="8"/>
      <c r="C5858" s="5"/>
      <c r="M5858" s="9"/>
    </row>
    <row r="5859" spans="1:13" x14ac:dyDescent="0.25">
      <c r="A5859" s="8"/>
      <c r="C5859" s="5"/>
      <c r="M5859" s="9"/>
    </row>
    <row r="5860" spans="1:13" x14ac:dyDescent="0.25">
      <c r="A5860" s="8"/>
      <c r="C5860" s="5"/>
      <c r="M5860" s="9"/>
    </row>
    <row r="5861" spans="1:13" x14ac:dyDescent="0.25">
      <c r="A5861" s="8"/>
      <c r="C5861" s="5"/>
      <c r="M5861" s="9"/>
    </row>
    <row r="5862" spans="1:13" x14ac:dyDescent="0.25">
      <c r="A5862" s="8"/>
      <c r="C5862" s="5"/>
      <c r="M5862" s="9"/>
    </row>
    <row r="5863" spans="1:13" x14ac:dyDescent="0.25">
      <c r="A5863" s="8"/>
      <c r="C5863" s="5"/>
      <c r="M5863" s="9"/>
    </row>
    <row r="5864" spans="1:13" x14ac:dyDescent="0.25">
      <c r="A5864" s="8"/>
      <c r="C5864" s="5"/>
      <c r="M5864" s="9"/>
    </row>
    <row r="5865" spans="1:13" x14ac:dyDescent="0.25">
      <c r="A5865" s="8"/>
      <c r="C5865" s="5"/>
      <c r="M5865" s="9"/>
    </row>
    <row r="5866" spans="1:13" x14ac:dyDescent="0.25">
      <c r="A5866" s="8"/>
      <c r="C5866" s="5"/>
      <c r="M5866" s="9"/>
    </row>
    <row r="5867" spans="1:13" x14ac:dyDescent="0.25">
      <c r="A5867" s="8"/>
      <c r="C5867" s="5"/>
      <c r="M5867" s="9"/>
    </row>
    <row r="5868" spans="1:13" x14ac:dyDescent="0.25">
      <c r="A5868" s="8"/>
      <c r="C5868" s="5"/>
      <c r="M5868" s="9"/>
    </row>
    <row r="5869" spans="1:13" x14ac:dyDescent="0.25">
      <c r="A5869" s="8"/>
      <c r="C5869" s="5"/>
      <c r="M5869" s="9"/>
    </row>
    <row r="5870" spans="1:13" x14ac:dyDescent="0.25">
      <c r="A5870" s="8"/>
      <c r="C5870" s="5"/>
      <c r="M5870" s="9"/>
    </row>
    <row r="5871" spans="1:13" x14ac:dyDescent="0.25">
      <c r="A5871" s="8"/>
      <c r="C5871" s="5"/>
      <c r="M5871" s="9"/>
    </row>
    <row r="5872" spans="1:13" x14ac:dyDescent="0.25">
      <c r="A5872" s="8"/>
      <c r="C5872" s="5"/>
      <c r="M5872" s="9"/>
    </row>
    <row r="5873" spans="1:13" x14ac:dyDescent="0.25">
      <c r="A5873" s="8"/>
      <c r="C5873" s="5"/>
      <c r="M5873" s="9"/>
    </row>
    <row r="5874" spans="1:13" x14ac:dyDescent="0.25">
      <c r="A5874" s="8"/>
      <c r="C5874" s="5"/>
      <c r="M5874" s="9"/>
    </row>
    <row r="5875" spans="1:13" x14ac:dyDescent="0.25">
      <c r="A5875" s="8"/>
      <c r="C5875" s="5"/>
      <c r="M5875" s="9"/>
    </row>
    <row r="5876" spans="1:13" x14ac:dyDescent="0.25">
      <c r="A5876" s="8"/>
      <c r="C5876" s="5"/>
      <c r="M5876" s="9"/>
    </row>
    <row r="5877" spans="1:13" x14ac:dyDescent="0.25">
      <c r="A5877" s="8"/>
      <c r="C5877" s="5"/>
      <c r="M5877" s="9"/>
    </row>
    <row r="5878" spans="1:13" x14ac:dyDescent="0.25">
      <c r="A5878" s="8"/>
      <c r="C5878" s="5"/>
      <c r="M5878" s="9"/>
    </row>
    <row r="5879" spans="1:13" x14ac:dyDescent="0.25">
      <c r="A5879" s="8"/>
      <c r="C5879" s="5"/>
      <c r="M5879" s="9"/>
    </row>
    <row r="5880" spans="1:13" x14ac:dyDescent="0.25">
      <c r="A5880" s="8"/>
      <c r="C5880" s="5"/>
      <c r="M5880" s="9"/>
    </row>
    <row r="5881" spans="1:13" x14ac:dyDescent="0.25">
      <c r="A5881" s="8"/>
      <c r="C5881" s="5"/>
      <c r="M5881" s="9"/>
    </row>
    <row r="5882" spans="1:13" x14ac:dyDescent="0.25">
      <c r="A5882" s="8"/>
      <c r="C5882" s="5"/>
      <c r="M5882" s="9"/>
    </row>
    <row r="5883" spans="1:13" x14ac:dyDescent="0.25">
      <c r="A5883" s="8"/>
      <c r="C5883" s="5"/>
      <c r="M5883" s="9"/>
    </row>
    <row r="5884" spans="1:13" x14ac:dyDescent="0.25">
      <c r="A5884" s="8"/>
      <c r="C5884" s="5"/>
      <c r="M5884" s="9"/>
    </row>
    <row r="5885" spans="1:13" x14ac:dyDescent="0.25">
      <c r="A5885" s="8"/>
      <c r="C5885" s="5"/>
      <c r="M5885" s="9"/>
    </row>
    <row r="5886" spans="1:13" x14ac:dyDescent="0.25">
      <c r="A5886" s="8"/>
      <c r="C5886" s="5"/>
      <c r="M5886" s="9"/>
    </row>
    <row r="5887" spans="1:13" x14ac:dyDescent="0.25">
      <c r="A5887" s="8"/>
      <c r="C5887" s="5"/>
      <c r="M5887" s="9"/>
    </row>
    <row r="5888" spans="1:13" x14ac:dyDescent="0.25">
      <c r="A5888" s="8"/>
      <c r="C5888" s="5"/>
      <c r="M5888" s="9"/>
    </row>
    <row r="5889" spans="1:13" x14ac:dyDescent="0.25">
      <c r="A5889" s="8"/>
      <c r="C5889" s="5"/>
      <c r="M5889" s="9"/>
    </row>
    <row r="5890" spans="1:13" x14ac:dyDescent="0.25">
      <c r="A5890" s="8"/>
      <c r="C5890" s="5"/>
      <c r="M5890" s="9"/>
    </row>
    <row r="5891" spans="1:13" x14ac:dyDescent="0.25">
      <c r="A5891" s="8"/>
      <c r="C5891" s="5"/>
      <c r="M5891" s="9"/>
    </row>
    <row r="5892" spans="1:13" x14ac:dyDescent="0.25">
      <c r="A5892" s="8"/>
      <c r="C5892" s="5"/>
      <c r="M5892" s="9"/>
    </row>
    <row r="5893" spans="1:13" x14ac:dyDescent="0.25">
      <c r="A5893" s="8"/>
      <c r="C5893" s="5"/>
      <c r="M5893" s="9"/>
    </row>
    <row r="5894" spans="1:13" x14ac:dyDescent="0.25">
      <c r="A5894" s="8"/>
      <c r="C5894" s="5"/>
      <c r="M5894" s="9"/>
    </row>
    <row r="5895" spans="1:13" x14ac:dyDescent="0.25">
      <c r="A5895" s="8"/>
      <c r="C5895" s="5"/>
      <c r="M5895" s="9"/>
    </row>
    <row r="5896" spans="1:13" x14ac:dyDescent="0.25">
      <c r="A5896" s="8"/>
      <c r="C5896" s="5"/>
      <c r="M5896" s="9"/>
    </row>
    <row r="5897" spans="1:13" x14ac:dyDescent="0.25">
      <c r="A5897" s="8"/>
      <c r="C5897" s="5"/>
      <c r="M5897" s="9"/>
    </row>
    <row r="5898" spans="1:13" x14ac:dyDescent="0.25">
      <c r="A5898" s="8"/>
      <c r="C5898" s="5"/>
      <c r="M5898" s="9"/>
    </row>
    <row r="5899" spans="1:13" x14ac:dyDescent="0.25">
      <c r="A5899" s="8"/>
      <c r="C5899" s="5"/>
      <c r="M5899" s="9"/>
    </row>
    <row r="5900" spans="1:13" x14ac:dyDescent="0.25">
      <c r="A5900" s="8"/>
      <c r="C5900" s="5"/>
      <c r="M5900" s="9"/>
    </row>
    <row r="5901" spans="1:13" x14ac:dyDescent="0.25">
      <c r="A5901" s="8"/>
      <c r="C5901" s="5"/>
      <c r="M5901" s="9"/>
    </row>
    <row r="5902" spans="1:13" x14ac:dyDescent="0.25">
      <c r="A5902" s="8"/>
      <c r="C5902" s="5"/>
      <c r="M5902" s="9"/>
    </row>
    <row r="5903" spans="1:13" x14ac:dyDescent="0.25">
      <c r="A5903" s="8"/>
      <c r="C5903" s="5"/>
      <c r="M5903" s="9"/>
    </row>
    <row r="5904" spans="1:13" x14ac:dyDescent="0.25">
      <c r="A5904" s="8"/>
      <c r="C5904" s="5"/>
      <c r="M5904" s="9"/>
    </row>
    <row r="5905" spans="1:13" x14ac:dyDescent="0.25">
      <c r="A5905" s="8"/>
      <c r="C5905" s="5"/>
      <c r="M5905" s="9"/>
    </row>
    <row r="5906" spans="1:13" x14ac:dyDescent="0.25">
      <c r="A5906" s="8"/>
      <c r="C5906" s="5"/>
      <c r="M5906" s="9"/>
    </row>
    <row r="5907" spans="1:13" x14ac:dyDescent="0.25">
      <c r="A5907" s="8"/>
      <c r="C5907" s="5"/>
      <c r="M5907" s="9"/>
    </row>
    <row r="5908" spans="1:13" x14ac:dyDescent="0.25">
      <c r="A5908" s="8"/>
      <c r="C5908" s="5"/>
      <c r="M5908" s="9"/>
    </row>
    <row r="5909" spans="1:13" x14ac:dyDescent="0.25">
      <c r="A5909" s="8"/>
      <c r="C5909" s="5"/>
      <c r="M5909" s="9"/>
    </row>
    <row r="5910" spans="1:13" x14ac:dyDescent="0.25">
      <c r="A5910" s="8"/>
      <c r="C5910" s="5"/>
      <c r="M5910" s="9"/>
    </row>
    <row r="5911" spans="1:13" x14ac:dyDescent="0.25">
      <c r="A5911" s="8"/>
      <c r="C5911" s="5"/>
      <c r="M5911" s="9"/>
    </row>
    <row r="5912" spans="1:13" x14ac:dyDescent="0.25">
      <c r="A5912" s="8"/>
      <c r="C5912" s="5"/>
      <c r="M5912" s="9"/>
    </row>
    <row r="5913" spans="1:13" x14ac:dyDescent="0.25">
      <c r="A5913" s="8"/>
      <c r="C5913" s="5"/>
      <c r="M5913" s="9"/>
    </row>
    <row r="5914" spans="1:13" x14ac:dyDescent="0.25">
      <c r="A5914" s="8"/>
      <c r="C5914" s="5"/>
      <c r="M5914" s="9"/>
    </row>
    <row r="5915" spans="1:13" x14ac:dyDescent="0.25">
      <c r="A5915" s="8"/>
      <c r="C5915" s="5"/>
      <c r="M5915" s="9"/>
    </row>
    <row r="5916" spans="1:13" x14ac:dyDescent="0.25">
      <c r="A5916" s="8"/>
      <c r="C5916" s="5"/>
      <c r="M5916" s="9"/>
    </row>
    <row r="5917" spans="1:13" x14ac:dyDescent="0.25">
      <c r="A5917" s="8"/>
      <c r="C5917" s="5"/>
      <c r="M5917" s="9"/>
    </row>
    <row r="5918" spans="1:13" x14ac:dyDescent="0.25">
      <c r="A5918" s="8"/>
      <c r="C5918" s="5"/>
      <c r="M5918" s="9"/>
    </row>
    <row r="5919" spans="1:13" x14ac:dyDescent="0.25">
      <c r="A5919" s="8"/>
      <c r="C5919" s="5"/>
      <c r="M5919" s="9"/>
    </row>
    <row r="5920" spans="1:13" x14ac:dyDescent="0.25">
      <c r="A5920" s="8"/>
      <c r="C5920" s="5"/>
      <c r="M5920" s="9"/>
    </row>
    <row r="5921" spans="1:13" x14ac:dyDescent="0.25">
      <c r="A5921" s="8"/>
      <c r="C5921" s="5"/>
      <c r="M5921" s="9"/>
    </row>
    <row r="5922" spans="1:13" x14ac:dyDescent="0.25">
      <c r="A5922" s="8"/>
      <c r="C5922" s="5"/>
      <c r="M5922" s="9"/>
    </row>
    <row r="5923" spans="1:13" x14ac:dyDescent="0.25">
      <c r="A5923" s="8"/>
      <c r="C5923" s="5"/>
      <c r="M5923" s="9"/>
    </row>
    <row r="5924" spans="1:13" x14ac:dyDescent="0.25">
      <c r="A5924" s="8"/>
      <c r="C5924" s="5"/>
      <c r="M5924" s="9"/>
    </row>
    <row r="5925" spans="1:13" x14ac:dyDescent="0.25">
      <c r="A5925" s="8"/>
      <c r="C5925" s="5"/>
      <c r="M5925" s="9"/>
    </row>
    <row r="5926" spans="1:13" x14ac:dyDescent="0.25">
      <c r="A5926" s="8"/>
      <c r="C5926" s="5"/>
      <c r="M5926" s="9"/>
    </row>
    <row r="5927" spans="1:13" x14ac:dyDescent="0.25">
      <c r="A5927" s="8"/>
      <c r="C5927" s="5"/>
      <c r="M5927" s="9"/>
    </row>
    <row r="5928" spans="1:13" x14ac:dyDescent="0.25">
      <c r="A5928" s="8"/>
      <c r="C5928" s="5"/>
      <c r="M5928" s="9"/>
    </row>
    <row r="5929" spans="1:13" x14ac:dyDescent="0.25">
      <c r="A5929" s="8"/>
      <c r="C5929" s="5"/>
      <c r="M5929" s="9"/>
    </row>
    <row r="5930" spans="1:13" x14ac:dyDescent="0.25">
      <c r="A5930" s="8"/>
      <c r="C5930" s="5"/>
      <c r="M5930" s="9"/>
    </row>
    <row r="5931" spans="1:13" x14ac:dyDescent="0.25">
      <c r="A5931" s="8"/>
      <c r="C5931" s="5"/>
      <c r="M5931" s="9"/>
    </row>
    <row r="5932" spans="1:13" x14ac:dyDescent="0.25">
      <c r="A5932" s="8"/>
      <c r="C5932" s="5"/>
      <c r="M5932" s="9"/>
    </row>
    <row r="5933" spans="1:13" x14ac:dyDescent="0.25">
      <c r="A5933" s="8"/>
      <c r="C5933" s="5"/>
      <c r="M5933" s="9"/>
    </row>
    <row r="5934" spans="1:13" x14ac:dyDescent="0.25">
      <c r="A5934" s="8"/>
      <c r="C5934" s="5"/>
      <c r="M5934" s="9"/>
    </row>
    <row r="5935" spans="1:13" x14ac:dyDescent="0.25">
      <c r="A5935" s="8"/>
      <c r="C5935" s="5"/>
      <c r="M5935" s="9"/>
    </row>
    <row r="5936" spans="1:13" x14ac:dyDescent="0.25">
      <c r="A5936" s="8"/>
      <c r="C5936" s="5"/>
      <c r="M5936" s="9"/>
    </row>
    <row r="5937" spans="1:13" x14ac:dyDescent="0.25">
      <c r="A5937" s="8"/>
      <c r="C5937" s="5"/>
      <c r="M5937" s="9"/>
    </row>
    <row r="5938" spans="1:13" x14ac:dyDescent="0.25">
      <c r="A5938" s="8"/>
      <c r="C5938" s="5"/>
      <c r="M5938" s="9"/>
    </row>
    <row r="5939" spans="1:13" x14ac:dyDescent="0.25">
      <c r="A5939" s="8"/>
      <c r="C5939" s="5"/>
      <c r="M5939" s="9"/>
    </row>
    <row r="5940" spans="1:13" x14ac:dyDescent="0.25">
      <c r="A5940" s="8"/>
      <c r="C5940" s="5"/>
      <c r="M5940" s="9"/>
    </row>
    <row r="5941" spans="1:13" x14ac:dyDescent="0.25">
      <c r="A5941" s="8"/>
      <c r="C5941" s="5"/>
      <c r="M5941" s="9"/>
    </row>
    <row r="5942" spans="1:13" x14ac:dyDescent="0.25">
      <c r="A5942" s="8"/>
      <c r="C5942" s="5"/>
      <c r="M5942" s="9"/>
    </row>
    <row r="5943" spans="1:13" x14ac:dyDescent="0.25">
      <c r="A5943" s="8"/>
      <c r="C5943" s="5"/>
      <c r="M5943" s="9"/>
    </row>
    <row r="5944" spans="1:13" x14ac:dyDescent="0.25">
      <c r="A5944" s="8"/>
      <c r="C5944" s="5"/>
      <c r="M5944" s="9"/>
    </row>
    <row r="5945" spans="1:13" x14ac:dyDescent="0.25">
      <c r="A5945" s="8"/>
      <c r="C5945" s="5"/>
      <c r="M5945" s="9"/>
    </row>
    <row r="5946" spans="1:13" x14ac:dyDescent="0.25">
      <c r="A5946" s="8"/>
      <c r="C5946" s="5"/>
      <c r="M5946" s="9"/>
    </row>
    <row r="5947" spans="1:13" x14ac:dyDescent="0.25">
      <c r="A5947" s="8"/>
      <c r="C5947" s="5"/>
      <c r="M5947" s="9"/>
    </row>
    <row r="5948" spans="1:13" x14ac:dyDescent="0.25">
      <c r="A5948" s="8"/>
      <c r="C5948" s="5"/>
      <c r="M5948" s="9"/>
    </row>
    <row r="5949" spans="1:13" x14ac:dyDescent="0.25">
      <c r="A5949" s="8"/>
      <c r="C5949" s="5"/>
      <c r="M5949" s="9"/>
    </row>
    <row r="5950" spans="1:13" x14ac:dyDescent="0.25">
      <c r="A5950" s="8"/>
      <c r="C5950" s="5"/>
      <c r="M5950" s="9"/>
    </row>
    <row r="5951" spans="1:13" x14ac:dyDescent="0.25">
      <c r="A5951" s="8"/>
      <c r="C5951" s="5"/>
      <c r="M5951" s="9"/>
    </row>
    <row r="5952" spans="1:13" x14ac:dyDescent="0.25">
      <c r="A5952" s="8"/>
      <c r="C5952" s="5"/>
      <c r="M5952" s="9"/>
    </row>
    <row r="5953" spans="1:13" x14ac:dyDescent="0.25">
      <c r="A5953" s="8"/>
      <c r="C5953" s="5"/>
      <c r="M5953" s="9"/>
    </row>
    <row r="5954" spans="1:13" x14ac:dyDescent="0.25">
      <c r="A5954" s="8"/>
      <c r="C5954" s="5"/>
      <c r="M5954" s="9"/>
    </row>
    <row r="5955" spans="1:13" x14ac:dyDescent="0.25">
      <c r="A5955" s="8"/>
      <c r="C5955" s="5"/>
      <c r="M5955" s="9"/>
    </row>
    <row r="5956" spans="1:13" x14ac:dyDescent="0.25">
      <c r="A5956" s="8"/>
      <c r="C5956" s="5"/>
      <c r="M5956" s="9"/>
    </row>
    <row r="5957" spans="1:13" x14ac:dyDescent="0.25">
      <c r="A5957" s="8"/>
      <c r="C5957" s="5"/>
      <c r="M5957" s="9"/>
    </row>
    <row r="5958" spans="1:13" x14ac:dyDescent="0.25">
      <c r="A5958" s="8"/>
      <c r="C5958" s="5"/>
      <c r="M5958" s="9"/>
    </row>
    <row r="5959" spans="1:13" x14ac:dyDescent="0.25">
      <c r="A5959" s="8"/>
      <c r="C5959" s="5"/>
      <c r="M5959" s="9"/>
    </row>
    <row r="5960" spans="1:13" x14ac:dyDescent="0.25">
      <c r="A5960" s="8"/>
      <c r="C5960" s="5"/>
      <c r="M5960" s="9"/>
    </row>
    <row r="5961" spans="1:13" x14ac:dyDescent="0.25">
      <c r="A5961" s="8"/>
      <c r="C5961" s="5"/>
      <c r="M5961" s="9"/>
    </row>
    <row r="5962" spans="1:13" x14ac:dyDescent="0.25">
      <c r="A5962" s="8"/>
      <c r="C5962" s="5"/>
      <c r="M5962" s="9"/>
    </row>
    <row r="5963" spans="1:13" x14ac:dyDescent="0.25">
      <c r="A5963" s="8"/>
      <c r="C5963" s="5"/>
      <c r="M5963" s="9"/>
    </row>
    <row r="5964" spans="1:13" x14ac:dyDescent="0.25">
      <c r="A5964" s="8"/>
      <c r="C5964" s="5"/>
      <c r="M5964" s="9"/>
    </row>
    <row r="5965" spans="1:13" x14ac:dyDescent="0.25">
      <c r="A5965" s="8"/>
      <c r="C5965" s="5"/>
      <c r="M5965" s="9"/>
    </row>
    <row r="5966" spans="1:13" x14ac:dyDescent="0.25">
      <c r="A5966" s="8"/>
      <c r="C5966" s="5"/>
      <c r="M5966" s="9"/>
    </row>
    <row r="5967" spans="1:13" x14ac:dyDescent="0.25">
      <c r="A5967" s="8"/>
      <c r="C5967" s="5"/>
      <c r="M5967" s="9"/>
    </row>
    <row r="5968" spans="1:13" x14ac:dyDescent="0.25">
      <c r="A5968" s="8"/>
      <c r="C5968" s="5"/>
      <c r="M5968" s="9"/>
    </row>
    <row r="5969" spans="1:13" x14ac:dyDescent="0.25">
      <c r="A5969" s="8"/>
      <c r="C5969" s="5"/>
      <c r="M5969" s="9"/>
    </row>
    <row r="5970" spans="1:13" x14ac:dyDescent="0.25">
      <c r="A5970" s="8"/>
      <c r="C5970" s="5"/>
      <c r="M5970" s="9"/>
    </row>
    <row r="5971" spans="1:13" x14ac:dyDescent="0.25">
      <c r="A5971" s="8"/>
      <c r="C5971" s="5"/>
      <c r="M5971" s="9"/>
    </row>
    <row r="5972" spans="1:13" x14ac:dyDescent="0.25">
      <c r="A5972" s="8"/>
      <c r="C5972" s="5"/>
      <c r="M5972" s="9"/>
    </row>
    <row r="5973" spans="1:13" x14ac:dyDescent="0.25">
      <c r="A5973" s="8"/>
      <c r="C5973" s="5"/>
      <c r="M5973" s="9"/>
    </row>
    <row r="5974" spans="1:13" x14ac:dyDescent="0.25">
      <c r="A5974" s="8"/>
      <c r="C5974" s="5"/>
      <c r="M5974" s="9"/>
    </row>
    <row r="5975" spans="1:13" x14ac:dyDescent="0.25">
      <c r="A5975" s="8"/>
      <c r="C5975" s="5"/>
      <c r="M5975" s="9"/>
    </row>
    <row r="5976" spans="1:13" x14ac:dyDescent="0.25">
      <c r="A5976" s="8"/>
      <c r="C5976" s="5"/>
      <c r="M5976" s="9"/>
    </row>
    <row r="5977" spans="1:13" x14ac:dyDescent="0.25">
      <c r="A5977" s="8"/>
      <c r="C5977" s="5"/>
      <c r="M5977" s="9"/>
    </row>
    <row r="5978" spans="1:13" x14ac:dyDescent="0.25">
      <c r="A5978" s="8"/>
      <c r="C5978" s="5"/>
      <c r="M5978" s="9"/>
    </row>
    <row r="5979" spans="1:13" x14ac:dyDescent="0.25">
      <c r="A5979" s="8"/>
      <c r="C5979" s="5"/>
      <c r="M5979" s="9"/>
    </row>
    <row r="5980" spans="1:13" x14ac:dyDescent="0.25">
      <c r="A5980" s="8"/>
      <c r="C5980" s="5"/>
      <c r="M5980" s="9"/>
    </row>
    <row r="5981" spans="1:13" x14ac:dyDescent="0.25">
      <c r="A5981" s="8"/>
      <c r="C5981" s="5"/>
      <c r="M5981" s="9"/>
    </row>
    <row r="5982" spans="1:13" x14ac:dyDescent="0.25">
      <c r="A5982" s="8"/>
      <c r="C5982" s="5"/>
      <c r="M5982" s="9"/>
    </row>
    <row r="5983" spans="1:13" x14ac:dyDescent="0.25">
      <c r="A5983" s="8"/>
      <c r="C5983" s="5"/>
      <c r="M5983" s="9"/>
    </row>
    <row r="5984" spans="1:13" x14ac:dyDescent="0.25">
      <c r="A5984" s="8"/>
      <c r="C5984" s="5"/>
      <c r="M5984" s="9"/>
    </row>
    <row r="5985" spans="1:13" x14ac:dyDescent="0.25">
      <c r="A5985" s="8"/>
      <c r="C5985" s="5"/>
      <c r="M5985" s="9"/>
    </row>
    <row r="5986" spans="1:13" x14ac:dyDescent="0.25">
      <c r="A5986" s="8"/>
      <c r="C5986" s="5"/>
      <c r="M5986" s="9"/>
    </row>
    <row r="5987" spans="1:13" x14ac:dyDescent="0.25">
      <c r="A5987" s="8"/>
      <c r="C5987" s="5"/>
      <c r="M5987" s="9"/>
    </row>
    <row r="5988" spans="1:13" x14ac:dyDescent="0.25">
      <c r="A5988" s="8"/>
      <c r="C5988" s="5"/>
      <c r="M5988" s="9"/>
    </row>
    <row r="5989" spans="1:13" x14ac:dyDescent="0.25">
      <c r="A5989" s="8"/>
      <c r="C5989" s="5"/>
      <c r="M5989" s="9"/>
    </row>
    <row r="5990" spans="1:13" x14ac:dyDescent="0.25">
      <c r="A5990" s="8"/>
      <c r="C5990" s="5"/>
      <c r="M5990" s="9"/>
    </row>
    <row r="5991" spans="1:13" x14ac:dyDescent="0.25">
      <c r="A5991" s="8"/>
      <c r="C5991" s="5"/>
      <c r="M5991" s="9"/>
    </row>
    <row r="5992" spans="1:13" x14ac:dyDescent="0.25">
      <c r="A5992" s="8"/>
      <c r="C5992" s="5"/>
      <c r="M5992" s="9"/>
    </row>
    <row r="5993" spans="1:13" x14ac:dyDescent="0.25">
      <c r="A5993" s="8"/>
      <c r="C5993" s="5"/>
      <c r="M5993" s="9"/>
    </row>
    <row r="5994" spans="1:13" x14ac:dyDescent="0.25">
      <c r="A5994" s="8"/>
      <c r="C5994" s="5"/>
      <c r="M5994" s="9"/>
    </row>
    <row r="5995" spans="1:13" x14ac:dyDescent="0.25">
      <c r="A5995" s="8"/>
      <c r="C5995" s="5"/>
      <c r="M5995" s="9"/>
    </row>
    <row r="5996" spans="1:13" x14ac:dyDescent="0.25">
      <c r="A5996" s="8"/>
      <c r="C5996" s="5"/>
      <c r="M5996" s="9"/>
    </row>
    <row r="5997" spans="1:13" x14ac:dyDescent="0.25">
      <c r="A5997" s="8"/>
      <c r="C5997" s="5"/>
      <c r="M5997" s="9"/>
    </row>
    <row r="5998" spans="1:13" x14ac:dyDescent="0.25">
      <c r="A5998" s="8"/>
      <c r="C5998" s="5"/>
      <c r="M5998" s="9"/>
    </row>
    <row r="5999" spans="1:13" x14ac:dyDescent="0.25">
      <c r="A5999" s="8"/>
      <c r="C5999" s="5"/>
      <c r="M5999" s="9"/>
    </row>
    <row r="6000" spans="1:13" x14ac:dyDescent="0.25">
      <c r="A6000" s="8"/>
      <c r="C6000" s="5"/>
      <c r="M6000" s="9"/>
    </row>
    <row r="6001" spans="1:13" x14ac:dyDescent="0.25">
      <c r="A6001" s="8"/>
      <c r="C6001" s="5"/>
      <c r="M6001" s="9"/>
    </row>
    <row r="6002" spans="1:13" x14ac:dyDescent="0.25">
      <c r="A6002" s="8"/>
      <c r="C6002" s="5"/>
      <c r="M6002" s="9"/>
    </row>
    <row r="6003" spans="1:13" x14ac:dyDescent="0.25">
      <c r="A6003" s="8"/>
      <c r="C6003" s="5"/>
      <c r="M6003" s="9"/>
    </row>
    <row r="6004" spans="1:13" x14ac:dyDescent="0.25">
      <c r="A6004" s="8"/>
      <c r="C6004" s="5"/>
      <c r="M6004" s="9"/>
    </row>
    <row r="6005" spans="1:13" x14ac:dyDescent="0.25">
      <c r="A6005" s="8"/>
      <c r="C6005" s="5"/>
      <c r="M6005" s="9"/>
    </row>
    <row r="6006" spans="1:13" x14ac:dyDescent="0.25">
      <c r="A6006" s="8"/>
      <c r="C6006" s="5"/>
      <c r="M6006" s="9"/>
    </row>
    <row r="6007" spans="1:13" x14ac:dyDescent="0.25">
      <c r="A6007" s="8"/>
      <c r="C6007" s="5"/>
      <c r="M6007" s="9"/>
    </row>
    <row r="6008" spans="1:13" x14ac:dyDescent="0.25">
      <c r="A6008" s="8"/>
      <c r="C6008" s="5"/>
      <c r="M6008" s="9"/>
    </row>
    <row r="6009" spans="1:13" x14ac:dyDescent="0.25">
      <c r="A6009" s="8"/>
      <c r="C6009" s="5"/>
      <c r="M6009" s="9"/>
    </row>
    <row r="6010" spans="1:13" x14ac:dyDescent="0.25">
      <c r="A6010" s="8"/>
      <c r="C6010" s="5"/>
      <c r="M6010" s="9"/>
    </row>
    <row r="6011" spans="1:13" x14ac:dyDescent="0.25">
      <c r="A6011" s="8"/>
      <c r="C6011" s="5"/>
      <c r="M6011" s="9"/>
    </row>
    <row r="6012" spans="1:13" x14ac:dyDescent="0.25">
      <c r="A6012" s="8"/>
      <c r="C6012" s="5"/>
      <c r="M6012" s="9"/>
    </row>
    <row r="6013" spans="1:13" x14ac:dyDescent="0.25">
      <c r="A6013" s="8"/>
      <c r="C6013" s="5"/>
      <c r="M6013" s="9"/>
    </row>
    <row r="6014" spans="1:13" x14ac:dyDescent="0.25">
      <c r="A6014" s="8"/>
      <c r="C6014" s="5"/>
      <c r="M6014" s="9"/>
    </row>
    <row r="6015" spans="1:13" x14ac:dyDescent="0.25">
      <c r="A6015" s="8"/>
      <c r="C6015" s="5"/>
      <c r="M6015" s="9"/>
    </row>
    <row r="6016" spans="1:13" x14ac:dyDescent="0.25">
      <c r="A6016" s="8"/>
      <c r="C6016" s="5"/>
      <c r="M6016" s="9"/>
    </row>
    <row r="6017" spans="1:13" x14ac:dyDescent="0.25">
      <c r="A6017" s="8"/>
      <c r="C6017" s="5"/>
      <c r="M6017" s="9"/>
    </row>
    <row r="6018" spans="1:13" x14ac:dyDescent="0.25">
      <c r="A6018" s="8"/>
      <c r="C6018" s="5"/>
      <c r="M6018" s="9"/>
    </row>
    <row r="6019" spans="1:13" x14ac:dyDescent="0.25">
      <c r="A6019" s="8"/>
      <c r="C6019" s="5"/>
      <c r="M6019" s="9"/>
    </row>
    <row r="6020" spans="1:13" x14ac:dyDescent="0.25">
      <c r="A6020" s="8"/>
      <c r="C6020" s="5"/>
      <c r="M6020" s="9"/>
    </row>
    <row r="6021" spans="1:13" x14ac:dyDescent="0.25">
      <c r="A6021" s="8"/>
      <c r="C6021" s="5"/>
      <c r="M6021" s="9"/>
    </row>
    <row r="6022" spans="1:13" x14ac:dyDescent="0.25">
      <c r="A6022" s="8"/>
      <c r="C6022" s="5"/>
      <c r="M6022" s="9"/>
    </row>
    <row r="6023" spans="1:13" x14ac:dyDescent="0.25">
      <c r="A6023" s="8"/>
      <c r="C6023" s="5"/>
      <c r="M6023" s="9"/>
    </row>
    <row r="6024" spans="1:13" x14ac:dyDescent="0.25">
      <c r="A6024" s="8"/>
      <c r="C6024" s="5"/>
      <c r="M6024" s="9"/>
    </row>
    <row r="6025" spans="1:13" x14ac:dyDescent="0.25">
      <c r="A6025" s="8"/>
      <c r="C6025" s="5"/>
      <c r="M6025" s="9"/>
    </row>
    <row r="6026" spans="1:13" x14ac:dyDescent="0.25">
      <c r="A6026" s="8"/>
      <c r="C6026" s="5"/>
      <c r="M6026" s="9"/>
    </row>
    <row r="6027" spans="1:13" x14ac:dyDescent="0.25">
      <c r="A6027" s="8"/>
      <c r="C6027" s="5"/>
      <c r="M6027" s="9"/>
    </row>
    <row r="6028" spans="1:13" x14ac:dyDescent="0.25">
      <c r="A6028" s="8"/>
      <c r="C6028" s="5"/>
      <c r="M6028" s="9"/>
    </row>
    <row r="6029" spans="1:13" x14ac:dyDescent="0.25">
      <c r="A6029" s="8"/>
      <c r="C6029" s="5"/>
      <c r="M6029" s="9"/>
    </row>
    <row r="6030" spans="1:13" x14ac:dyDescent="0.25">
      <c r="A6030" s="8"/>
      <c r="C6030" s="5"/>
      <c r="M6030" s="9"/>
    </row>
    <row r="6031" spans="1:13" x14ac:dyDescent="0.25">
      <c r="A6031" s="8"/>
      <c r="C6031" s="5"/>
      <c r="M6031" s="9"/>
    </row>
    <row r="6032" spans="1:13" x14ac:dyDescent="0.25">
      <c r="A6032" s="8"/>
      <c r="C6032" s="5"/>
      <c r="M6032" s="9"/>
    </row>
    <row r="6033" spans="1:13" x14ac:dyDescent="0.25">
      <c r="A6033" s="8"/>
      <c r="C6033" s="5"/>
      <c r="M6033" s="9"/>
    </row>
    <row r="6034" spans="1:13" x14ac:dyDescent="0.25">
      <c r="A6034" s="8"/>
      <c r="C6034" s="5"/>
      <c r="M6034" s="9"/>
    </row>
    <row r="6035" spans="1:13" x14ac:dyDescent="0.25">
      <c r="A6035" s="8"/>
      <c r="C6035" s="5"/>
      <c r="M6035" s="9"/>
    </row>
    <row r="6036" spans="1:13" x14ac:dyDescent="0.25">
      <c r="A6036" s="8"/>
      <c r="C6036" s="5"/>
      <c r="M6036" s="9"/>
    </row>
    <row r="6037" spans="1:13" x14ac:dyDescent="0.25">
      <c r="A6037" s="8"/>
      <c r="C6037" s="5"/>
      <c r="M6037" s="9"/>
    </row>
    <row r="6038" spans="1:13" x14ac:dyDescent="0.25">
      <c r="A6038" s="8"/>
      <c r="C6038" s="5"/>
      <c r="M6038" s="9"/>
    </row>
    <row r="6039" spans="1:13" x14ac:dyDescent="0.25">
      <c r="A6039" s="8"/>
      <c r="C6039" s="5"/>
      <c r="M6039" s="9"/>
    </row>
    <row r="6040" spans="1:13" x14ac:dyDescent="0.25">
      <c r="A6040" s="8"/>
      <c r="C6040" s="5"/>
      <c r="M6040" s="9"/>
    </row>
    <row r="6041" spans="1:13" x14ac:dyDescent="0.25">
      <c r="A6041" s="8"/>
      <c r="C6041" s="5"/>
      <c r="M6041" s="9"/>
    </row>
    <row r="6042" spans="1:13" x14ac:dyDescent="0.25">
      <c r="A6042" s="8"/>
      <c r="C6042" s="5"/>
      <c r="M6042" s="9"/>
    </row>
    <row r="6043" spans="1:13" x14ac:dyDescent="0.25">
      <c r="A6043" s="8"/>
      <c r="C6043" s="5"/>
      <c r="M6043" s="9"/>
    </row>
    <row r="6044" spans="1:13" x14ac:dyDescent="0.25">
      <c r="A6044" s="8"/>
      <c r="C6044" s="5"/>
      <c r="M6044" s="9"/>
    </row>
    <row r="6045" spans="1:13" x14ac:dyDescent="0.25">
      <c r="A6045" s="8"/>
      <c r="C6045" s="5"/>
      <c r="M6045" s="9"/>
    </row>
    <row r="6046" spans="1:13" x14ac:dyDescent="0.25">
      <c r="A6046" s="8"/>
      <c r="C6046" s="5"/>
      <c r="M6046" s="9"/>
    </row>
    <row r="6047" spans="1:13" x14ac:dyDescent="0.25">
      <c r="A6047" s="8"/>
      <c r="C6047" s="5"/>
      <c r="M6047" s="9"/>
    </row>
    <row r="6048" spans="1:13" x14ac:dyDescent="0.25">
      <c r="A6048" s="8"/>
      <c r="C6048" s="5"/>
      <c r="M6048" s="9"/>
    </row>
    <row r="6049" spans="1:13" x14ac:dyDescent="0.25">
      <c r="A6049" s="8"/>
      <c r="C6049" s="5"/>
      <c r="M6049" s="9"/>
    </row>
    <row r="6050" spans="1:13" x14ac:dyDescent="0.25">
      <c r="A6050" s="8"/>
      <c r="C6050" s="5"/>
      <c r="M6050" s="9"/>
    </row>
    <row r="6051" spans="1:13" x14ac:dyDescent="0.25">
      <c r="A6051" s="8"/>
      <c r="C6051" s="5"/>
      <c r="M6051" s="9"/>
    </row>
    <row r="6052" spans="1:13" x14ac:dyDescent="0.25">
      <c r="A6052" s="8"/>
      <c r="C6052" s="5"/>
      <c r="M6052" s="9"/>
    </row>
    <row r="6053" spans="1:13" x14ac:dyDescent="0.25">
      <c r="A6053" s="8"/>
      <c r="C6053" s="5"/>
      <c r="M6053" s="9"/>
    </row>
    <row r="6054" spans="1:13" x14ac:dyDescent="0.25">
      <c r="A6054" s="8"/>
      <c r="C6054" s="5"/>
      <c r="M6054" s="9"/>
    </row>
    <row r="6055" spans="1:13" x14ac:dyDescent="0.25">
      <c r="A6055" s="8"/>
      <c r="C6055" s="5"/>
      <c r="M6055" s="9"/>
    </row>
    <row r="6056" spans="1:13" x14ac:dyDescent="0.25">
      <c r="A6056" s="8"/>
      <c r="C6056" s="5"/>
      <c r="M6056" s="9"/>
    </row>
    <row r="6057" spans="1:13" x14ac:dyDescent="0.25">
      <c r="A6057" s="8"/>
      <c r="C6057" s="5"/>
      <c r="M6057" s="9"/>
    </row>
    <row r="6058" spans="1:13" x14ac:dyDescent="0.25">
      <c r="A6058" s="8"/>
      <c r="C6058" s="5"/>
      <c r="M6058" s="9"/>
    </row>
    <row r="6059" spans="1:13" x14ac:dyDescent="0.25">
      <c r="A6059" s="8"/>
      <c r="C6059" s="5"/>
      <c r="M6059" s="9"/>
    </row>
    <row r="6060" spans="1:13" x14ac:dyDescent="0.25">
      <c r="A6060" s="8"/>
      <c r="C6060" s="5"/>
      <c r="M6060" s="9"/>
    </row>
    <row r="6061" spans="1:13" x14ac:dyDescent="0.25">
      <c r="A6061" s="8"/>
      <c r="C6061" s="5"/>
      <c r="M6061" s="9"/>
    </row>
    <row r="6062" spans="1:13" x14ac:dyDescent="0.25">
      <c r="A6062" s="8"/>
      <c r="C6062" s="5"/>
      <c r="M6062" s="9"/>
    </row>
    <row r="6063" spans="1:13" x14ac:dyDescent="0.25">
      <c r="A6063" s="8"/>
      <c r="C6063" s="5"/>
      <c r="M6063" s="9"/>
    </row>
    <row r="6064" spans="1:13" x14ac:dyDescent="0.25">
      <c r="A6064" s="8"/>
      <c r="C6064" s="5"/>
      <c r="M6064" s="9"/>
    </row>
    <row r="6065" spans="1:13" x14ac:dyDescent="0.25">
      <c r="A6065" s="8"/>
      <c r="C6065" s="5"/>
      <c r="M6065" s="9"/>
    </row>
    <row r="6066" spans="1:13" x14ac:dyDescent="0.25">
      <c r="A6066" s="8"/>
      <c r="C6066" s="5"/>
      <c r="M6066" s="9"/>
    </row>
    <row r="6067" spans="1:13" x14ac:dyDescent="0.25">
      <c r="A6067" s="8"/>
      <c r="C6067" s="5"/>
      <c r="M6067" s="9"/>
    </row>
    <row r="6068" spans="1:13" x14ac:dyDescent="0.25">
      <c r="A6068" s="8"/>
      <c r="C6068" s="5"/>
      <c r="M6068" s="9"/>
    </row>
    <row r="6069" spans="1:13" x14ac:dyDescent="0.25">
      <c r="A6069" s="8"/>
      <c r="C6069" s="5"/>
      <c r="M6069" s="9"/>
    </row>
    <row r="6070" spans="1:13" x14ac:dyDescent="0.25">
      <c r="A6070" s="8"/>
      <c r="C6070" s="5"/>
      <c r="M6070" s="9"/>
    </row>
    <row r="6071" spans="1:13" x14ac:dyDescent="0.25">
      <c r="A6071" s="8"/>
      <c r="C6071" s="5"/>
      <c r="M6071" s="9"/>
    </row>
    <row r="6072" spans="1:13" x14ac:dyDescent="0.25">
      <c r="A6072" s="8"/>
      <c r="C6072" s="5"/>
      <c r="M6072" s="9"/>
    </row>
    <row r="6073" spans="1:13" x14ac:dyDescent="0.25">
      <c r="A6073" s="8"/>
      <c r="C6073" s="5"/>
      <c r="M6073" s="9"/>
    </row>
    <row r="6074" spans="1:13" x14ac:dyDescent="0.25">
      <c r="A6074" s="8"/>
      <c r="C6074" s="5"/>
      <c r="M6074" s="9"/>
    </row>
    <row r="6075" spans="1:13" x14ac:dyDescent="0.25">
      <c r="A6075" s="8"/>
      <c r="C6075" s="5"/>
      <c r="M6075" s="9"/>
    </row>
    <row r="6076" spans="1:13" x14ac:dyDescent="0.25">
      <c r="A6076" s="8"/>
      <c r="C6076" s="5"/>
      <c r="M6076" s="9"/>
    </row>
    <row r="6077" spans="1:13" x14ac:dyDescent="0.25">
      <c r="A6077" s="8"/>
      <c r="C6077" s="5"/>
      <c r="M6077" s="9"/>
    </row>
    <row r="6078" spans="1:13" x14ac:dyDescent="0.25">
      <c r="A6078" s="8"/>
      <c r="C6078" s="5"/>
      <c r="M6078" s="9"/>
    </row>
    <row r="6079" spans="1:13" x14ac:dyDescent="0.25">
      <c r="A6079" s="8"/>
      <c r="C6079" s="5"/>
      <c r="M6079" s="9"/>
    </row>
    <row r="6080" spans="1:13" x14ac:dyDescent="0.25">
      <c r="A6080" s="8"/>
      <c r="C6080" s="5"/>
      <c r="M6080" s="9"/>
    </row>
    <row r="6081" spans="1:13" x14ac:dyDescent="0.25">
      <c r="A6081" s="8"/>
      <c r="C6081" s="5"/>
      <c r="M6081" s="9"/>
    </row>
    <row r="6082" spans="1:13" x14ac:dyDescent="0.25">
      <c r="A6082" s="8"/>
      <c r="C6082" s="5"/>
      <c r="M6082" s="9"/>
    </row>
    <row r="6083" spans="1:13" x14ac:dyDescent="0.25">
      <c r="A6083" s="8"/>
      <c r="C6083" s="5"/>
      <c r="M6083" s="9"/>
    </row>
    <row r="6084" spans="1:13" x14ac:dyDescent="0.25">
      <c r="A6084" s="8"/>
      <c r="C6084" s="5"/>
      <c r="M6084" s="9"/>
    </row>
    <row r="6085" spans="1:13" x14ac:dyDescent="0.25">
      <c r="A6085" s="8"/>
      <c r="C6085" s="5"/>
      <c r="M6085" s="9"/>
    </row>
    <row r="6086" spans="1:13" x14ac:dyDescent="0.25">
      <c r="A6086" s="8"/>
      <c r="C6086" s="5"/>
      <c r="M6086" s="9"/>
    </row>
    <row r="6087" spans="1:13" x14ac:dyDescent="0.25">
      <c r="A6087" s="8"/>
      <c r="C6087" s="5"/>
      <c r="M6087" s="9"/>
    </row>
    <row r="6088" spans="1:13" x14ac:dyDescent="0.25">
      <c r="A6088" s="8"/>
      <c r="C6088" s="5"/>
      <c r="M6088" s="9"/>
    </row>
    <row r="6089" spans="1:13" x14ac:dyDescent="0.25">
      <c r="A6089" s="8"/>
      <c r="C6089" s="5"/>
      <c r="M6089" s="9"/>
    </row>
    <row r="6090" spans="1:13" x14ac:dyDescent="0.25">
      <c r="A6090" s="8"/>
      <c r="C6090" s="5"/>
      <c r="M6090" s="9"/>
    </row>
    <row r="6091" spans="1:13" x14ac:dyDescent="0.25">
      <c r="A6091" s="8"/>
      <c r="C6091" s="5"/>
      <c r="M6091" s="9"/>
    </row>
    <row r="6092" spans="1:13" x14ac:dyDescent="0.25">
      <c r="A6092" s="8"/>
      <c r="C6092" s="5"/>
      <c r="M6092" s="9"/>
    </row>
    <row r="6093" spans="1:13" x14ac:dyDescent="0.25">
      <c r="A6093" s="8"/>
      <c r="C6093" s="5"/>
      <c r="M6093" s="9"/>
    </row>
    <row r="6094" spans="1:13" x14ac:dyDescent="0.25">
      <c r="A6094" s="8"/>
      <c r="C6094" s="5"/>
      <c r="M6094" s="9"/>
    </row>
    <row r="6095" spans="1:13" x14ac:dyDescent="0.25">
      <c r="A6095" s="8"/>
      <c r="C6095" s="5"/>
      <c r="M6095" s="9"/>
    </row>
    <row r="6096" spans="1:13" x14ac:dyDescent="0.25">
      <c r="A6096" s="8"/>
      <c r="C6096" s="5"/>
      <c r="M6096" s="9"/>
    </row>
    <row r="6097" spans="1:13" x14ac:dyDescent="0.25">
      <c r="A6097" s="8"/>
      <c r="C6097" s="5"/>
      <c r="M6097" s="9"/>
    </row>
    <row r="6098" spans="1:13" x14ac:dyDescent="0.25">
      <c r="A6098" s="8"/>
      <c r="C6098" s="5"/>
      <c r="M6098" s="9"/>
    </row>
    <row r="6099" spans="1:13" x14ac:dyDescent="0.25">
      <c r="A6099" s="8"/>
      <c r="C6099" s="5"/>
      <c r="M6099" s="9"/>
    </row>
    <row r="6100" spans="1:13" x14ac:dyDescent="0.25">
      <c r="A6100" s="8"/>
      <c r="C6100" s="5"/>
      <c r="M6100" s="9"/>
    </row>
    <row r="6101" spans="1:13" x14ac:dyDescent="0.25">
      <c r="A6101" s="8"/>
      <c r="C6101" s="5"/>
      <c r="M6101" s="9"/>
    </row>
    <row r="6102" spans="1:13" x14ac:dyDescent="0.25">
      <c r="A6102" s="8"/>
      <c r="C6102" s="5"/>
      <c r="M6102" s="9"/>
    </row>
    <row r="6103" spans="1:13" x14ac:dyDescent="0.25">
      <c r="A6103" s="8"/>
      <c r="C6103" s="5"/>
      <c r="M6103" s="9"/>
    </row>
    <row r="6104" spans="1:13" x14ac:dyDescent="0.25">
      <c r="A6104" s="8"/>
      <c r="C6104" s="5"/>
      <c r="M6104" s="9"/>
    </row>
    <row r="6105" spans="1:13" x14ac:dyDescent="0.25">
      <c r="A6105" s="8"/>
      <c r="C6105" s="5"/>
      <c r="M6105" s="9"/>
    </row>
    <row r="6106" spans="1:13" x14ac:dyDescent="0.25">
      <c r="A6106" s="8"/>
      <c r="C6106" s="5"/>
      <c r="M6106" s="9"/>
    </row>
    <row r="6107" spans="1:13" x14ac:dyDescent="0.25">
      <c r="A6107" s="8"/>
      <c r="C6107" s="5"/>
      <c r="M6107" s="9"/>
    </row>
    <row r="6108" spans="1:13" x14ac:dyDescent="0.25">
      <c r="A6108" s="8"/>
      <c r="C6108" s="5"/>
      <c r="M6108" s="9"/>
    </row>
    <row r="6109" spans="1:13" x14ac:dyDescent="0.25">
      <c r="A6109" s="8"/>
      <c r="C6109" s="5"/>
      <c r="M6109" s="9"/>
    </row>
    <row r="6110" spans="1:13" x14ac:dyDescent="0.25">
      <c r="A6110" s="8"/>
      <c r="C6110" s="5"/>
      <c r="M6110" s="9"/>
    </row>
    <row r="6111" spans="1:13" x14ac:dyDescent="0.25">
      <c r="A6111" s="8"/>
      <c r="C6111" s="5"/>
      <c r="M6111" s="9"/>
    </row>
    <row r="6112" spans="1:13" x14ac:dyDescent="0.25">
      <c r="A6112" s="8"/>
      <c r="C6112" s="5"/>
      <c r="M6112" s="9"/>
    </row>
    <row r="6113" spans="1:13" x14ac:dyDescent="0.25">
      <c r="A6113" s="8"/>
      <c r="C6113" s="5"/>
      <c r="M6113" s="9"/>
    </row>
    <row r="6114" spans="1:13" x14ac:dyDescent="0.25">
      <c r="A6114" s="8"/>
      <c r="C6114" s="5"/>
      <c r="M6114" s="9"/>
    </row>
    <row r="6115" spans="1:13" x14ac:dyDescent="0.25">
      <c r="A6115" s="8"/>
      <c r="C6115" s="5"/>
      <c r="M6115" s="9"/>
    </row>
    <row r="6116" spans="1:13" x14ac:dyDescent="0.25">
      <c r="A6116" s="8"/>
      <c r="C6116" s="5"/>
      <c r="M6116" s="9"/>
    </row>
    <row r="6117" spans="1:13" x14ac:dyDescent="0.25">
      <c r="A6117" s="8"/>
      <c r="C6117" s="5"/>
      <c r="M6117" s="9"/>
    </row>
    <row r="6118" spans="1:13" x14ac:dyDescent="0.25">
      <c r="A6118" s="8"/>
      <c r="C6118" s="5"/>
      <c r="M6118" s="9"/>
    </row>
    <row r="6119" spans="1:13" x14ac:dyDescent="0.25">
      <c r="A6119" s="8"/>
      <c r="C6119" s="5"/>
      <c r="M6119" s="9"/>
    </row>
    <row r="6120" spans="1:13" x14ac:dyDescent="0.25">
      <c r="A6120" s="8"/>
      <c r="C6120" s="5"/>
      <c r="M6120" s="9"/>
    </row>
    <row r="6121" spans="1:13" x14ac:dyDescent="0.25">
      <c r="A6121" s="8"/>
      <c r="C6121" s="5"/>
      <c r="M6121" s="9"/>
    </row>
    <row r="6122" spans="1:13" x14ac:dyDescent="0.25">
      <c r="A6122" s="8"/>
      <c r="C6122" s="5"/>
      <c r="M6122" s="9"/>
    </row>
    <row r="6123" spans="1:13" x14ac:dyDescent="0.25">
      <c r="A6123" s="8"/>
      <c r="C6123" s="5"/>
      <c r="M6123" s="9"/>
    </row>
    <row r="6124" spans="1:13" x14ac:dyDescent="0.25">
      <c r="A6124" s="8"/>
      <c r="C6124" s="5"/>
      <c r="M6124" s="9"/>
    </row>
    <row r="6125" spans="1:13" x14ac:dyDescent="0.25">
      <c r="A6125" s="8"/>
      <c r="C6125" s="5"/>
      <c r="M6125" s="9"/>
    </row>
    <row r="6126" spans="1:13" x14ac:dyDescent="0.25">
      <c r="A6126" s="8"/>
      <c r="C6126" s="5"/>
      <c r="M6126" s="9"/>
    </row>
    <row r="6127" spans="1:13" x14ac:dyDescent="0.25">
      <c r="A6127" s="8"/>
      <c r="C6127" s="5"/>
      <c r="M6127" s="9"/>
    </row>
    <row r="6128" spans="1:13" x14ac:dyDescent="0.25">
      <c r="A6128" s="8"/>
      <c r="C6128" s="5"/>
      <c r="M6128" s="9"/>
    </row>
    <row r="6129" spans="1:13" x14ac:dyDescent="0.25">
      <c r="A6129" s="8"/>
      <c r="C6129" s="5"/>
      <c r="M6129" s="9"/>
    </row>
    <row r="6130" spans="1:13" x14ac:dyDescent="0.25">
      <c r="A6130" s="8"/>
      <c r="C6130" s="5"/>
      <c r="M6130" s="9"/>
    </row>
    <row r="6131" spans="1:13" x14ac:dyDescent="0.25">
      <c r="A6131" s="8"/>
      <c r="C6131" s="5"/>
      <c r="M6131" s="9"/>
    </row>
    <row r="6132" spans="1:13" x14ac:dyDescent="0.25">
      <c r="A6132" s="8"/>
      <c r="C6132" s="5"/>
      <c r="M6132" s="9"/>
    </row>
    <row r="6133" spans="1:13" x14ac:dyDescent="0.25">
      <c r="A6133" s="8"/>
      <c r="C6133" s="5"/>
      <c r="M6133" s="9"/>
    </row>
    <row r="6134" spans="1:13" x14ac:dyDescent="0.25">
      <c r="A6134" s="8"/>
      <c r="C6134" s="5"/>
      <c r="M6134" s="9"/>
    </row>
    <row r="6135" spans="1:13" x14ac:dyDescent="0.25">
      <c r="A6135" s="8"/>
      <c r="C6135" s="5"/>
      <c r="M6135" s="9"/>
    </row>
    <row r="6136" spans="1:13" x14ac:dyDescent="0.25">
      <c r="A6136" s="8"/>
      <c r="C6136" s="5"/>
      <c r="M6136" s="9"/>
    </row>
    <row r="6137" spans="1:13" x14ac:dyDescent="0.25">
      <c r="A6137" s="8"/>
      <c r="C6137" s="5"/>
      <c r="M6137" s="9"/>
    </row>
    <row r="6138" spans="1:13" x14ac:dyDescent="0.25">
      <c r="A6138" s="8"/>
      <c r="C6138" s="5"/>
      <c r="M6138" s="9"/>
    </row>
    <row r="6139" spans="1:13" x14ac:dyDescent="0.25">
      <c r="A6139" s="8"/>
      <c r="C6139" s="5"/>
      <c r="M6139" s="9"/>
    </row>
    <row r="6140" spans="1:13" x14ac:dyDescent="0.25">
      <c r="A6140" s="8"/>
      <c r="C6140" s="5"/>
      <c r="M6140" s="9"/>
    </row>
    <row r="6141" spans="1:13" x14ac:dyDescent="0.25">
      <c r="A6141" s="8"/>
      <c r="C6141" s="5"/>
      <c r="M6141" s="9"/>
    </row>
    <row r="6142" spans="1:13" x14ac:dyDescent="0.25">
      <c r="A6142" s="8"/>
      <c r="C6142" s="5"/>
      <c r="M6142" s="9"/>
    </row>
    <row r="6143" spans="1:13" x14ac:dyDescent="0.25">
      <c r="A6143" s="8"/>
      <c r="C6143" s="5"/>
      <c r="M6143" s="9"/>
    </row>
    <row r="6144" spans="1:13" x14ac:dyDescent="0.25">
      <c r="A6144" s="8"/>
      <c r="C6144" s="5"/>
      <c r="M6144" s="9"/>
    </row>
    <row r="6145" spans="1:13" x14ac:dyDescent="0.25">
      <c r="A6145" s="8"/>
      <c r="C6145" s="5"/>
      <c r="M6145" s="9"/>
    </row>
    <row r="6146" spans="1:13" x14ac:dyDescent="0.25">
      <c r="A6146" s="8"/>
      <c r="C6146" s="5"/>
      <c r="M6146" s="9"/>
    </row>
    <row r="6147" spans="1:13" x14ac:dyDescent="0.25">
      <c r="A6147" s="8"/>
      <c r="C6147" s="5"/>
      <c r="M6147" s="9"/>
    </row>
    <row r="6148" spans="1:13" x14ac:dyDescent="0.25">
      <c r="A6148" s="8"/>
      <c r="C6148" s="5"/>
      <c r="M6148" s="9"/>
    </row>
    <row r="6149" spans="1:13" x14ac:dyDescent="0.25">
      <c r="A6149" s="8"/>
      <c r="C6149" s="5"/>
      <c r="M6149" s="9"/>
    </row>
    <row r="6150" spans="1:13" x14ac:dyDescent="0.25">
      <c r="A6150" s="8"/>
      <c r="C6150" s="5"/>
      <c r="M6150" s="9"/>
    </row>
    <row r="6151" spans="1:13" x14ac:dyDescent="0.25">
      <c r="A6151" s="8"/>
      <c r="C6151" s="5"/>
      <c r="M6151" s="9"/>
    </row>
    <row r="6152" spans="1:13" x14ac:dyDescent="0.25">
      <c r="A6152" s="8"/>
      <c r="C6152" s="5"/>
      <c r="M6152" s="9"/>
    </row>
    <row r="6153" spans="1:13" x14ac:dyDescent="0.25">
      <c r="A6153" s="8"/>
      <c r="C6153" s="5"/>
      <c r="M6153" s="9"/>
    </row>
    <row r="6154" spans="1:13" x14ac:dyDescent="0.25">
      <c r="A6154" s="8"/>
      <c r="C6154" s="5"/>
      <c r="M6154" s="9"/>
    </row>
    <row r="6155" spans="1:13" x14ac:dyDescent="0.25">
      <c r="A6155" s="8"/>
      <c r="C6155" s="5"/>
      <c r="M6155" s="9"/>
    </row>
    <row r="6156" spans="1:13" x14ac:dyDescent="0.25">
      <c r="A6156" s="8"/>
      <c r="C6156" s="5"/>
      <c r="M6156" s="9"/>
    </row>
    <row r="6157" spans="1:13" x14ac:dyDescent="0.25">
      <c r="A6157" s="8"/>
      <c r="C6157" s="5"/>
      <c r="M6157" s="9"/>
    </row>
    <row r="6158" spans="1:13" x14ac:dyDescent="0.25">
      <c r="A6158" s="8"/>
      <c r="C6158" s="5"/>
      <c r="M6158" s="9"/>
    </row>
    <row r="6159" spans="1:13" x14ac:dyDescent="0.25">
      <c r="A6159" s="8"/>
      <c r="C6159" s="5"/>
      <c r="M6159" s="9"/>
    </row>
    <row r="6160" spans="1:13" x14ac:dyDescent="0.25">
      <c r="A6160" s="8"/>
      <c r="C6160" s="5"/>
      <c r="M6160" s="9"/>
    </row>
    <row r="6161" spans="1:13" x14ac:dyDescent="0.25">
      <c r="A6161" s="8"/>
      <c r="C6161" s="5"/>
      <c r="M6161" s="9"/>
    </row>
    <row r="6162" spans="1:13" x14ac:dyDescent="0.25">
      <c r="A6162" s="8"/>
      <c r="C6162" s="5"/>
      <c r="M6162" s="9"/>
    </row>
    <row r="6163" spans="1:13" x14ac:dyDescent="0.25">
      <c r="A6163" s="8"/>
      <c r="C6163" s="5"/>
      <c r="M6163" s="9"/>
    </row>
    <row r="6164" spans="1:13" x14ac:dyDescent="0.25">
      <c r="A6164" s="8"/>
      <c r="C6164" s="5"/>
      <c r="M6164" s="9"/>
    </row>
    <row r="6165" spans="1:13" x14ac:dyDescent="0.25">
      <c r="A6165" s="8"/>
      <c r="C6165" s="5"/>
      <c r="M6165" s="9"/>
    </row>
    <row r="6166" spans="1:13" x14ac:dyDescent="0.25">
      <c r="A6166" s="8"/>
      <c r="C6166" s="5"/>
      <c r="M6166" s="9"/>
    </row>
    <row r="6167" spans="1:13" x14ac:dyDescent="0.25">
      <c r="A6167" s="8"/>
      <c r="C6167" s="5"/>
      <c r="M6167" s="9"/>
    </row>
    <row r="6168" spans="1:13" x14ac:dyDescent="0.25">
      <c r="A6168" s="8"/>
      <c r="C6168" s="5"/>
      <c r="M6168" s="9"/>
    </row>
    <row r="6169" spans="1:13" x14ac:dyDescent="0.25">
      <c r="A6169" s="8"/>
      <c r="C6169" s="5"/>
      <c r="M6169" s="9"/>
    </row>
    <row r="6170" spans="1:13" x14ac:dyDescent="0.25">
      <c r="A6170" s="8"/>
      <c r="C6170" s="5"/>
      <c r="M6170" s="9"/>
    </row>
    <row r="6171" spans="1:13" x14ac:dyDescent="0.25">
      <c r="A6171" s="8"/>
      <c r="C6171" s="5"/>
      <c r="M6171" s="9"/>
    </row>
    <row r="6172" spans="1:13" x14ac:dyDescent="0.25">
      <c r="A6172" s="8"/>
      <c r="C6172" s="5"/>
      <c r="M6172" s="9"/>
    </row>
    <row r="6173" spans="1:13" x14ac:dyDescent="0.25">
      <c r="A6173" s="8"/>
      <c r="C6173" s="5"/>
      <c r="M6173" s="9"/>
    </row>
    <row r="6174" spans="1:13" x14ac:dyDescent="0.25">
      <c r="A6174" s="8"/>
      <c r="C6174" s="5"/>
      <c r="M6174" s="9"/>
    </row>
    <row r="6175" spans="1:13" x14ac:dyDescent="0.25">
      <c r="A6175" s="8"/>
      <c r="C6175" s="5"/>
      <c r="M6175" s="9"/>
    </row>
    <row r="6176" spans="1:13" x14ac:dyDescent="0.25">
      <c r="A6176" s="8"/>
      <c r="C6176" s="5"/>
      <c r="M6176" s="9"/>
    </row>
    <row r="6177" spans="1:13" x14ac:dyDescent="0.25">
      <c r="A6177" s="8"/>
      <c r="C6177" s="5"/>
      <c r="M6177" s="9"/>
    </row>
    <row r="6178" spans="1:13" x14ac:dyDescent="0.25">
      <c r="A6178" s="8"/>
      <c r="C6178" s="5"/>
      <c r="M6178" s="9"/>
    </row>
    <row r="6179" spans="1:13" x14ac:dyDescent="0.25">
      <c r="A6179" s="8"/>
      <c r="C6179" s="5"/>
      <c r="M6179" s="9"/>
    </row>
    <row r="6180" spans="1:13" x14ac:dyDescent="0.25">
      <c r="A6180" s="8"/>
      <c r="C6180" s="5"/>
      <c r="M6180" s="9"/>
    </row>
    <row r="6181" spans="1:13" x14ac:dyDescent="0.25">
      <c r="A6181" s="8"/>
      <c r="C6181" s="5"/>
      <c r="M6181" s="9"/>
    </row>
    <row r="6182" spans="1:13" x14ac:dyDescent="0.25">
      <c r="A6182" s="8"/>
      <c r="C6182" s="5"/>
      <c r="M6182" s="9"/>
    </row>
    <row r="6183" spans="1:13" x14ac:dyDescent="0.25">
      <c r="A6183" s="8"/>
      <c r="C6183" s="5"/>
      <c r="M6183" s="9"/>
    </row>
    <row r="6184" spans="1:13" x14ac:dyDescent="0.25">
      <c r="A6184" s="8"/>
      <c r="C6184" s="5"/>
      <c r="M6184" s="9"/>
    </row>
    <row r="6185" spans="1:13" x14ac:dyDescent="0.25">
      <c r="A6185" s="8"/>
      <c r="C6185" s="5"/>
      <c r="M6185" s="9"/>
    </row>
    <row r="6186" spans="1:13" x14ac:dyDescent="0.25">
      <c r="A6186" s="8"/>
      <c r="C6186" s="5"/>
      <c r="M6186" s="9"/>
    </row>
    <row r="6187" spans="1:13" x14ac:dyDescent="0.25">
      <c r="A6187" s="8"/>
      <c r="C6187" s="5"/>
      <c r="M6187" s="9"/>
    </row>
    <row r="6188" spans="1:13" x14ac:dyDescent="0.25">
      <c r="A6188" s="8"/>
      <c r="C6188" s="5"/>
      <c r="M6188" s="9"/>
    </row>
    <row r="6189" spans="1:13" x14ac:dyDescent="0.25">
      <c r="A6189" s="8"/>
      <c r="C6189" s="5"/>
      <c r="M6189" s="9"/>
    </row>
    <row r="6190" spans="1:13" x14ac:dyDescent="0.25">
      <c r="A6190" s="8"/>
      <c r="C6190" s="5"/>
      <c r="M6190" s="9"/>
    </row>
    <row r="6191" spans="1:13" x14ac:dyDescent="0.25">
      <c r="A6191" s="8"/>
      <c r="C6191" s="5"/>
      <c r="M6191" s="9"/>
    </row>
    <row r="6192" spans="1:13" x14ac:dyDescent="0.25">
      <c r="A6192" s="8"/>
      <c r="C6192" s="5"/>
      <c r="M6192" s="9"/>
    </row>
    <row r="6193" spans="1:13" x14ac:dyDescent="0.25">
      <c r="A6193" s="8"/>
      <c r="C6193" s="5"/>
      <c r="M6193" s="9"/>
    </row>
    <row r="6194" spans="1:13" x14ac:dyDescent="0.25">
      <c r="A6194" s="8"/>
      <c r="C6194" s="5"/>
      <c r="M6194" s="9"/>
    </row>
    <row r="6195" spans="1:13" x14ac:dyDescent="0.25">
      <c r="A6195" s="8"/>
      <c r="C6195" s="5"/>
      <c r="M6195" s="9"/>
    </row>
    <row r="6196" spans="1:13" x14ac:dyDescent="0.25">
      <c r="A6196" s="8"/>
      <c r="C6196" s="5"/>
      <c r="M6196" s="9"/>
    </row>
    <row r="6197" spans="1:13" x14ac:dyDescent="0.25">
      <c r="A6197" s="8"/>
      <c r="C6197" s="5"/>
      <c r="M6197" s="9"/>
    </row>
    <row r="6198" spans="1:13" x14ac:dyDescent="0.25">
      <c r="A6198" s="8"/>
      <c r="C6198" s="5"/>
      <c r="M6198" s="9"/>
    </row>
    <row r="6199" spans="1:13" x14ac:dyDescent="0.25">
      <c r="A6199" s="8"/>
      <c r="C6199" s="5"/>
      <c r="M6199" s="9"/>
    </row>
    <row r="6200" spans="1:13" x14ac:dyDescent="0.25">
      <c r="A6200" s="8"/>
      <c r="C6200" s="5"/>
      <c r="M6200" s="9"/>
    </row>
    <row r="6201" spans="1:13" x14ac:dyDescent="0.25">
      <c r="A6201" s="8"/>
      <c r="C6201" s="5"/>
      <c r="M6201" s="9"/>
    </row>
    <row r="6202" spans="1:13" x14ac:dyDescent="0.25">
      <c r="A6202" s="8"/>
      <c r="C6202" s="5"/>
      <c r="M6202" s="9"/>
    </row>
    <row r="6203" spans="1:13" x14ac:dyDescent="0.25">
      <c r="A6203" s="8"/>
      <c r="C6203" s="5"/>
      <c r="M6203" s="9"/>
    </row>
    <row r="6204" spans="1:13" x14ac:dyDescent="0.25">
      <c r="A6204" s="8"/>
      <c r="C6204" s="5"/>
      <c r="M6204" s="9"/>
    </row>
    <row r="6205" spans="1:13" x14ac:dyDescent="0.25">
      <c r="A6205" s="8"/>
      <c r="C6205" s="5"/>
      <c r="M6205" s="9"/>
    </row>
    <row r="6206" spans="1:13" x14ac:dyDescent="0.25">
      <c r="A6206" s="8"/>
      <c r="C6206" s="5"/>
      <c r="M6206" s="9"/>
    </row>
    <row r="6207" spans="1:13" x14ac:dyDescent="0.25">
      <c r="A6207" s="8"/>
      <c r="C6207" s="5"/>
      <c r="M6207" s="9"/>
    </row>
    <row r="6208" spans="1:13" x14ac:dyDescent="0.25">
      <c r="A6208" s="8"/>
      <c r="C6208" s="5"/>
      <c r="M6208" s="9"/>
    </row>
    <row r="6209" spans="1:13" x14ac:dyDescent="0.25">
      <c r="A6209" s="8"/>
      <c r="C6209" s="5"/>
      <c r="M6209" s="9"/>
    </row>
    <row r="6210" spans="1:13" x14ac:dyDescent="0.25">
      <c r="A6210" s="8"/>
      <c r="C6210" s="5"/>
      <c r="M6210" s="9"/>
    </row>
    <row r="6211" spans="1:13" x14ac:dyDescent="0.25">
      <c r="A6211" s="8"/>
      <c r="C6211" s="5"/>
      <c r="M6211" s="9"/>
    </row>
    <row r="6212" spans="1:13" x14ac:dyDescent="0.25">
      <c r="A6212" s="8"/>
      <c r="C6212" s="5"/>
      <c r="M6212" s="9"/>
    </row>
    <row r="6213" spans="1:13" x14ac:dyDescent="0.25">
      <c r="A6213" s="8"/>
      <c r="C6213" s="5"/>
      <c r="M6213" s="9"/>
    </row>
    <row r="6214" spans="1:13" x14ac:dyDescent="0.25">
      <c r="A6214" s="8"/>
      <c r="C6214" s="5"/>
      <c r="M6214" s="9"/>
    </row>
    <row r="6215" spans="1:13" x14ac:dyDescent="0.25">
      <c r="A6215" s="8"/>
      <c r="C6215" s="5"/>
      <c r="M6215" s="9"/>
    </row>
    <row r="6216" spans="1:13" x14ac:dyDescent="0.25">
      <c r="A6216" s="8"/>
      <c r="C6216" s="5"/>
      <c r="M6216" s="9"/>
    </row>
    <row r="6217" spans="1:13" x14ac:dyDescent="0.25">
      <c r="A6217" s="8"/>
      <c r="C6217" s="5"/>
      <c r="M6217" s="9"/>
    </row>
    <row r="6218" spans="1:13" x14ac:dyDescent="0.25">
      <c r="A6218" s="8"/>
      <c r="C6218" s="5"/>
      <c r="M6218" s="9"/>
    </row>
    <row r="6219" spans="1:13" x14ac:dyDescent="0.25">
      <c r="A6219" s="8"/>
      <c r="C6219" s="5"/>
      <c r="M6219" s="9"/>
    </row>
    <row r="6220" spans="1:13" x14ac:dyDescent="0.25">
      <c r="A6220" s="8"/>
      <c r="C6220" s="5"/>
      <c r="M6220" s="9"/>
    </row>
    <row r="6221" spans="1:13" x14ac:dyDescent="0.25">
      <c r="A6221" s="8"/>
      <c r="C6221" s="5"/>
      <c r="M6221" s="9"/>
    </row>
    <row r="6222" spans="1:13" x14ac:dyDescent="0.25">
      <c r="A6222" s="8"/>
      <c r="C6222" s="5"/>
      <c r="M6222" s="9"/>
    </row>
    <row r="6223" spans="1:13" x14ac:dyDescent="0.25">
      <c r="A6223" s="8"/>
      <c r="C6223" s="5"/>
      <c r="M6223" s="9"/>
    </row>
    <row r="6224" spans="1:13" x14ac:dyDescent="0.25">
      <c r="A6224" s="8"/>
      <c r="C6224" s="5"/>
      <c r="M6224" s="9"/>
    </row>
    <row r="6225" spans="1:13" x14ac:dyDescent="0.25">
      <c r="A6225" s="8"/>
      <c r="C6225" s="5"/>
      <c r="M6225" s="9"/>
    </row>
    <row r="6226" spans="1:13" x14ac:dyDescent="0.25">
      <c r="A6226" s="8"/>
      <c r="C6226" s="5"/>
      <c r="M6226" s="9"/>
    </row>
    <row r="6227" spans="1:13" x14ac:dyDescent="0.25">
      <c r="A6227" s="8"/>
      <c r="C6227" s="5"/>
      <c r="M6227" s="9"/>
    </row>
    <row r="6228" spans="1:13" x14ac:dyDescent="0.25">
      <c r="A6228" s="8"/>
      <c r="C6228" s="5"/>
      <c r="M6228" s="9"/>
    </row>
    <row r="6229" spans="1:13" x14ac:dyDescent="0.25">
      <c r="A6229" s="8"/>
      <c r="C6229" s="5"/>
      <c r="M6229" s="9"/>
    </row>
    <row r="6230" spans="1:13" x14ac:dyDescent="0.25">
      <c r="A6230" s="8"/>
      <c r="C6230" s="5"/>
      <c r="M6230" s="9"/>
    </row>
    <row r="6231" spans="1:13" x14ac:dyDescent="0.25">
      <c r="A6231" s="8"/>
      <c r="C6231" s="5"/>
      <c r="M6231" s="9"/>
    </row>
    <row r="6232" spans="1:13" x14ac:dyDescent="0.25">
      <c r="A6232" s="8"/>
      <c r="C6232" s="5"/>
      <c r="M6232" s="9"/>
    </row>
    <row r="6233" spans="1:13" x14ac:dyDescent="0.25">
      <c r="A6233" s="8"/>
      <c r="C6233" s="5"/>
      <c r="M6233" s="9"/>
    </row>
    <row r="6234" spans="1:13" x14ac:dyDescent="0.25">
      <c r="A6234" s="8"/>
      <c r="C6234" s="5"/>
      <c r="M6234" s="9"/>
    </row>
    <row r="6235" spans="1:13" x14ac:dyDescent="0.25">
      <c r="A6235" s="8"/>
      <c r="C6235" s="5"/>
      <c r="M6235" s="9"/>
    </row>
    <row r="6236" spans="1:13" x14ac:dyDescent="0.25">
      <c r="A6236" s="8"/>
      <c r="C6236" s="5"/>
      <c r="M6236" s="9"/>
    </row>
    <row r="6237" spans="1:13" x14ac:dyDescent="0.25">
      <c r="A6237" s="8"/>
      <c r="C6237" s="5"/>
      <c r="M6237" s="9"/>
    </row>
    <row r="6238" spans="1:13" x14ac:dyDescent="0.25">
      <c r="A6238" s="8"/>
      <c r="C6238" s="5"/>
      <c r="M6238" s="9"/>
    </row>
    <row r="6239" spans="1:13" x14ac:dyDescent="0.25">
      <c r="A6239" s="8"/>
      <c r="C6239" s="5"/>
      <c r="M6239" s="9"/>
    </row>
    <row r="6240" spans="1:13" x14ac:dyDescent="0.25">
      <c r="A6240" s="8"/>
      <c r="C6240" s="5"/>
      <c r="M6240" s="9"/>
    </row>
    <row r="6241" spans="1:13" x14ac:dyDescent="0.25">
      <c r="A6241" s="8"/>
      <c r="C6241" s="5"/>
      <c r="M6241" s="9"/>
    </row>
    <row r="6242" spans="1:13" x14ac:dyDescent="0.25">
      <c r="A6242" s="8"/>
      <c r="C6242" s="5"/>
      <c r="M6242" s="9"/>
    </row>
    <row r="6243" spans="1:13" x14ac:dyDescent="0.25">
      <c r="A6243" s="8"/>
      <c r="C6243" s="5"/>
      <c r="M6243" s="9"/>
    </row>
    <row r="6244" spans="1:13" x14ac:dyDescent="0.25">
      <c r="A6244" s="8"/>
      <c r="C6244" s="5"/>
      <c r="M6244" s="9"/>
    </row>
    <row r="6245" spans="1:13" x14ac:dyDescent="0.25">
      <c r="A6245" s="8"/>
      <c r="C6245" s="5"/>
      <c r="M6245" s="9"/>
    </row>
    <row r="6246" spans="1:13" x14ac:dyDescent="0.25">
      <c r="A6246" s="8"/>
      <c r="C6246" s="5"/>
      <c r="M6246" s="9"/>
    </row>
    <row r="6247" spans="1:13" x14ac:dyDescent="0.25">
      <c r="A6247" s="8"/>
      <c r="C6247" s="5"/>
      <c r="M6247" s="9"/>
    </row>
    <row r="6248" spans="1:13" x14ac:dyDescent="0.25">
      <c r="A6248" s="8"/>
      <c r="C6248" s="5"/>
      <c r="M6248" s="9"/>
    </row>
    <row r="6249" spans="1:13" x14ac:dyDescent="0.25">
      <c r="A6249" s="8"/>
      <c r="C6249" s="5"/>
      <c r="M6249" s="9"/>
    </row>
    <row r="6250" spans="1:13" x14ac:dyDescent="0.25">
      <c r="A6250" s="8"/>
      <c r="C6250" s="5"/>
      <c r="M6250" s="9"/>
    </row>
    <row r="6251" spans="1:13" x14ac:dyDescent="0.25">
      <c r="A6251" s="8"/>
      <c r="C6251" s="5"/>
      <c r="M6251" s="9"/>
    </row>
    <row r="6252" spans="1:13" x14ac:dyDescent="0.25">
      <c r="A6252" s="8"/>
      <c r="C6252" s="5"/>
      <c r="M6252" s="9"/>
    </row>
    <row r="6253" spans="1:13" x14ac:dyDescent="0.25">
      <c r="A6253" s="8"/>
      <c r="C6253" s="5"/>
      <c r="M6253" s="9"/>
    </row>
    <row r="6254" spans="1:13" x14ac:dyDescent="0.25">
      <c r="A6254" s="8"/>
      <c r="C6254" s="5"/>
      <c r="M6254" s="9"/>
    </row>
    <row r="6255" spans="1:13" x14ac:dyDescent="0.25">
      <c r="A6255" s="8"/>
      <c r="C6255" s="5"/>
      <c r="M6255" s="9"/>
    </row>
    <row r="6256" spans="1:13" x14ac:dyDescent="0.25">
      <c r="A6256" s="8"/>
      <c r="C6256" s="5"/>
      <c r="M6256" s="9"/>
    </row>
    <row r="6257" spans="1:13" x14ac:dyDescent="0.25">
      <c r="A6257" s="8"/>
      <c r="C6257" s="5"/>
      <c r="M6257" s="9"/>
    </row>
    <row r="6258" spans="1:13" x14ac:dyDescent="0.25">
      <c r="A6258" s="8"/>
      <c r="C6258" s="5"/>
      <c r="M6258" s="9"/>
    </row>
    <row r="6259" spans="1:13" x14ac:dyDescent="0.25">
      <c r="A6259" s="8"/>
      <c r="C6259" s="5"/>
      <c r="M6259" s="9"/>
    </row>
    <row r="6260" spans="1:13" x14ac:dyDescent="0.25">
      <c r="A6260" s="8"/>
      <c r="C6260" s="5"/>
      <c r="M6260" s="9"/>
    </row>
    <row r="6261" spans="1:13" x14ac:dyDescent="0.25">
      <c r="A6261" s="8"/>
      <c r="C6261" s="5"/>
      <c r="M6261" s="9"/>
    </row>
    <row r="6262" spans="1:13" x14ac:dyDescent="0.25">
      <c r="A6262" s="8"/>
      <c r="C6262" s="5"/>
      <c r="M6262" s="9"/>
    </row>
    <row r="6263" spans="1:13" x14ac:dyDescent="0.25">
      <c r="A6263" s="8"/>
      <c r="C6263" s="5"/>
      <c r="M6263" s="9"/>
    </row>
    <row r="6264" spans="1:13" x14ac:dyDescent="0.25">
      <c r="A6264" s="8"/>
      <c r="C6264" s="5"/>
      <c r="M6264" s="9"/>
    </row>
    <row r="6265" spans="1:13" x14ac:dyDescent="0.25">
      <c r="A6265" s="8"/>
      <c r="C6265" s="5"/>
      <c r="M6265" s="9"/>
    </row>
    <row r="6266" spans="1:13" x14ac:dyDescent="0.25">
      <c r="A6266" s="8"/>
      <c r="C6266" s="5"/>
      <c r="M6266" s="9"/>
    </row>
    <row r="6267" spans="1:13" x14ac:dyDescent="0.25">
      <c r="A6267" s="8"/>
      <c r="C6267" s="5"/>
      <c r="M6267" s="9"/>
    </row>
    <row r="6268" spans="1:13" x14ac:dyDescent="0.25">
      <c r="A6268" s="8"/>
      <c r="C6268" s="5"/>
      <c r="M6268" s="9"/>
    </row>
    <row r="6269" spans="1:13" x14ac:dyDescent="0.25">
      <c r="A6269" s="8"/>
      <c r="C6269" s="5"/>
      <c r="M6269" s="9"/>
    </row>
    <row r="6270" spans="1:13" x14ac:dyDescent="0.25">
      <c r="A6270" s="8"/>
      <c r="C6270" s="5"/>
      <c r="M6270" s="9"/>
    </row>
    <row r="6271" spans="1:13" x14ac:dyDescent="0.25">
      <c r="A6271" s="8"/>
      <c r="C6271" s="5"/>
      <c r="M6271" s="9"/>
    </row>
    <row r="6272" spans="1:13" x14ac:dyDescent="0.25">
      <c r="A6272" s="8"/>
      <c r="C6272" s="5"/>
      <c r="M6272" s="9"/>
    </row>
    <row r="6273" spans="1:13" x14ac:dyDescent="0.25">
      <c r="A6273" s="8"/>
      <c r="C6273" s="5"/>
      <c r="M6273" s="9"/>
    </row>
    <row r="6274" spans="1:13" x14ac:dyDescent="0.25">
      <c r="A6274" s="8"/>
      <c r="C6274" s="5"/>
      <c r="M6274" s="9"/>
    </row>
    <row r="6275" spans="1:13" x14ac:dyDescent="0.25">
      <c r="A6275" s="8"/>
      <c r="C6275" s="5"/>
      <c r="M6275" s="9"/>
    </row>
    <row r="6276" spans="1:13" x14ac:dyDescent="0.25">
      <c r="A6276" s="8"/>
      <c r="C6276" s="5"/>
      <c r="M6276" s="9"/>
    </row>
    <row r="6277" spans="1:13" x14ac:dyDescent="0.25">
      <c r="A6277" s="8"/>
      <c r="C6277" s="5"/>
      <c r="M6277" s="9"/>
    </row>
    <row r="6278" spans="1:13" x14ac:dyDescent="0.25">
      <c r="A6278" s="8"/>
      <c r="C6278" s="5"/>
      <c r="M6278" s="9"/>
    </row>
    <row r="6279" spans="1:13" x14ac:dyDescent="0.25">
      <c r="A6279" s="8"/>
      <c r="C6279" s="5"/>
      <c r="M6279" s="9"/>
    </row>
    <row r="6280" spans="1:13" x14ac:dyDescent="0.25">
      <c r="A6280" s="8"/>
      <c r="C6280" s="5"/>
      <c r="M6280" s="9"/>
    </row>
    <row r="6281" spans="1:13" x14ac:dyDescent="0.25">
      <c r="A6281" s="8"/>
      <c r="C6281" s="5"/>
      <c r="M6281" s="9"/>
    </row>
    <row r="6282" spans="1:13" x14ac:dyDescent="0.25">
      <c r="A6282" s="8"/>
      <c r="C6282" s="5"/>
      <c r="M6282" s="9"/>
    </row>
    <row r="6283" spans="1:13" x14ac:dyDescent="0.25">
      <c r="A6283" s="8"/>
      <c r="C6283" s="5"/>
      <c r="M6283" s="9"/>
    </row>
    <row r="6284" spans="1:13" x14ac:dyDescent="0.25">
      <c r="A6284" s="8"/>
      <c r="C6284" s="5"/>
      <c r="M6284" s="9"/>
    </row>
    <row r="6285" spans="1:13" x14ac:dyDescent="0.25">
      <c r="A6285" s="8"/>
      <c r="C6285" s="5"/>
      <c r="M6285" s="9"/>
    </row>
    <row r="6286" spans="1:13" x14ac:dyDescent="0.25">
      <c r="A6286" s="8"/>
      <c r="C6286" s="5"/>
      <c r="M6286" s="9"/>
    </row>
    <row r="6287" spans="1:13" x14ac:dyDescent="0.25">
      <c r="A6287" s="8"/>
      <c r="C6287" s="5"/>
      <c r="M6287" s="9"/>
    </row>
    <row r="6288" spans="1:13" x14ac:dyDescent="0.25">
      <c r="A6288" s="8"/>
      <c r="C6288" s="5"/>
      <c r="M6288" s="9"/>
    </row>
    <row r="6289" spans="1:13" x14ac:dyDescent="0.25">
      <c r="A6289" s="8"/>
      <c r="C6289" s="5"/>
      <c r="M6289" s="9"/>
    </row>
    <row r="6290" spans="1:13" x14ac:dyDescent="0.25">
      <c r="A6290" s="8"/>
      <c r="C6290" s="5"/>
      <c r="M6290" s="9"/>
    </row>
    <row r="6291" spans="1:13" x14ac:dyDescent="0.25">
      <c r="A6291" s="8"/>
      <c r="C6291" s="5"/>
      <c r="M6291" s="9"/>
    </row>
    <row r="6292" spans="1:13" x14ac:dyDescent="0.25">
      <c r="A6292" s="8"/>
      <c r="C6292" s="5"/>
      <c r="M6292" s="9"/>
    </row>
    <row r="6293" spans="1:13" x14ac:dyDescent="0.25">
      <c r="A6293" s="8"/>
      <c r="C6293" s="5"/>
      <c r="M6293" s="9"/>
    </row>
    <row r="6294" spans="1:13" x14ac:dyDescent="0.25">
      <c r="A6294" s="8"/>
      <c r="C6294" s="5"/>
      <c r="M6294" s="9"/>
    </row>
    <row r="6295" spans="1:13" x14ac:dyDescent="0.25">
      <c r="A6295" s="8"/>
      <c r="C6295" s="5"/>
      <c r="M6295" s="9"/>
    </row>
    <row r="6296" spans="1:13" x14ac:dyDescent="0.25">
      <c r="A6296" s="8"/>
      <c r="C6296" s="5"/>
      <c r="M6296" s="9"/>
    </row>
    <row r="6297" spans="1:13" x14ac:dyDescent="0.25">
      <c r="A6297" s="8"/>
      <c r="C6297" s="5"/>
      <c r="M6297" s="9"/>
    </row>
    <row r="6298" spans="1:13" x14ac:dyDescent="0.25">
      <c r="A6298" s="8"/>
      <c r="C6298" s="5"/>
      <c r="M6298" s="9"/>
    </row>
    <row r="6299" spans="1:13" x14ac:dyDescent="0.25">
      <c r="A6299" s="8"/>
      <c r="C6299" s="5"/>
      <c r="M6299" s="9"/>
    </row>
    <row r="6300" spans="1:13" x14ac:dyDescent="0.25">
      <c r="A6300" s="8"/>
      <c r="C6300" s="5"/>
      <c r="M6300" s="9"/>
    </row>
    <row r="6301" spans="1:13" x14ac:dyDescent="0.25">
      <c r="A6301" s="8"/>
      <c r="C6301" s="5"/>
      <c r="M6301" s="9"/>
    </row>
    <row r="6302" spans="1:13" x14ac:dyDescent="0.25">
      <c r="A6302" s="8"/>
      <c r="C6302" s="5"/>
      <c r="M6302" s="9"/>
    </row>
    <row r="6303" spans="1:13" x14ac:dyDescent="0.25">
      <c r="A6303" s="8"/>
      <c r="C6303" s="5"/>
      <c r="M6303" s="9"/>
    </row>
    <row r="6304" spans="1:13" x14ac:dyDescent="0.25">
      <c r="A6304" s="8"/>
      <c r="C6304" s="5"/>
      <c r="M6304" s="9"/>
    </row>
    <row r="6305" spans="1:13" x14ac:dyDescent="0.25">
      <c r="A6305" s="8"/>
      <c r="C6305" s="5"/>
      <c r="M6305" s="9"/>
    </row>
    <row r="6306" spans="1:13" x14ac:dyDescent="0.25">
      <c r="A6306" s="8"/>
      <c r="C6306" s="5"/>
      <c r="M6306" s="9"/>
    </row>
    <row r="6307" spans="1:13" x14ac:dyDescent="0.25">
      <c r="A6307" s="8"/>
      <c r="C6307" s="5"/>
      <c r="M6307" s="9"/>
    </row>
    <row r="6308" spans="1:13" x14ac:dyDescent="0.25">
      <c r="A6308" s="8"/>
      <c r="C6308" s="5"/>
      <c r="M6308" s="9"/>
    </row>
    <row r="6309" spans="1:13" x14ac:dyDescent="0.25">
      <c r="A6309" s="8"/>
      <c r="C6309" s="5"/>
      <c r="M6309" s="9"/>
    </row>
    <row r="6310" spans="1:13" x14ac:dyDescent="0.25">
      <c r="A6310" s="8"/>
      <c r="C6310" s="5"/>
      <c r="M6310" s="9"/>
    </row>
    <row r="6311" spans="1:13" x14ac:dyDescent="0.25">
      <c r="A6311" s="8"/>
      <c r="C6311" s="5"/>
      <c r="M6311" s="9"/>
    </row>
    <row r="6312" spans="1:13" x14ac:dyDescent="0.25">
      <c r="A6312" s="8"/>
      <c r="C6312" s="5"/>
      <c r="M6312" s="9"/>
    </row>
    <row r="6313" spans="1:13" x14ac:dyDescent="0.25">
      <c r="A6313" s="8"/>
      <c r="C6313" s="5"/>
      <c r="M6313" s="9"/>
    </row>
    <row r="6314" spans="1:13" x14ac:dyDescent="0.25">
      <c r="A6314" s="8"/>
      <c r="C6314" s="5"/>
      <c r="M6314" s="9"/>
    </row>
    <row r="6315" spans="1:13" x14ac:dyDescent="0.25">
      <c r="A6315" s="8"/>
      <c r="C6315" s="5"/>
      <c r="M6315" s="9"/>
    </row>
    <row r="6316" spans="1:13" x14ac:dyDescent="0.25">
      <c r="A6316" s="8"/>
      <c r="C6316" s="5"/>
      <c r="M6316" s="9"/>
    </row>
    <row r="6317" spans="1:13" x14ac:dyDescent="0.25">
      <c r="A6317" s="8"/>
      <c r="C6317" s="5"/>
      <c r="M6317" s="9"/>
    </row>
    <row r="6318" spans="1:13" x14ac:dyDescent="0.25">
      <c r="A6318" s="8"/>
      <c r="C6318" s="5"/>
      <c r="M6318" s="9"/>
    </row>
    <row r="6319" spans="1:13" x14ac:dyDescent="0.25">
      <c r="A6319" s="8"/>
      <c r="C6319" s="5"/>
      <c r="M6319" s="9"/>
    </row>
    <row r="6320" spans="1:13" x14ac:dyDescent="0.25">
      <c r="A6320" s="8"/>
      <c r="C6320" s="5"/>
      <c r="M6320" s="9"/>
    </row>
    <row r="6321" spans="1:13" x14ac:dyDescent="0.25">
      <c r="A6321" s="8"/>
      <c r="C6321" s="5"/>
      <c r="M6321" s="9"/>
    </row>
    <row r="6322" spans="1:13" x14ac:dyDescent="0.25">
      <c r="A6322" s="8"/>
      <c r="C6322" s="5"/>
      <c r="M6322" s="9"/>
    </row>
    <row r="6323" spans="1:13" x14ac:dyDescent="0.25">
      <c r="A6323" s="8"/>
      <c r="C6323" s="5"/>
      <c r="M6323" s="9"/>
    </row>
    <row r="6324" spans="1:13" x14ac:dyDescent="0.25">
      <c r="A6324" s="8"/>
      <c r="C6324" s="5"/>
      <c r="M6324" s="9"/>
    </row>
    <row r="6325" spans="1:13" x14ac:dyDescent="0.25">
      <c r="A6325" s="8"/>
      <c r="C6325" s="5"/>
      <c r="M6325" s="9"/>
    </row>
    <row r="6326" spans="1:13" x14ac:dyDescent="0.25">
      <c r="A6326" s="8"/>
      <c r="C6326" s="5"/>
      <c r="M6326" s="9"/>
    </row>
    <row r="6327" spans="1:13" x14ac:dyDescent="0.25">
      <c r="A6327" s="8"/>
      <c r="C6327" s="5"/>
      <c r="M6327" s="9"/>
    </row>
    <row r="6328" spans="1:13" x14ac:dyDescent="0.25">
      <c r="A6328" s="8"/>
      <c r="C6328" s="5"/>
      <c r="M6328" s="9"/>
    </row>
    <row r="6329" spans="1:13" x14ac:dyDescent="0.25">
      <c r="A6329" s="8"/>
      <c r="C6329" s="5"/>
      <c r="M6329" s="9"/>
    </row>
    <row r="6330" spans="1:13" x14ac:dyDescent="0.25">
      <c r="A6330" s="8"/>
      <c r="C6330" s="5"/>
      <c r="M6330" s="9"/>
    </row>
    <row r="6331" spans="1:13" x14ac:dyDescent="0.25">
      <c r="A6331" s="8"/>
      <c r="C6331" s="5"/>
      <c r="M6331" s="9"/>
    </row>
    <row r="6332" spans="1:13" x14ac:dyDescent="0.25">
      <c r="A6332" s="8"/>
      <c r="C6332" s="5"/>
      <c r="M6332" s="9"/>
    </row>
    <row r="6333" spans="1:13" x14ac:dyDescent="0.25">
      <c r="A6333" s="8"/>
      <c r="C6333" s="5"/>
      <c r="M6333" s="9"/>
    </row>
    <row r="6334" spans="1:13" x14ac:dyDescent="0.25">
      <c r="A6334" s="8"/>
      <c r="C6334" s="5"/>
      <c r="M6334" s="9"/>
    </row>
    <row r="6335" spans="1:13" x14ac:dyDescent="0.25">
      <c r="A6335" s="8"/>
      <c r="C6335" s="5"/>
      <c r="M6335" s="9"/>
    </row>
    <row r="6336" spans="1:13" x14ac:dyDescent="0.25">
      <c r="A6336" s="8"/>
      <c r="C6336" s="5"/>
      <c r="M6336" s="9"/>
    </row>
    <row r="6337" spans="1:13" x14ac:dyDescent="0.25">
      <c r="A6337" s="8"/>
      <c r="C6337" s="5"/>
      <c r="M6337" s="9"/>
    </row>
    <row r="6338" spans="1:13" x14ac:dyDescent="0.25">
      <c r="A6338" s="8"/>
      <c r="C6338" s="5"/>
      <c r="M6338" s="9"/>
    </row>
    <row r="6339" spans="1:13" x14ac:dyDescent="0.25">
      <c r="A6339" s="8"/>
      <c r="C6339" s="5"/>
      <c r="M6339" s="9"/>
    </row>
    <row r="6340" spans="1:13" x14ac:dyDescent="0.25">
      <c r="A6340" s="8"/>
      <c r="C6340" s="5"/>
      <c r="M6340" s="9"/>
    </row>
    <row r="6341" spans="1:13" x14ac:dyDescent="0.25">
      <c r="A6341" s="8"/>
      <c r="C6341" s="5"/>
      <c r="M6341" s="9"/>
    </row>
    <row r="6342" spans="1:13" x14ac:dyDescent="0.25">
      <c r="A6342" s="8"/>
      <c r="C6342" s="5"/>
      <c r="M6342" s="9"/>
    </row>
    <row r="6343" spans="1:13" x14ac:dyDescent="0.25">
      <c r="A6343" s="8"/>
      <c r="C6343" s="5"/>
      <c r="M6343" s="9"/>
    </row>
    <row r="6344" spans="1:13" x14ac:dyDescent="0.25">
      <c r="A6344" s="8"/>
      <c r="C6344" s="5"/>
      <c r="M6344" s="9"/>
    </row>
    <row r="6345" spans="1:13" x14ac:dyDescent="0.25">
      <c r="A6345" s="8"/>
      <c r="C6345" s="5"/>
      <c r="M6345" s="9"/>
    </row>
    <row r="6346" spans="1:13" x14ac:dyDescent="0.25">
      <c r="A6346" s="8"/>
      <c r="C6346" s="5"/>
      <c r="M6346" s="9"/>
    </row>
    <row r="6347" spans="1:13" x14ac:dyDescent="0.25">
      <c r="A6347" s="8"/>
      <c r="C6347" s="5"/>
      <c r="M6347" s="9"/>
    </row>
    <row r="6348" spans="1:13" x14ac:dyDescent="0.25">
      <c r="A6348" s="8"/>
      <c r="C6348" s="5"/>
      <c r="M6348" s="9"/>
    </row>
    <row r="6349" spans="1:13" x14ac:dyDescent="0.25">
      <c r="A6349" s="8"/>
      <c r="C6349" s="5"/>
      <c r="M6349" s="9"/>
    </row>
    <row r="6350" spans="1:13" x14ac:dyDescent="0.25">
      <c r="A6350" s="8"/>
      <c r="C6350" s="5"/>
      <c r="M6350" s="9"/>
    </row>
    <row r="6351" spans="1:13" x14ac:dyDescent="0.25">
      <c r="A6351" s="8"/>
      <c r="C6351" s="5"/>
      <c r="M6351" s="9"/>
    </row>
    <row r="6352" spans="1:13" x14ac:dyDescent="0.25">
      <c r="A6352" s="8"/>
      <c r="C6352" s="5"/>
      <c r="M6352" s="9"/>
    </row>
    <row r="6353" spans="1:13" x14ac:dyDescent="0.25">
      <c r="A6353" s="8"/>
      <c r="C6353" s="5"/>
      <c r="M6353" s="9"/>
    </row>
    <row r="6354" spans="1:13" x14ac:dyDescent="0.25">
      <c r="A6354" s="8"/>
      <c r="C6354" s="5"/>
      <c r="M6354" s="9"/>
    </row>
    <row r="6355" spans="1:13" x14ac:dyDescent="0.25">
      <c r="A6355" s="8"/>
      <c r="C6355" s="5"/>
      <c r="M6355" s="9"/>
    </row>
    <row r="6356" spans="1:13" x14ac:dyDescent="0.25">
      <c r="A6356" s="8"/>
      <c r="C6356" s="5"/>
      <c r="M6356" s="9"/>
    </row>
    <row r="6357" spans="1:13" x14ac:dyDescent="0.25">
      <c r="A6357" s="8"/>
      <c r="C6357" s="5"/>
      <c r="M6357" s="9"/>
    </row>
    <row r="6358" spans="1:13" x14ac:dyDescent="0.25">
      <c r="A6358" s="8"/>
      <c r="C6358" s="5"/>
      <c r="M6358" s="9"/>
    </row>
    <row r="6359" spans="1:13" x14ac:dyDescent="0.25">
      <c r="A6359" s="8"/>
      <c r="C6359" s="5"/>
      <c r="M6359" s="9"/>
    </row>
    <row r="6360" spans="1:13" x14ac:dyDescent="0.25">
      <c r="A6360" s="8"/>
      <c r="C6360" s="5"/>
      <c r="M6360" s="9"/>
    </row>
    <row r="6361" spans="1:13" x14ac:dyDescent="0.25">
      <c r="A6361" s="8"/>
      <c r="C6361" s="5"/>
      <c r="M6361" s="9"/>
    </row>
    <row r="6362" spans="1:13" x14ac:dyDescent="0.25">
      <c r="A6362" s="8"/>
      <c r="C6362" s="5"/>
      <c r="M6362" s="9"/>
    </row>
    <row r="6363" spans="1:13" x14ac:dyDescent="0.25">
      <c r="A6363" s="8"/>
      <c r="C6363" s="5"/>
      <c r="M6363" s="9"/>
    </row>
    <row r="6364" spans="1:13" x14ac:dyDescent="0.25">
      <c r="A6364" s="8"/>
      <c r="C6364" s="5"/>
      <c r="M6364" s="9"/>
    </row>
    <row r="6365" spans="1:13" x14ac:dyDescent="0.25">
      <c r="A6365" s="8"/>
      <c r="C6365" s="5"/>
      <c r="M6365" s="9"/>
    </row>
    <row r="6366" spans="1:13" x14ac:dyDescent="0.25">
      <c r="A6366" s="8"/>
      <c r="C6366" s="5"/>
      <c r="M6366" s="9"/>
    </row>
    <row r="6367" spans="1:13" x14ac:dyDescent="0.25">
      <c r="A6367" s="8"/>
      <c r="C6367" s="5"/>
      <c r="M6367" s="9"/>
    </row>
    <row r="6368" spans="1:13" x14ac:dyDescent="0.25">
      <c r="A6368" s="8"/>
      <c r="C6368" s="5"/>
      <c r="M6368" s="9"/>
    </row>
    <row r="6369" spans="1:13" x14ac:dyDescent="0.25">
      <c r="A6369" s="8"/>
      <c r="C6369" s="5"/>
      <c r="M6369" s="9"/>
    </row>
    <row r="6370" spans="1:13" x14ac:dyDescent="0.25">
      <c r="A6370" s="8"/>
      <c r="C6370" s="5"/>
      <c r="M6370" s="9"/>
    </row>
    <row r="6371" spans="1:13" x14ac:dyDescent="0.25">
      <c r="A6371" s="8"/>
      <c r="C6371" s="5"/>
      <c r="M6371" s="9"/>
    </row>
    <row r="6372" spans="1:13" x14ac:dyDescent="0.25">
      <c r="A6372" s="8"/>
      <c r="C6372" s="5"/>
      <c r="M6372" s="9"/>
    </row>
    <row r="6373" spans="1:13" x14ac:dyDescent="0.25">
      <c r="A6373" s="8"/>
      <c r="C6373" s="5"/>
      <c r="M6373" s="9"/>
    </row>
    <row r="6374" spans="1:13" x14ac:dyDescent="0.25">
      <c r="A6374" s="8"/>
      <c r="C6374" s="5"/>
      <c r="M6374" s="9"/>
    </row>
    <row r="6375" spans="1:13" x14ac:dyDescent="0.25">
      <c r="A6375" s="8"/>
      <c r="C6375" s="5"/>
      <c r="M6375" s="9"/>
    </row>
    <row r="6376" spans="1:13" x14ac:dyDescent="0.25">
      <c r="A6376" s="8"/>
      <c r="C6376" s="5"/>
      <c r="M6376" s="9"/>
    </row>
    <row r="6377" spans="1:13" x14ac:dyDescent="0.25">
      <c r="A6377" s="8"/>
      <c r="C6377" s="5"/>
      <c r="M6377" s="9"/>
    </row>
    <row r="6378" spans="1:13" x14ac:dyDescent="0.25">
      <c r="A6378" s="8"/>
      <c r="C6378" s="5"/>
      <c r="M6378" s="9"/>
    </row>
    <row r="6379" spans="1:13" x14ac:dyDescent="0.25">
      <c r="A6379" s="8"/>
      <c r="C6379" s="5"/>
      <c r="M6379" s="9"/>
    </row>
    <row r="6380" spans="1:13" x14ac:dyDescent="0.25">
      <c r="A6380" s="8"/>
      <c r="C6380" s="5"/>
      <c r="M6380" s="9"/>
    </row>
    <row r="6381" spans="1:13" x14ac:dyDescent="0.25">
      <c r="A6381" s="8"/>
      <c r="C6381" s="5"/>
      <c r="M6381" s="9"/>
    </row>
    <row r="6382" spans="1:13" x14ac:dyDescent="0.25">
      <c r="A6382" s="8"/>
      <c r="C6382" s="5"/>
      <c r="M6382" s="9"/>
    </row>
    <row r="6383" spans="1:13" x14ac:dyDescent="0.25">
      <c r="A6383" s="8"/>
      <c r="C6383" s="5"/>
      <c r="M6383" s="9"/>
    </row>
    <row r="6384" spans="1:13" x14ac:dyDescent="0.25">
      <c r="A6384" s="8"/>
      <c r="C6384" s="5"/>
      <c r="M6384" s="9"/>
    </row>
    <row r="6385" spans="1:13" x14ac:dyDescent="0.25">
      <c r="A6385" s="8"/>
      <c r="C6385" s="5"/>
      <c r="M6385" s="9"/>
    </row>
    <row r="6386" spans="1:13" x14ac:dyDescent="0.25">
      <c r="A6386" s="8"/>
      <c r="C6386" s="5"/>
      <c r="M6386" s="9"/>
    </row>
    <row r="6387" spans="1:13" x14ac:dyDescent="0.25">
      <c r="A6387" s="8"/>
      <c r="C6387" s="5"/>
      <c r="M6387" s="9"/>
    </row>
    <row r="6388" spans="1:13" x14ac:dyDescent="0.25">
      <c r="A6388" s="8"/>
      <c r="C6388" s="5"/>
      <c r="M6388" s="9"/>
    </row>
    <row r="6389" spans="1:13" x14ac:dyDescent="0.25">
      <c r="A6389" s="8"/>
      <c r="C6389" s="5"/>
      <c r="M6389" s="9"/>
    </row>
    <row r="6390" spans="1:13" x14ac:dyDescent="0.25">
      <c r="A6390" s="8"/>
      <c r="C6390" s="5"/>
      <c r="M6390" s="9"/>
    </row>
    <row r="6391" spans="1:13" x14ac:dyDescent="0.25">
      <c r="A6391" s="8"/>
      <c r="C6391" s="5"/>
      <c r="M6391" s="9"/>
    </row>
    <row r="6392" spans="1:13" x14ac:dyDescent="0.25">
      <c r="A6392" s="8"/>
      <c r="C6392" s="5"/>
      <c r="M6392" s="9"/>
    </row>
    <row r="6393" spans="1:13" x14ac:dyDescent="0.25">
      <c r="A6393" s="8"/>
      <c r="C6393" s="5"/>
      <c r="M6393" s="9"/>
    </row>
    <row r="6394" spans="1:13" x14ac:dyDescent="0.25">
      <c r="A6394" s="8"/>
      <c r="C6394" s="5"/>
      <c r="M6394" s="9"/>
    </row>
    <row r="6395" spans="1:13" x14ac:dyDescent="0.25">
      <c r="A6395" s="8"/>
      <c r="C6395" s="5"/>
      <c r="M6395" s="9"/>
    </row>
    <row r="6396" spans="1:13" x14ac:dyDescent="0.25">
      <c r="A6396" s="8"/>
      <c r="C6396" s="5"/>
      <c r="M6396" s="9"/>
    </row>
    <row r="6397" spans="1:13" x14ac:dyDescent="0.25">
      <c r="A6397" s="8"/>
      <c r="C6397" s="5"/>
      <c r="M6397" s="9"/>
    </row>
    <row r="6398" spans="1:13" x14ac:dyDescent="0.25">
      <c r="A6398" s="8"/>
      <c r="C6398" s="5"/>
      <c r="M6398" s="9"/>
    </row>
    <row r="6399" spans="1:13" x14ac:dyDescent="0.25">
      <c r="A6399" s="8"/>
      <c r="C6399" s="5"/>
      <c r="M6399" s="9"/>
    </row>
    <row r="6400" spans="1:13" x14ac:dyDescent="0.25">
      <c r="A6400" s="8"/>
      <c r="C6400" s="5"/>
      <c r="M6400" s="9"/>
    </row>
    <row r="6401" spans="1:13" x14ac:dyDescent="0.25">
      <c r="A6401" s="8"/>
      <c r="C6401" s="5"/>
      <c r="M6401" s="9"/>
    </row>
    <row r="6402" spans="1:13" x14ac:dyDescent="0.25">
      <c r="A6402" s="8"/>
      <c r="C6402" s="5"/>
      <c r="M6402" s="9"/>
    </row>
    <row r="6403" spans="1:13" x14ac:dyDescent="0.25">
      <c r="A6403" s="8"/>
      <c r="C6403" s="5"/>
      <c r="M6403" s="9"/>
    </row>
    <row r="6404" spans="1:13" x14ac:dyDescent="0.25">
      <c r="A6404" s="8"/>
      <c r="C6404" s="5"/>
      <c r="M6404" s="9"/>
    </row>
    <row r="6405" spans="1:13" x14ac:dyDescent="0.25">
      <c r="A6405" s="8"/>
      <c r="C6405" s="5"/>
      <c r="M6405" s="9"/>
    </row>
    <row r="6406" spans="1:13" x14ac:dyDescent="0.25">
      <c r="A6406" s="8"/>
      <c r="C6406" s="5"/>
      <c r="M6406" s="9"/>
    </row>
    <row r="6407" spans="1:13" x14ac:dyDescent="0.25">
      <c r="A6407" s="8"/>
      <c r="C6407" s="5"/>
      <c r="M6407" s="9"/>
    </row>
    <row r="6408" spans="1:13" x14ac:dyDescent="0.25">
      <c r="A6408" s="8"/>
      <c r="C6408" s="5"/>
      <c r="M6408" s="9"/>
    </row>
    <row r="6409" spans="1:13" x14ac:dyDescent="0.25">
      <c r="A6409" s="8"/>
      <c r="C6409" s="5"/>
      <c r="M6409" s="9"/>
    </row>
    <row r="6410" spans="1:13" x14ac:dyDescent="0.25">
      <c r="A6410" s="8"/>
      <c r="C6410" s="5"/>
      <c r="M6410" s="9"/>
    </row>
    <row r="6411" spans="1:13" x14ac:dyDescent="0.25">
      <c r="A6411" s="8"/>
      <c r="C6411" s="5"/>
      <c r="M6411" s="9"/>
    </row>
    <row r="6412" spans="1:13" x14ac:dyDescent="0.25">
      <c r="A6412" s="8"/>
      <c r="C6412" s="5"/>
      <c r="M6412" s="9"/>
    </row>
    <row r="6413" spans="1:13" x14ac:dyDescent="0.25">
      <c r="A6413" s="8"/>
      <c r="C6413" s="5"/>
      <c r="M6413" s="9"/>
    </row>
    <row r="6414" spans="1:13" x14ac:dyDescent="0.25">
      <c r="A6414" s="8"/>
      <c r="C6414" s="5"/>
      <c r="M6414" s="9"/>
    </row>
    <row r="6415" spans="1:13" x14ac:dyDescent="0.25">
      <c r="A6415" s="8"/>
      <c r="C6415" s="5"/>
      <c r="M6415" s="9"/>
    </row>
    <row r="6416" spans="1:13" x14ac:dyDescent="0.25">
      <c r="A6416" s="8"/>
      <c r="C6416" s="5"/>
      <c r="M6416" s="9"/>
    </row>
    <row r="6417" spans="1:13" x14ac:dyDescent="0.25">
      <c r="A6417" s="8"/>
      <c r="C6417" s="5"/>
      <c r="M6417" s="9"/>
    </row>
    <row r="6418" spans="1:13" x14ac:dyDescent="0.25">
      <c r="A6418" s="8"/>
      <c r="C6418" s="5"/>
      <c r="M6418" s="9"/>
    </row>
    <row r="6419" spans="1:13" x14ac:dyDescent="0.25">
      <c r="A6419" s="8"/>
      <c r="C6419" s="5"/>
      <c r="M6419" s="9"/>
    </row>
    <row r="6420" spans="1:13" x14ac:dyDescent="0.25">
      <c r="A6420" s="8"/>
      <c r="C6420" s="5"/>
      <c r="M6420" s="9"/>
    </row>
    <row r="6421" spans="1:13" x14ac:dyDescent="0.25">
      <c r="A6421" s="8"/>
      <c r="C6421" s="5"/>
      <c r="M6421" s="9"/>
    </row>
    <row r="6422" spans="1:13" x14ac:dyDescent="0.25">
      <c r="A6422" s="8"/>
      <c r="C6422" s="5"/>
      <c r="M6422" s="9"/>
    </row>
    <row r="6423" spans="1:13" x14ac:dyDescent="0.25">
      <c r="A6423" s="8"/>
      <c r="C6423" s="5"/>
      <c r="M6423" s="9"/>
    </row>
    <row r="6424" spans="1:13" x14ac:dyDescent="0.25">
      <c r="A6424" s="8"/>
      <c r="C6424" s="5"/>
      <c r="M6424" s="9"/>
    </row>
    <row r="6425" spans="1:13" x14ac:dyDescent="0.25">
      <c r="A6425" s="8"/>
      <c r="C6425" s="5"/>
      <c r="M6425" s="9"/>
    </row>
    <row r="6426" spans="1:13" x14ac:dyDescent="0.25">
      <c r="A6426" s="8"/>
      <c r="C6426" s="5"/>
      <c r="M6426" s="9"/>
    </row>
    <row r="6427" spans="1:13" x14ac:dyDescent="0.25">
      <c r="A6427" s="8"/>
      <c r="C6427" s="5"/>
      <c r="M6427" s="9"/>
    </row>
    <row r="6428" spans="1:13" x14ac:dyDescent="0.25">
      <c r="A6428" s="8"/>
      <c r="C6428" s="5"/>
      <c r="M6428" s="9"/>
    </row>
    <row r="6429" spans="1:13" x14ac:dyDescent="0.25">
      <c r="A6429" s="8"/>
      <c r="C6429" s="5"/>
      <c r="M6429" s="9"/>
    </row>
    <row r="6430" spans="1:13" x14ac:dyDescent="0.25">
      <c r="A6430" s="8"/>
      <c r="C6430" s="5"/>
      <c r="M6430" s="9"/>
    </row>
    <row r="6431" spans="1:13" x14ac:dyDescent="0.25">
      <c r="A6431" s="8"/>
      <c r="C6431" s="5"/>
      <c r="M6431" s="9"/>
    </row>
    <row r="6432" spans="1:13" x14ac:dyDescent="0.25">
      <c r="A6432" s="8"/>
      <c r="C6432" s="5"/>
      <c r="M6432" s="9"/>
    </row>
    <row r="6433" spans="1:13" x14ac:dyDescent="0.25">
      <c r="A6433" s="8"/>
      <c r="C6433" s="5"/>
      <c r="M6433" s="9"/>
    </row>
    <row r="6434" spans="1:13" x14ac:dyDescent="0.25">
      <c r="A6434" s="8"/>
      <c r="C6434" s="5"/>
      <c r="M6434" s="9"/>
    </row>
    <row r="6435" spans="1:13" x14ac:dyDescent="0.25">
      <c r="A6435" s="8"/>
      <c r="C6435" s="5"/>
      <c r="M6435" s="9"/>
    </row>
    <row r="6436" spans="1:13" x14ac:dyDescent="0.25">
      <c r="A6436" s="8"/>
      <c r="C6436" s="5"/>
      <c r="M6436" s="9"/>
    </row>
    <row r="6437" spans="1:13" x14ac:dyDescent="0.25">
      <c r="A6437" s="8"/>
      <c r="C6437" s="5"/>
      <c r="M6437" s="9"/>
    </row>
    <row r="6438" spans="1:13" x14ac:dyDescent="0.25">
      <c r="A6438" s="8"/>
      <c r="C6438" s="5"/>
      <c r="M6438" s="9"/>
    </row>
    <row r="6439" spans="1:13" x14ac:dyDescent="0.25">
      <c r="A6439" s="8"/>
      <c r="C6439" s="5"/>
      <c r="M6439" s="9"/>
    </row>
    <row r="6440" spans="1:13" x14ac:dyDescent="0.25">
      <c r="A6440" s="8"/>
      <c r="C6440" s="5"/>
      <c r="M6440" s="9"/>
    </row>
    <row r="6441" spans="1:13" x14ac:dyDescent="0.25">
      <c r="A6441" s="8"/>
      <c r="C6441" s="5"/>
      <c r="M6441" s="9"/>
    </row>
    <row r="6442" spans="1:13" x14ac:dyDescent="0.25">
      <c r="A6442" s="8"/>
      <c r="C6442" s="5"/>
      <c r="M6442" s="9"/>
    </row>
    <row r="6443" spans="1:13" x14ac:dyDescent="0.25">
      <c r="A6443" s="8"/>
      <c r="C6443" s="5"/>
      <c r="M6443" s="9"/>
    </row>
    <row r="6444" spans="1:13" x14ac:dyDescent="0.25">
      <c r="A6444" s="8"/>
      <c r="C6444" s="5"/>
      <c r="M6444" s="9"/>
    </row>
    <row r="6445" spans="1:13" x14ac:dyDescent="0.25">
      <c r="A6445" s="8"/>
      <c r="C6445" s="5"/>
      <c r="M6445" s="9"/>
    </row>
    <row r="6446" spans="1:13" x14ac:dyDescent="0.25">
      <c r="A6446" s="8"/>
      <c r="C6446" s="5"/>
      <c r="M6446" s="9"/>
    </row>
    <row r="6447" spans="1:13" x14ac:dyDescent="0.25">
      <c r="A6447" s="8"/>
      <c r="C6447" s="5"/>
      <c r="M6447" s="9"/>
    </row>
    <row r="6448" spans="1:13" x14ac:dyDescent="0.25">
      <c r="A6448" s="8"/>
      <c r="C6448" s="5"/>
      <c r="M6448" s="9"/>
    </row>
    <row r="6449" spans="1:13" x14ac:dyDescent="0.25">
      <c r="A6449" s="8"/>
      <c r="C6449" s="5"/>
      <c r="M6449" s="9"/>
    </row>
    <row r="6450" spans="1:13" x14ac:dyDescent="0.25">
      <c r="A6450" s="8"/>
      <c r="C6450" s="5"/>
      <c r="M6450" s="9"/>
    </row>
    <row r="6451" spans="1:13" x14ac:dyDescent="0.25">
      <c r="A6451" s="8"/>
      <c r="C6451" s="5"/>
      <c r="M6451" s="9"/>
    </row>
    <row r="6452" spans="1:13" x14ac:dyDescent="0.25">
      <c r="A6452" s="8"/>
      <c r="C6452" s="5"/>
      <c r="M6452" s="9"/>
    </row>
    <row r="6453" spans="1:13" x14ac:dyDescent="0.25">
      <c r="A6453" s="8"/>
      <c r="C6453" s="5"/>
      <c r="M6453" s="9"/>
    </row>
    <row r="6454" spans="1:13" x14ac:dyDescent="0.25">
      <c r="A6454" s="8"/>
      <c r="C6454" s="5"/>
      <c r="M6454" s="9"/>
    </row>
    <row r="6455" spans="1:13" x14ac:dyDescent="0.25">
      <c r="A6455" s="8"/>
      <c r="C6455" s="5"/>
      <c r="M6455" s="9"/>
    </row>
    <row r="6456" spans="1:13" x14ac:dyDescent="0.25">
      <c r="A6456" s="8"/>
      <c r="C6456" s="5"/>
      <c r="M6456" s="9"/>
    </row>
    <row r="6457" spans="1:13" x14ac:dyDescent="0.25">
      <c r="A6457" s="8"/>
      <c r="C6457" s="5"/>
      <c r="M6457" s="9"/>
    </row>
    <row r="6458" spans="1:13" x14ac:dyDescent="0.25">
      <c r="A6458" s="8"/>
      <c r="C6458" s="5"/>
      <c r="M6458" s="9"/>
    </row>
    <row r="6459" spans="1:13" x14ac:dyDescent="0.25">
      <c r="A6459" s="8"/>
      <c r="C6459" s="5"/>
      <c r="M6459" s="9"/>
    </row>
    <row r="6460" spans="1:13" x14ac:dyDescent="0.25">
      <c r="A6460" s="8"/>
      <c r="C6460" s="5"/>
      <c r="M6460" s="9"/>
    </row>
    <row r="6461" spans="1:13" x14ac:dyDescent="0.25">
      <c r="A6461" s="8"/>
      <c r="C6461" s="5"/>
      <c r="M6461" s="9"/>
    </row>
    <row r="6462" spans="1:13" x14ac:dyDescent="0.25">
      <c r="A6462" s="8"/>
      <c r="C6462" s="5"/>
      <c r="M6462" s="9"/>
    </row>
    <row r="6463" spans="1:13" x14ac:dyDescent="0.25">
      <c r="A6463" s="8"/>
      <c r="C6463" s="5"/>
      <c r="M6463" s="9"/>
    </row>
    <row r="6464" spans="1:13" x14ac:dyDescent="0.25">
      <c r="A6464" s="8"/>
      <c r="C6464" s="5"/>
      <c r="M6464" s="9"/>
    </row>
    <row r="6465" spans="1:13" x14ac:dyDescent="0.25">
      <c r="A6465" s="8"/>
      <c r="C6465" s="5"/>
      <c r="M6465" s="9"/>
    </row>
    <row r="6466" spans="1:13" x14ac:dyDescent="0.25">
      <c r="A6466" s="8"/>
      <c r="C6466" s="5"/>
      <c r="M6466" s="9"/>
    </row>
    <row r="6467" spans="1:13" x14ac:dyDescent="0.25">
      <c r="A6467" s="8"/>
      <c r="C6467" s="5"/>
      <c r="M6467" s="9"/>
    </row>
    <row r="6468" spans="1:13" x14ac:dyDescent="0.25">
      <c r="A6468" s="8"/>
      <c r="C6468" s="5"/>
      <c r="M6468" s="9"/>
    </row>
    <row r="6469" spans="1:13" x14ac:dyDescent="0.25">
      <c r="A6469" s="8"/>
      <c r="C6469" s="5"/>
      <c r="M6469" s="9"/>
    </row>
    <row r="6470" spans="1:13" x14ac:dyDescent="0.25">
      <c r="A6470" s="8"/>
      <c r="C6470" s="5"/>
      <c r="M6470" s="9"/>
    </row>
    <row r="6471" spans="1:13" x14ac:dyDescent="0.25">
      <c r="A6471" s="8"/>
      <c r="C6471" s="5"/>
      <c r="M6471" s="9"/>
    </row>
    <row r="6472" spans="1:13" x14ac:dyDescent="0.25">
      <c r="A6472" s="8"/>
      <c r="C6472" s="5"/>
      <c r="M6472" s="9"/>
    </row>
    <row r="6473" spans="1:13" x14ac:dyDescent="0.25">
      <c r="A6473" s="8"/>
      <c r="C6473" s="5"/>
      <c r="M6473" s="9"/>
    </row>
    <row r="6474" spans="1:13" x14ac:dyDescent="0.25">
      <c r="A6474" s="8"/>
      <c r="C6474" s="5"/>
      <c r="M6474" s="9"/>
    </row>
    <row r="6475" spans="1:13" x14ac:dyDescent="0.25">
      <c r="A6475" s="8"/>
      <c r="C6475" s="5"/>
      <c r="M6475" s="9"/>
    </row>
    <row r="6476" spans="1:13" x14ac:dyDescent="0.25">
      <c r="A6476" s="8"/>
      <c r="C6476" s="5"/>
      <c r="M6476" s="9"/>
    </row>
    <row r="6477" spans="1:13" x14ac:dyDescent="0.25">
      <c r="A6477" s="8"/>
      <c r="C6477" s="5"/>
      <c r="M6477" s="9"/>
    </row>
    <row r="6478" spans="1:13" x14ac:dyDescent="0.25">
      <c r="A6478" s="8"/>
      <c r="C6478" s="5"/>
      <c r="M6478" s="9"/>
    </row>
    <row r="6479" spans="1:13" x14ac:dyDescent="0.25">
      <c r="A6479" s="8"/>
      <c r="C6479" s="5"/>
      <c r="M6479" s="9"/>
    </row>
    <row r="6480" spans="1:13" x14ac:dyDescent="0.25">
      <c r="A6480" s="8"/>
      <c r="C6480" s="5"/>
      <c r="M6480" s="9"/>
    </row>
    <row r="6481" spans="1:13" x14ac:dyDescent="0.25">
      <c r="A6481" s="8"/>
      <c r="C6481" s="5"/>
      <c r="M6481" s="9"/>
    </row>
    <row r="6482" spans="1:13" x14ac:dyDescent="0.25">
      <c r="A6482" s="8"/>
      <c r="C6482" s="5"/>
      <c r="M6482" s="9"/>
    </row>
    <row r="6483" spans="1:13" x14ac:dyDescent="0.25">
      <c r="A6483" s="8"/>
      <c r="C6483" s="5"/>
      <c r="M6483" s="9"/>
    </row>
    <row r="6484" spans="1:13" x14ac:dyDescent="0.25">
      <c r="A6484" s="8"/>
      <c r="C6484" s="5"/>
      <c r="M6484" s="9"/>
    </row>
    <row r="6485" spans="1:13" x14ac:dyDescent="0.25">
      <c r="A6485" s="8"/>
      <c r="C6485" s="5"/>
      <c r="M6485" s="9"/>
    </row>
    <row r="6486" spans="1:13" x14ac:dyDescent="0.25">
      <c r="A6486" s="8"/>
      <c r="C6486" s="5"/>
      <c r="M6486" s="9"/>
    </row>
    <row r="6487" spans="1:13" x14ac:dyDescent="0.25">
      <c r="A6487" s="8"/>
      <c r="C6487" s="5"/>
      <c r="M6487" s="9"/>
    </row>
    <row r="6488" spans="1:13" x14ac:dyDescent="0.25">
      <c r="A6488" s="8"/>
      <c r="C6488" s="5"/>
      <c r="M6488" s="9"/>
    </row>
    <row r="6489" spans="1:13" x14ac:dyDescent="0.25">
      <c r="A6489" s="8"/>
      <c r="C6489" s="5"/>
      <c r="M6489" s="9"/>
    </row>
    <row r="6490" spans="1:13" x14ac:dyDescent="0.25">
      <c r="A6490" s="8"/>
      <c r="C6490" s="5"/>
      <c r="M6490" s="9"/>
    </row>
    <row r="6491" spans="1:13" x14ac:dyDescent="0.25">
      <c r="A6491" s="8"/>
      <c r="C6491" s="5"/>
      <c r="M6491" s="9"/>
    </row>
    <row r="6492" spans="1:13" x14ac:dyDescent="0.25">
      <c r="A6492" s="8"/>
      <c r="C6492" s="5"/>
      <c r="M6492" s="9"/>
    </row>
    <row r="6493" spans="1:13" x14ac:dyDescent="0.25">
      <c r="A6493" s="8"/>
      <c r="C6493" s="5"/>
      <c r="M6493" s="9"/>
    </row>
    <row r="6494" spans="1:13" x14ac:dyDescent="0.25">
      <c r="A6494" s="8"/>
      <c r="C6494" s="5"/>
      <c r="M6494" s="9"/>
    </row>
    <row r="6495" spans="1:13" x14ac:dyDescent="0.25">
      <c r="A6495" s="8"/>
      <c r="C6495" s="5"/>
      <c r="M6495" s="9"/>
    </row>
    <row r="6496" spans="1:13" x14ac:dyDescent="0.25">
      <c r="A6496" s="8"/>
      <c r="C6496" s="5"/>
      <c r="M6496" s="9"/>
    </row>
    <row r="6497" spans="1:13" x14ac:dyDescent="0.25">
      <c r="A6497" s="8"/>
      <c r="C6497" s="5"/>
      <c r="M6497" s="9"/>
    </row>
    <row r="6498" spans="1:13" x14ac:dyDescent="0.25">
      <c r="A6498" s="8"/>
      <c r="C6498" s="5"/>
      <c r="M6498" s="9"/>
    </row>
    <row r="6499" spans="1:13" x14ac:dyDescent="0.25">
      <c r="A6499" s="8"/>
      <c r="C6499" s="5"/>
      <c r="M6499" s="9"/>
    </row>
    <row r="6500" spans="1:13" x14ac:dyDescent="0.25">
      <c r="A6500" s="8"/>
      <c r="C6500" s="5"/>
      <c r="M6500" s="9"/>
    </row>
    <row r="6501" spans="1:13" x14ac:dyDescent="0.25">
      <c r="A6501" s="8"/>
      <c r="C6501" s="5"/>
      <c r="M6501" s="9"/>
    </row>
    <row r="6502" spans="1:13" x14ac:dyDescent="0.25">
      <c r="A6502" s="8"/>
      <c r="C6502" s="5"/>
      <c r="M6502" s="9"/>
    </row>
    <row r="6503" spans="1:13" x14ac:dyDescent="0.25">
      <c r="A6503" s="8"/>
      <c r="C6503" s="5"/>
      <c r="M6503" s="9"/>
    </row>
    <row r="6504" spans="1:13" x14ac:dyDescent="0.25">
      <c r="A6504" s="8"/>
      <c r="C6504" s="5"/>
      <c r="M6504" s="9"/>
    </row>
    <row r="6505" spans="1:13" x14ac:dyDescent="0.25">
      <c r="A6505" s="8"/>
      <c r="C6505" s="5"/>
      <c r="M6505" s="9"/>
    </row>
    <row r="6506" spans="1:13" x14ac:dyDescent="0.25">
      <c r="A6506" s="8"/>
      <c r="C6506" s="5"/>
      <c r="M6506" s="9"/>
    </row>
    <row r="6507" spans="1:13" x14ac:dyDescent="0.25">
      <c r="A6507" s="8"/>
      <c r="C6507" s="5"/>
      <c r="M6507" s="9"/>
    </row>
    <row r="6508" spans="1:13" x14ac:dyDescent="0.25">
      <c r="A6508" s="8"/>
      <c r="C6508" s="5"/>
      <c r="M6508" s="9"/>
    </row>
    <row r="6509" spans="1:13" x14ac:dyDescent="0.25">
      <c r="A6509" s="8"/>
      <c r="C6509" s="5"/>
      <c r="M6509" s="9"/>
    </row>
    <row r="6510" spans="1:13" x14ac:dyDescent="0.25">
      <c r="A6510" s="8"/>
      <c r="C6510" s="5"/>
      <c r="M6510" s="9"/>
    </row>
    <row r="6511" spans="1:13" x14ac:dyDescent="0.25">
      <c r="A6511" s="8"/>
      <c r="C6511" s="5"/>
      <c r="M6511" s="9"/>
    </row>
    <row r="6512" spans="1:13" x14ac:dyDescent="0.25">
      <c r="A6512" s="8"/>
      <c r="C6512" s="5"/>
      <c r="M6512" s="9"/>
    </row>
    <row r="6513" spans="1:13" x14ac:dyDescent="0.25">
      <c r="A6513" s="8"/>
      <c r="C6513" s="5"/>
      <c r="M6513" s="9"/>
    </row>
    <row r="6514" spans="1:13" x14ac:dyDescent="0.25">
      <c r="A6514" s="8"/>
      <c r="C6514" s="5"/>
      <c r="M6514" s="9"/>
    </row>
    <row r="6515" spans="1:13" x14ac:dyDescent="0.25">
      <c r="A6515" s="8"/>
      <c r="C6515" s="5"/>
      <c r="M6515" s="9"/>
    </row>
    <row r="6516" spans="1:13" x14ac:dyDescent="0.25">
      <c r="A6516" s="8"/>
      <c r="C6516" s="5"/>
      <c r="M6516" s="9"/>
    </row>
    <row r="6517" spans="1:13" x14ac:dyDescent="0.25">
      <c r="A6517" s="8"/>
      <c r="C6517" s="5"/>
      <c r="M6517" s="9"/>
    </row>
    <row r="6518" spans="1:13" x14ac:dyDescent="0.25">
      <c r="A6518" s="8"/>
      <c r="C6518" s="5"/>
      <c r="M6518" s="9"/>
    </row>
    <row r="6519" spans="1:13" x14ac:dyDescent="0.25">
      <c r="A6519" s="8"/>
      <c r="C6519" s="5"/>
      <c r="M6519" s="9"/>
    </row>
    <row r="6520" spans="1:13" x14ac:dyDescent="0.25">
      <c r="A6520" s="8"/>
      <c r="C6520" s="5"/>
      <c r="M6520" s="9"/>
    </row>
    <row r="6521" spans="1:13" x14ac:dyDescent="0.25">
      <c r="A6521" s="8"/>
      <c r="C6521" s="5"/>
      <c r="M6521" s="9"/>
    </row>
    <row r="6522" spans="1:13" x14ac:dyDescent="0.25">
      <c r="A6522" s="8"/>
      <c r="C6522" s="5"/>
      <c r="M6522" s="9"/>
    </row>
    <row r="6523" spans="1:13" x14ac:dyDescent="0.25">
      <c r="A6523" s="8"/>
      <c r="C6523" s="5"/>
      <c r="M6523" s="9"/>
    </row>
    <row r="6524" spans="1:13" x14ac:dyDescent="0.25">
      <c r="A6524" s="8"/>
      <c r="C6524" s="5"/>
      <c r="M6524" s="9"/>
    </row>
    <row r="6525" spans="1:13" x14ac:dyDescent="0.25">
      <c r="A6525" s="8"/>
      <c r="C6525" s="5"/>
      <c r="M6525" s="9"/>
    </row>
    <row r="6526" spans="1:13" x14ac:dyDescent="0.25">
      <c r="A6526" s="8"/>
      <c r="C6526" s="5"/>
      <c r="M6526" s="9"/>
    </row>
    <row r="6527" spans="1:13" x14ac:dyDescent="0.25">
      <c r="A6527" s="8"/>
      <c r="C6527" s="5"/>
      <c r="M6527" s="9"/>
    </row>
    <row r="6528" spans="1:13" x14ac:dyDescent="0.25">
      <c r="A6528" s="8"/>
      <c r="C6528" s="5"/>
      <c r="M6528" s="9"/>
    </row>
    <row r="6529" spans="1:13" x14ac:dyDescent="0.25">
      <c r="A6529" s="8"/>
      <c r="C6529" s="5"/>
      <c r="M6529" s="9"/>
    </row>
    <row r="6530" spans="1:13" x14ac:dyDescent="0.25">
      <c r="A6530" s="8"/>
      <c r="C6530" s="5"/>
      <c r="M6530" s="9"/>
    </row>
    <row r="6531" spans="1:13" x14ac:dyDescent="0.25">
      <c r="A6531" s="8"/>
      <c r="C6531" s="5"/>
      <c r="M6531" s="9"/>
    </row>
    <row r="6532" spans="1:13" x14ac:dyDescent="0.25">
      <c r="A6532" s="8"/>
      <c r="C6532" s="5"/>
      <c r="M6532" s="9"/>
    </row>
    <row r="6533" spans="1:13" x14ac:dyDescent="0.25">
      <c r="A6533" s="8"/>
      <c r="C6533" s="5"/>
      <c r="M6533" s="9"/>
    </row>
    <row r="6534" spans="1:13" x14ac:dyDescent="0.25">
      <c r="A6534" s="8"/>
      <c r="C6534" s="5"/>
      <c r="M6534" s="9"/>
    </row>
    <row r="6535" spans="1:13" x14ac:dyDescent="0.25">
      <c r="A6535" s="8"/>
      <c r="C6535" s="5"/>
      <c r="M6535" s="9"/>
    </row>
    <row r="6536" spans="1:13" x14ac:dyDescent="0.25">
      <c r="A6536" s="8"/>
      <c r="C6536" s="5"/>
      <c r="M6536" s="9"/>
    </row>
    <row r="6537" spans="1:13" x14ac:dyDescent="0.25">
      <c r="A6537" s="8"/>
      <c r="C6537" s="5"/>
      <c r="M6537" s="9"/>
    </row>
    <row r="6538" spans="1:13" x14ac:dyDescent="0.25">
      <c r="A6538" s="8"/>
      <c r="C6538" s="5"/>
      <c r="M6538" s="9"/>
    </row>
    <row r="6539" spans="1:13" x14ac:dyDescent="0.25">
      <c r="A6539" s="8"/>
      <c r="C6539" s="5"/>
      <c r="M6539" s="9"/>
    </row>
    <row r="6540" spans="1:13" x14ac:dyDescent="0.25">
      <c r="A6540" s="8"/>
      <c r="C6540" s="5"/>
      <c r="M6540" s="9"/>
    </row>
    <row r="6541" spans="1:13" x14ac:dyDescent="0.25">
      <c r="A6541" s="8"/>
      <c r="C6541" s="5"/>
      <c r="M6541" s="9"/>
    </row>
    <row r="6542" spans="1:13" x14ac:dyDescent="0.25">
      <c r="A6542" s="8"/>
      <c r="C6542" s="5"/>
      <c r="M6542" s="9"/>
    </row>
    <row r="6543" spans="1:13" x14ac:dyDescent="0.25">
      <c r="A6543" s="8"/>
      <c r="C6543" s="5"/>
      <c r="M6543" s="9"/>
    </row>
    <row r="6544" spans="1:13" x14ac:dyDescent="0.25">
      <c r="A6544" s="8"/>
      <c r="C6544" s="5"/>
      <c r="M6544" s="9"/>
    </row>
    <row r="6545" spans="1:13" x14ac:dyDescent="0.25">
      <c r="A6545" s="8"/>
      <c r="C6545" s="5"/>
      <c r="M6545" s="9"/>
    </row>
    <row r="6546" spans="1:13" x14ac:dyDescent="0.25">
      <c r="A6546" s="8"/>
      <c r="C6546" s="5"/>
      <c r="M6546" s="9"/>
    </row>
    <row r="6547" spans="1:13" x14ac:dyDescent="0.25">
      <c r="A6547" s="8"/>
      <c r="C6547" s="5"/>
      <c r="M6547" s="9"/>
    </row>
    <row r="6548" spans="1:13" x14ac:dyDescent="0.25">
      <c r="A6548" s="8"/>
      <c r="C6548" s="5"/>
      <c r="M6548" s="9"/>
    </row>
    <row r="6549" spans="1:13" x14ac:dyDescent="0.25">
      <c r="A6549" s="8"/>
      <c r="C6549" s="5"/>
      <c r="M6549" s="9"/>
    </row>
    <row r="6550" spans="1:13" x14ac:dyDescent="0.25">
      <c r="A6550" s="8"/>
      <c r="C6550" s="5"/>
      <c r="M6550" s="9"/>
    </row>
    <row r="6551" spans="1:13" x14ac:dyDescent="0.25">
      <c r="A6551" s="8"/>
      <c r="C6551" s="5"/>
      <c r="M6551" s="9"/>
    </row>
    <row r="6552" spans="1:13" x14ac:dyDescent="0.25">
      <c r="A6552" s="8"/>
      <c r="C6552" s="5"/>
      <c r="M6552" s="9"/>
    </row>
    <row r="6553" spans="1:13" x14ac:dyDescent="0.25">
      <c r="A6553" s="8"/>
      <c r="C6553" s="5"/>
      <c r="M6553" s="9"/>
    </row>
    <row r="6554" spans="1:13" x14ac:dyDescent="0.25">
      <c r="A6554" s="8"/>
      <c r="C6554" s="5"/>
      <c r="M6554" s="9"/>
    </row>
    <row r="6555" spans="1:13" x14ac:dyDescent="0.25">
      <c r="A6555" s="8"/>
      <c r="C6555" s="5"/>
      <c r="M6555" s="9"/>
    </row>
    <row r="6556" spans="1:13" x14ac:dyDescent="0.25">
      <c r="A6556" s="8"/>
      <c r="C6556" s="5"/>
      <c r="M6556" s="9"/>
    </row>
    <row r="6557" spans="1:13" x14ac:dyDescent="0.25">
      <c r="A6557" s="8"/>
      <c r="C6557" s="5"/>
      <c r="M6557" s="9"/>
    </row>
    <row r="6558" spans="1:13" x14ac:dyDescent="0.25">
      <c r="A6558" s="8"/>
      <c r="C6558" s="5"/>
      <c r="M6558" s="9"/>
    </row>
    <row r="6559" spans="1:13" x14ac:dyDescent="0.25">
      <c r="A6559" s="8"/>
      <c r="C6559" s="5"/>
      <c r="M6559" s="9"/>
    </row>
    <row r="6560" spans="1:13" x14ac:dyDescent="0.25">
      <c r="A6560" s="8"/>
      <c r="C6560" s="5"/>
      <c r="M6560" s="9"/>
    </row>
    <row r="6561" spans="1:13" x14ac:dyDescent="0.25">
      <c r="A6561" s="8"/>
      <c r="C6561" s="5"/>
      <c r="M6561" s="9"/>
    </row>
    <row r="6562" spans="1:13" x14ac:dyDescent="0.25">
      <c r="A6562" s="8"/>
      <c r="C6562" s="5"/>
      <c r="M6562" s="9"/>
    </row>
    <row r="6563" spans="1:13" x14ac:dyDescent="0.25">
      <c r="A6563" s="8"/>
      <c r="C6563" s="5"/>
      <c r="M6563" s="9"/>
    </row>
    <row r="6564" spans="1:13" x14ac:dyDescent="0.25">
      <c r="A6564" s="8"/>
      <c r="C6564" s="5"/>
      <c r="M6564" s="9"/>
    </row>
    <row r="6565" spans="1:13" x14ac:dyDescent="0.25">
      <c r="A6565" s="8"/>
      <c r="C6565" s="5"/>
      <c r="M6565" s="9"/>
    </row>
    <row r="6566" spans="1:13" x14ac:dyDescent="0.25">
      <c r="A6566" s="8"/>
      <c r="C6566" s="5"/>
      <c r="M6566" s="9"/>
    </row>
    <row r="6567" spans="1:13" x14ac:dyDescent="0.25">
      <c r="A6567" s="8"/>
      <c r="C6567" s="5"/>
      <c r="M6567" s="9"/>
    </row>
    <row r="6568" spans="1:13" x14ac:dyDescent="0.25">
      <c r="A6568" s="8"/>
      <c r="C6568" s="5"/>
      <c r="M6568" s="9"/>
    </row>
    <row r="6569" spans="1:13" x14ac:dyDescent="0.25">
      <c r="A6569" s="8"/>
      <c r="C6569" s="5"/>
      <c r="M6569" s="9"/>
    </row>
    <row r="6570" spans="1:13" x14ac:dyDescent="0.25">
      <c r="A6570" s="8"/>
      <c r="C6570" s="5"/>
      <c r="M6570" s="9"/>
    </row>
    <row r="6571" spans="1:13" x14ac:dyDescent="0.25">
      <c r="A6571" s="8"/>
      <c r="C6571" s="5"/>
      <c r="M6571" s="9"/>
    </row>
    <row r="6572" spans="1:13" x14ac:dyDescent="0.25">
      <c r="A6572" s="8"/>
      <c r="C6572" s="5"/>
      <c r="M6572" s="9"/>
    </row>
    <row r="6573" spans="1:13" x14ac:dyDescent="0.25">
      <c r="A6573" s="8"/>
      <c r="C6573" s="5"/>
      <c r="M6573" s="9"/>
    </row>
    <row r="6574" spans="1:13" x14ac:dyDescent="0.25">
      <c r="A6574" s="8"/>
      <c r="C6574" s="5"/>
      <c r="M6574" s="9"/>
    </row>
    <row r="6575" spans="1:13" x14ac:dyDescent="0.25">
      <c r="A6575" s="8"/>
      <c r="C6575" s="5"/>
      <c r="M6575" s="9"/>
    </row>
    <row r="6576" spans="1:13" x14ac:dyDescent="0.25">
      <c r="A6576" s="8"/>
      <c r="C6576" s="5"/>
      <c r="M6576" s="9"/>
    </row>
    <row r="6577" spans="1:13" x14ac:dyDescent="0.25">
      <c r="A6577" s="8"/>
      <c r="C6577" s="5"/>
      <c r="M6577" s="9"/>
    </row>
    <row r="6578" spans="1:13" x14ac:dyDescent="0.25">
      <c r="A6578" s="8"/>
      <c r="C6578" s="5"/>
      <c r="M6578" s="9"/>
    </row>
    <row r="6579" spans="1:13" x14ac:dyDescent="0.25">
      <c r="A6579" s="8"/>
      <c r="C6579" s="5"/>
      <c r="M6579" s="9"/>
    </row>
    <row r="6580" spans="1:13" x14ac:dyDescent="0.25">
      <c r="A6580" s="8"/>
      <c r="C6580" s="5"/>
      <c r="M6580" s="9"/>
    </row>
    <row r="6581" spans="1:13" x14ac:dyDescent="0.25">
      <c r="A6581" s="8"/>
      <c r="C6581" s="5"/>
      <c r="M6581" s="9"/>
    </row>
    <row r="6582" spans="1:13" x14ac:dyDescent="0.25">
      <c r="A6582" s="8"/>
      <c r="C6582" s="5"/>
      <c r="M6582" s="9"/>
    </row>
    <row r="6583" spans="1:13" x14ac:dyDescent="0.25">
      <c r="A6583" s="8"/>
      <c r="C6583" s="5"/>
      <c r="M6583" s="9"/>
    </row>
    <row r="6584" spans="1:13" x14ac:dyDescent="0.25">
      <c r="A6584" s="8"/>
      <c r="C6584" s="5"/>
      <c r="M6584" s="9"/>
    </row>
    <row r="6585" spans="1:13" x14ac:dyDescent="0.25">
      <c r="A6585" s="8"/>
      <c r="C6585" s="5"/>
      <c r="M6585" s="9"/>
    </row>
    <row r="6586" spans="1:13" x14ac:dyDescent="0.25">
      <c r="A6586" s="8"/>
      <c r="C6586" s="5"/>
      <c r="M6586" s="9"/>
    </row>
    <row r="6587" spans="1:13" x14ac:dyDescent="0.25">
      <c r="A6587" s="8"/>
      <c r="C6587" s="5"/>
      <c r="M6587" s="9"/>
    </row>
    <row r="6588" spans="1:13" x14ac:dyDescent="0.25">
      <c r="A6588" s="8"/>
      <c r="C6588" s="5"/>
      <c r="M6588" s="9"/>
    </row>
    <row r="6589" spans="1:13" x14ac:dyDescent="0.25">
      <c r="A6589" s="8"/>
      <c r="C6589" s="5"/>
      <c r="M6589" s="9"/>
    </row>
    <row r="6590" spans="1:13" x14ac:dyDescent="0.25">
      <c r="A6590" s="8"/>
      <c r="C6590" s="5"/>
      <c r="M6590" s="9"/>
    </row>
    <row r="6591" spans="1:13" x14ac:dyDescent="0.25">
      <c r="A6591" s="8"/>
      <c r="C6591" s="5"/>
      <c r="M6591" s="9"/>
    </row>
    <row r="6592" spans="1:13" x14ac:dyDescent="0.25">
      <c r="A6592" s="8"/>
      <c r="C6592" s="5"/>
      <c r="M6592" s="9"/>
    </row>
    <row r="6593" spans="1:13" x14ac:dyDescent="0.25">
      <c r="A6593" s="8"/>
      <c r="C6593" s="5"/>
      <c r="M6593" s="9"/>
    </row>
    <row r="6594" spans="1:13" x14ac:dyDescent="0.25">
      <c r="A6594" s="8"/>
      <c r="C6594" s="5"/>
      <c r="M6594" s="9"/>
    </row>
    <row r="6595" spans="1:13" x14ac:dyDescent="0.25">
      <c r="A6595" s="8"/>
      <c r="C6595" s="5"/>
      <c r="M6595" s="9"/>
    </row>
    <row r="6596" spans="1:13" x14ac:dyDescent="0.25">
      <c r="A6596" s="8"/>
      <c r="C6596" s="5"/>
      <c r="M6596" s="9"/>
    </row>
    <row r="6597" spans="1:13" x14ac:dyDescent="0.25">
      <c r="A6597" s="8"/>
      <c r="C6597" s="5"/>
      <c r="M6597" s="9"/>
    </row>
    <row r="6598" spans="1:13" x14ac:dyDescent="0.25">
      <c r="A6598" s="8"/>
      <c r="C6598" s="5"/>
      <c r="M6598" s="9"/>
    </row>
    <row r="6599" spans="1:13" x14ac:dyDescent="0.25">
      <c r="A6599" s="8"/>
      <c r="C6599" s="5"/>
      <c r="M6599" s="9"/>
    </row>
    <row r="6600" spans="1:13" x14ac:dyDescent="0.25">
      <c r="A6600" s="8"/>
      <c r="C6600" s="5"/>
      <c r="M6600" s="9"/>
    </row>
    <row r="6601" spans="1:13" x14ac:dyDescent="0.25">
      <c r="A6601" s="8"/>
      <c r="C6601" s="5"/>
      <c r="M6601" s="9"/>
    </row>
    <row r="6602" spans="1:13" x14ac:dyDescent="0.25">
      <c r="A6602" s="8"/>
      <c r="C6602" s="5"/>
      <c r="M6602" s="9"/>
    </row>
    <row r="6603" spans="1:13" x14ac:dyDescent="0.25">
      <c r="A6603" s="8"/>
      <c r="C6603" s="5"/>
      <c r="M6603" s="9"/>
    </row>
    <row r="6604" spans="1:13" x14ac:dyDescent="0.25">
      <c r="A6604" s="8"/>
      <c r="C6604" s="5"/>
      <c r="M6604" s="9"/>
    </row>
    <row r="6605" spans="1:13" x14ac:dyDescent="0.25">
      <c r="A6605" s="8"/>
      <c r="C6605" s="5"/>
      <c r="M6605" s="9"/>
    </row>
    <row r="6606" spans="1:13" x14ac:dyDescent="0.25">
      <c r="A6606" s="8"/>
      <c r="C6606" s="5"/>
      <c r="M6606" s="9"/>
    </row>
    <row r="6607" spans="1:13" x14ac:dyDescent="0.25">
      <c r="A6607" s="8"/>
      <c r="C6607" s="5"/>
      <c r="M6607" s="9"/>
    </row>
    <row r="6608" spans="1:13" x14ac:dyDescent="0.25">
      <c r="A6608" s="8"/>
      <c r="C6608" s="5"/>
      <c r="M6608" s="9"/>
    </row>
    <row r="6609" spans="1:13" x14ac:dyDescent="0.25">
      <c r="A6609" s="8"/>
      <c r="C6609" s="5"/>
      <c r="M6609" s="9"/>
    </row>
    <row r="6610" spans="1:13" x14ac:dyDescent="0.25">
      <c r="A6610" s="8"/>
      <c r="C6610" s="5"/>
      <c r="M6610" s="9"/>
    </row>
    <row r="6611" spans="1:13" x14ac:dyDescent="0.25">
      <c r="A6611" s="8"/>
      <c r="C6611" s="5"/>
      <c r="M6611" s="9"/>
    </row>
    <row r="6612" spans="1:13" x14ac:dyDescent="0.25">
      <c r="A6612" s="8"/>
      <c r="C6612" s="5"/>
      <c r="M6612" s="9"/>
    </row>
    <row r="6613" spans="1:13" x14ac:dyDescent="0.25">
      <c r="A6613" s="8"/>
      <c r="C6613" s="5"/>
      <c r="M6613" s="9"/>
    </row>
    <row r="6614" spans="1:13" x14ac:dyDescent="0.25">
      <c r="A6614" s="8"/>
      <c r="C6614" s="5"/>
      <c r="M6614" s="9"/>
    </row>
    <row r="6615" spans="1:13" x14ac:dyDescent="0.25">
      <c r="A6615" s="8"/>
      <c r="C6615" s="5"/>
      <c r="M6615" s="9"/>
    </row>
    <row r="6616" spans="1:13" x14ac:dyDescent="0.25">
      <c r="A6616" s="8"/>
      <c r="C6616" s="5"/>
      <c r="M6616" s="9"/>
    </row>
    <row r="6617" spans="1:13" x14ac:dyDescent="0.25">
      <c r="A6617" s="8"/>
      <c r="C6617" s="5"/>
      <c r="M6617" s="9"/>
    </row>
    <row r="6618" spans="1:13" x14ac:dyDescent="0.25">
      <c r="A6618" s="8"/>
      <c r="C6618" s="5"/>
      <c r="M6618" s="9"/>
    </row>
    <row r="6619" spans="1:13" x14ac:dyDescent="0.25">
      <c r="A6619" s="8"/>
      <c r="C6619" s="5"/>
      <c r="M6619" s="9"/>
    </row>
    <row r="6620" spans="1:13" x14ac:dyDescent="0.25">
      <c r="A6620" s="8"/>
      <c r="C6620" s="5"/>
      <c r="M6620" s="9"/>
    </row>
    <row r="6621" spans="1:13" x14ac:dyDescent="0.25">
      <c r="A6621" s="8"/>
      <c r="C6621" s="5"/>
      <c r="M6621" s="9"/>
    </row>
    <row r="6622" spans="1:13" x14ac:dyDescent="0.25">
      <c r="A6622" s="8"/>
      <c r="C6622" s="5"/>
      <c r="M6622" s="9"/>
    </row>
    <row r="6623" spans="1:13" x14ac:dyDescent="0.25">
      <c r="A6623" s="8"/>
      <c r="C6623" s="5"/>
      <c r="M6623" s="9"/>
    </row>
    <row r="6624" spans="1:13" x14ac:dyDescent="0.25">
      <c r="A6624" s="8"/>
      <c r="C6624" s="5"/>
      <c r="M6624" s="9"/>
    </row>
    <row r="6625" spans="1:13" x14ac:dyDescent="0.25">
      <c r="A6625" s="8"/>
      <c r="C6625" s="5"/>
      <c r="M6625" s="9"/>
    </row>
    <row r="6626" spans="1:13" x14ac:dyDescent="0.25">
      <c r="A6626" s="8"/>
      <c r="C6626" s="5"/>
      <c r="M6626" s="9"/>
    </row>
    <row r="6627" spans="1:13" x14ac:dyDescent="0.25">
      <c r="A6627" s="8"/>
      <c r="C6627" s="5"/>
      <c r="M6627" s="9"/>
    </row>
    <row r="6628" spans="1:13" x14ac:dyDescent="0.25">
      <c r="A6628" s="8"/>
      <c r="C6628" s="5"/>
      <c r="M6628" s="9"/>
    </row>
    <row r="6629" spans="1:13" x14ac:dyDescent="0.25">
      <c r="A6629" s="8"/>
      <c r="C6629" s="5"/>
      <c r="M6629" s="9"/>
    </row>
    <row r="6630" spans="1:13" x14ac:dyDescent="0.25">
      <c r="A6630" s="8"/>
      <c r="C6630" s="5"/>
      <c r="M6630" s="9"/>
    </row>
    <row r="6631" spans="1:13" x14ac:dyDescent="0.25">
      <c r="A6631" s="8"/>
      <c r="C6631" s="5"/>
      <c r="M6631" s="9"/>
    </row>
    <row r="6632" spans="1:13" x14ac:dyDescent="0.25">
      <c r="A6632" s="8"/>
      <c r="C6632" s="5"/>
      <c r="M6632" s="9"/>
    </row>
    <row r="6633" spans="1:13" x14ac:dyDescent="0.25">
      <c r="A6633" s="8"/>
      <c r="C6633" s="5"/>
      <c r="M6633" s="9"/>
    </row>
    <row r="6634" spans="1:13" x14ac:dyDescent="0.25">
      <c r="A6634" s="8"/>
      <c r="C6634" s="5"/>
      <c r="M6634" s="9"/>
    </row>
    <row r="6635" spans="1:13" x14ac:dyDescent="0.25">
      <c r="A6635" s="8"/>
      <c r="C6635" s="5"/>
      <c r="M6635" s="9"/>
    </row>
    <row r="6636" spans="1:13" x14ac:dyDescent="0.25">
      <c r="A6636" s="8"/>
      <c r="C6636" s="5"/>
      <c r="M6636" s="9"/>
    </row>
    <row r="6637" spans="1:13" x14ac:dyDescent="0.25">
      <c r="A6637" s="8"/>
      <c r="C6637" s="5"/>
      <c r="M6637" s="9"/>
    </row>
    <row r="6638" spans="1:13" x14ac:dyDescent="0.25">
      <c r="A6638" s="8"/>
      <c r="C6638" s="5"/>
      <c r="M6638" s="9"/>
    </row>
    <row r="6639" spans="1:13" x14ac:dyDescent="0.25">
      <c r="A6639" s="8"/>
      <c r="C6639" s="5"/>
      <c r="M6639" s="9"/>
    </row>
    <row r="6640" spans="1:13" x14ac:dyDescent="0.25">
      <c r="A6640" s="8"/>
      <c r="C6640" s="5"/>
      <c r="M6640" s="9"/>
    </row>
    <row r="6641" spans="1:13" x14ac:dyDescent="0.25">
      <c r="A6641" s="8"/>
      <c r="C6641" s="5"/>
      <c r="M6641" s="9"/>
    </row>
    <row r="6642" spans="1:13" x14ac:dyDescent="0.25">
      <c r="A6642" s="8"/>
      <c r="C6642" s="5"/>
      <c r="M6642" s="9"/>
    </row>
    <row r="6643" spans="1:13" x14ac:dyDescent="0.25">
      <c r="A6643" s="8"/>
      <c r="C6643" s="5"/>
      <c r="M6643" s="9"/>
    </row>
    <row r="6644" spans="1:13" x14ac:dyDescent="0.25">
      <c r="A6644" s="8"/>
      <c r="C6644" s="5"/>
      <c r="M6644" s="9"/>
    </row>
    <row r="6645" spans="1:13" x14ac:dyDescent="0.25">
      <c r="A6645" s="8"/>
      <c r="C6645" s="5"/>
      <c r="M6645" s="9"/>
    </row>
    <row r="6646" spans="1:13" x14ac:dyDescent="0.25">
      <c r="A6646" s="8"/>
      <c r="C6646" s="5"/>
      <c r="M6646" s="9"/>
    </row>
    <row r="6647" spans="1:13" x14ac:dyDescent="0.25">
      <c r="A6647" s="8"/>
      <c r="C6647" s="5"/>
      <c r="M6647" s="9"/>
    </row>
    <row r="6648" spans="1:13" x14ac:dyDescent="0.25">
      <c r="A6648" s="8"/>
      <c r="C6648" s="5"/>
      <c r="M6648" s="9"/>
    </row>
    <row r="6649" spans="1:13" x14ac:dyDescent="0.25">
      <c r="A6649" s="8"/>
      <c r="C6649" s="5"/>
      <c r="M6649" s="9"/>
    </row>
    <row r="6650" spans="1:13" x14ac:dyDescent="0.25">
      <c r="A6650" s="8"/>
      <c r="C6650" s="5"/>
      <c r="M6650" s="9"/>
    </row>
    <row r="6651" spans="1:13" x14ac:dyDescent="0.25">
      <c r="A6651" s="8"/>
      <c r="C6651" s="5"/>
      <c r="M6651" s="9"/>
    </row>
    <row r="6652" spans="1:13" x14ac:dyDescent="0.25">
      <c r="A6652" s="8"/>
      <c r="C6652" s="5"/>
      <c r="M6652" s="9"/>
    </row>
    <row r="6653" spans="1:13" x14ac:dyDescent="0.25">
      <c r="A6653" s="8"/>
      <c r="C6653" s="5"/>
      <c r="M6653" s="9"/>
    </row>
    <row r="6654" spans="1:13" x14ac:dyDescent="0.25">
      <c r="A6654" s="8"/>
      <c r="C6654" s="5"/>
      <c r="M6654" s="9"/>
    </row>
    <row r="6655" spans="1:13" x14ac:dyDescent="0.25">
      <c r="A6655" s="8"/>
      <c r="C6655" s="5"/>
      <c r="M6655" s="9"/>
    </row>
    <row r="6656" spans="1:13" x14ac:dyDescent="0.25">
      <c r="A6656" s="8"/>
      <c r="C6656" s="5"/>
      <c r="M6656" s="9"/>
    </row>
    <row r="6657" spans="1:13" x14ac:dyDescent="0.25">
      <c r="A6657" s="8"/>
      <c r="C6657" s="5"/>
      <c r="M6657" s="9"/>
    </row>
    <row r="6658" spans="1:13" x14ac:dyDescent="0.25">
      <c r="A6658" s="8"/>
      <c r="C6658" s="5"/>
      <c r="M6658" s="9"/>
    </row>
    <row r="6659" spans="1:13" x14ac:dyDescent="0.25">
      <c r="A6659" s="8"/>
      <c r="C6659" s="5"/>
      <c r="M6659" s="9"/>
    </row>
    <row r="6660" spans="1:13" x14ac:dyDescent="0.25">
      <c r="A6660" s="8"/>
      <c r="C6660" s="5"/>
      <c r="M6660" s="9"/>
    </row>
    <row r="6661" spans="1:13" x14ac:dyDescent="0.25">
      <c r="A6661" s="8"/>
      <c r="C6661" s="5"/>
      <c r="M6661" s="9"/>
    </row>
    <row r="6662" spans="1:13" x14ac:dyDescent="0.25">
      <c r="A6662" s="8"/>
      <c r="C6662" s="5"/>
      <c r="M6662" s="9"/>
    </row>
    <row r="6663" spans="1:13" x14ac:dyDescent="0.25">
      <c r="A6663" s="8"/>
      <c r="C6663" s="5"/>
      <c r="M6663" s="9"/>
    </row>
    <row r="6664" spans="1:13" x14ac:dyDescent="0.25">
      <c r="A6664" s="8"/>
      <c r="C6664" s="5"/>
      <c r="M6664" s="9"/>
    </row>
    <row r="6665" spans="1:13" x14ac:dyDescent="0.25">
      <c r="A6665" s="8"/>
      <c r="C6665" s="5"/>
      <c r="M6665" s="9"/>
    </row>
    <row r="6666" spans="1:13" x14ac:dyDescent="0.25">
      <c r="A6666" s="8"/>
      <c r="C6666" s="5"/>
      <c r="M6666" s="9"/>
    </row>
    <row r="6667" spans="1:13" x14ac:dyDescent="0.25">
      <c r="A6667" s="8"/>
      <c r="C6667" s="5"/>
      <c r="M6667" s="9"/>
    </row>
    <row r="6668" spans="1:13" x14ac:dyDescent="0.25">
      <c r="A6668" s="8"/>
      <c r="C6668" s="5"/>
      <c r="M6668" s="9"/>
    </row>
    <row r="6669" spans="1:13" x14ac:dyDescent="0.25">
      <c r="A6669" s="8"/>
      <c r="C6669" s="5"/>
      <c r="M6669" s="9"/>
    </row>
    <row r="6670" spans="1:13" x14ac:dyDescent="0.25">
      <c r="A6670" s="8"/>
      <c r="C6670" s="5"/>
      <c r="M6670" s="9"/>
    </row>
    <row r="6671" spans="1:13" x14ac:dyDescent="0.25">
      <c r="A6671" s="8"/>
      <c r="C6671" s="5"/>
      <c r="M6671" s="9"/>
    </row>
    <row r="6672" spans="1:13" x14ac:dyDescent="0.25">
      <c r="A6672" s="8"/>
      <c r="C6672" s="5"/>
      <c r="M6672" s="9"/>
    </row>
    <row r="6673" spans="1:13" x14ac:dyDescent="0.25">
      <c r="A6673" s="8"/>
      <c r="C6673" s="5"/>
      <c r="M6673" s="9"/>
    </row>
    <row r="6674" spans="1:13" x14ac:dyDescent="0.25">
      <c r="A6674" s="8"/>
      <c r="C6674" s="5"/>
      <c r="M6674" s="9"/>
    </row>
    <row r="6675" spans="1:13" x14ac:dyDescent="0.25">
      <c r="A6675" s="8"/>
      <c r="C6675" s="5"/>
      <c r="M6675" s="9"/>
    </row>
    <row r="6676" spans="1:13" x14ac:dyDescent="0.25">
      <c r="A6676" s="8"/>
      <c r="C6676" s="5"/>
      <c r="M6676" s="9"/>
    </row>
    <row r="6677" spans="1:13" x14ac:dyDescent="0.25">
      <c r="A6677" s="8"/>
      <c r="C6677" s="5"/>
      <c r="M6677" s="9"/>
    </row>
    <row r="6678" spans="1:13" x14ac:dyDescent="0.25">
      <c r="A6678" s="8"/>
      <c r="C6678" s="5"/>
      <c r="M6678" s="9"/>
    </row>
    <row r="6679" spans="1:13" x14ac:dyDescent="0.25">
      <c r="A6679" s="8"/>
      <c r="C6679" s="5"/>
      <c r="M6679" s="9"/>
    </row>
    <row r="6680" spans="1:13" x14ac:dyDescent="0.25">
      <c r="A6680" s="8"/>
      <c r="C6680" s="5"/>
      <c r="M6680" s="9"/>
    </row>
    <row r="6681" spans="1:13" x14ac:dyDescent="0.25">
      <c r="A6681" s="8"/>
      <c r="C6681" s="5"/>
      <c r="M6681" s="9"/>
    </row>
    <row r="6682" spans="1:13" x14ac:dyDescent="0.25">
      <c r="A6682" s="8"/>
      <c r="C6682" s="5"/>
      <c r="M6682" s="9"/>
    </row>
    <row r="6683" spans="1:13" x14ac:dyDescent="0.25">
      <c r="A6683" s="8"/>
      <c r="C6683" s="5"/>
      <c r="M6683" s="9"/>
    </row>
    <row r="6684" spans="1:13" x14ac:dyDescent="0.25">
      <c r="A6684" s="8"/>
      <c r="C6684" s="5"/>
      <c r="M6684" s="9"/>
    </row>
    <row r="6685" spans="1:13" x14ac:dyDescent="0.25">
      <c r="A6685" s="8"/>
      <c r="C6685" s="5"/>
      <c r="M6685" s="9"/>
    </row>
    <row r="6686" spans="1:13" x14ac:dyDescent="0.25">
      <c r="A6686" s="8"/>
      <c r="C6686" s="5"/>
      <c r="M6686" s="9"/>
    </row>
    <row r="6687" spans="1:13" x14ac:dyDescent="0.25">
      <c r="A6687" s="8"/>
      <c r="C6687" s="5"/>
      <c r="M6687" s="9"/>
    </row>
    <row r="6688" spans="1:13" x14ac:dyDescent="0.25">
      <c r="A6688" s="8"/>
      <c r="C6688" s="5"/>
      <c r="M6688" s="9"/>
    </row>
    <row r="6689" spans="1:13" x14ac:dyDescent="0.25">
      <c r="A6689" s="8"/>
      <c r="C6689" s="5"/>
      <c r="M6689" s="9"/>
    </row>
    <row r="6690" spans="1:13" x14ac:dyDescent="0.25">
      <c r="A6690" s="8"/>
      <c r="C6690" s="5"/>
      <c r="M6690" s="9"/>
    </row>
    <row r="6691" spans="1:13" x14ac:dyDescent="0.25">
      <c r="A6691" s="8"/>
      <c r="C6691" s="5"/>
      <c r="M6691" s="9"/>
    </row>
    <row r="6692" spans="1:13" x14ac:dyDescent="0.25">
      <c r="A6692" s="8"/>
      <c r="C6692" s="5"/>
      <c r="M6692" s="9"/>
    </row>
    <row r="6693" spans="1:13" x14ac:dyDescent="0.25">
      <c r="A6693" s="8"/>
      <c r="C6693" s="5"/>
      <c r="M6693" s="9"/>
    </row>
    <row r="6694" spans="1:13" x14ac:dyDescent="0.25">
      <c r="A6694" s="8"/>
      <c r="C6694" s="5"/>
      <c r="M6694" s="9"/>
    </row>
    <row r="6695" spans="1:13" x14ac:dyDescent="0.25">
      <c r="A6695" s="8"/>
      <c r="C6695" s="5"/>
      <c r="M6695" s="9"/>
    </row>
    <row r="6696" spans="1:13" x14ac:dyDescent="0.25">
      <c r="A6696" s="8"/>
      <c r="C6696" s="5"/>
      <c r="M6696" s="9"/>
    </row>
    <row r="6697" spans="1:13" x14ac:dyDescent="0.25">
      <c r="A6697" s="8"/>
      <c r="C6697" s="5"/>
      <c r="M6697" s="9"/>
    </row>
    <row r="6698" spans="1:13" x14ac:dyDescent="0.25">
      <c r="A6698" s="8"/>
      <c r="C6698" s="5"/>
      <c r="M6698" s="9"/>
    </row>
    <row r="6699" spans="1:13" x14ac:dyDescent="0.25">
      <c r="A6699" s="8"/>
      <c r="C6699" s="5"/>
      <c r="M6699" s="9"/>
    </row>
    <row r="6700" spans="1:13" x14ac:dyDescent="0.25">
      <c r="A6700" s="8"/>
      <c r="C6700" s="5"/>
      <c r="M6700" s="9"/>
    </row>
    <row r="6701" spans="1:13" x14ac:dyDescent="0.25">
      <c r="A6701" s="8"/>
      <c r="C6701" s="5"/>
      <c r="M6701" s="9"/>
    </row>
    <row r="6702" spans="1:13" x14ac:dyDescent="0.25">
      <c r="A6702" s="8"/>
      <c r="C6702" s="5"/>
      <c r="M6702" s="9"/>
    </row>
    <row r="6703" spans="1:13" x14ac:dyDescent="0.25">
      <c r="A6703" s="8"/>
      <c r="C6703" s="5"/>
      <c r="M6703" s="9"/>
    </row>
    <row r="6704" spans="1:13" x14ac:dyDescent="0.25">
      <c r="A6704" s="8"/>
      <c r="C6704" s="5"/>
      <c r="M6704" s="9"/>
    </row>
    <row r="6705" spans="1:13" x14ac:dyDescent="0.25">
      <c r="A6705" s="8"/>
      <c r="C6705" s="5"/>
      <c r="M6705" s="9"/>
    </row>
    <row r="6706" spans="1:13" x14ac:dyDescent="0.25">
      <c r="A6706" s="8"/>
      <c r="C6706" s="5"/>
      <c r="M6706" s="9"/>
    </row>
    <row r="6707" spans="1:13" x14ac:dyDescent="0.25">
      <c r="A6707" s="8"/>
      <c r="C6707" s="5"/>
      <c r="M6707" s="9"/>
    </row>
    <row r="6708" spans="1:13" x14ac:dyDescent="0.25">
      <c r="A6708" s="8"/>
      <c r="C6708" s="5"/>
      <c r="M6708" s="9"/>
    </row>
    <row r="6709" spans="1:13" x14ac:dyDescent="0.25">
      <c r="A6709" s="8"/>
      <c r="C6709" s="5"/>
      <c r="M6709" s="9"/>
    </row>
    <row r="6710" spans="1:13" x14ac:dyDescent="0.25">
      <c r="A6710" s="8"/>
      <c r="C6710" s="5"/>
      <c r="M6710" s="9"/>
    </row>
    <row r="6711" spans="1:13" x14ac:dyDescent="0.25">
      <c r="A6711" s="8"/>
      <c r="C6711" s="5"/>
      <c r="M6711" s="9"/>
    </row>
    <row r="6712" spans="1:13" x14ac:dyDescent="0.25">
      <c r="A6712" s="8"/>
      <c r="C6712" s="5"/>
      <c r="M6712" s="9"/>
    </row>
    <row r="6713" spans="1:13" x14ac:dyDescent="0.25">
      <c r="A6713" s="8"/>
      <c r="C6713" s="5"/>
      <c r="M6713" s="9"/>
    </row>
    <row r="6714" spans="1:13" x14ac:dyDescent="0.25">
      <c r="A6714" s="8"/>
      <c r="C6714" s="5"/>
      <c r="M6714" s="9"/>
    </row>
    <row r="6715" spans="1:13" x14ac:dyDescent="0.25">
      <c r="A6715" s="8"/>
      <c r="C6715" s="5"/>
      <c r="M6715" s="9"/>
    </row>
    <row r="6716" spans="1:13" x14ac:dyDescent="0.25">
      <c r="A6716" s="8"/>
      <c r="C6716" s="5"/>
      <c r="M6716" s="9"/>
    </row>
    <row r="6717" spans="1:13" x14ac:dyDescent="0.25">
      <c r="A6717" s="8"/>
      <c r="C6717" s="5"/>
      <c r="M6717" s="9"/>
    </row>
    <row r="6718" spans="1:13" x14ac:dyDescent="0.25">
      <c r="A6718" s="8"/>
      <c r="C6718" s="5"/>
      <c r="M6718" s="9"/>
    </row>
    <row r="6719" spans="1:13" x14ac:dyDescent="0.25">
      <c r="A6719" s="8"/>
      <c r="C6719" s="5"/>
      <c r="M6719" s="9"/>
    </row>
    <row r="6720" spans="1:13" x14ac:dyDescent="0.25">
      <c r="A6720" s="8"/>
      <c r="C6720" s="5"/>
      <c r="M6720" s="9"/>
    </row>
    <row r="6721" spans="1:13" x14ac:dyDescent="0.25">
      <c r="A6721" s="8"/>
      <c r="C6721" s="5"/>
      <c r="M6721" s="9"/>
    </row>
    <row r="6722" spans="1:13" x14ac:dyDescent="0.25">
      <c r="A6722" s="8"/>
      <c r="C6722" s="5"/>
      <c r="M6722" s="9"/>
    </row>
    <row r="6723" spans="1:13" x14ac:dyDescent="0.25">
      <c r="A6723" s="8"/>
      <c r="C6723" s="5"/>
      <c r="M6723" s="9"/>
    </row>
    <row r="6724" spans="1:13" x14ac:dyDescent="0.25">
      <c r="A6724" s="8"/>
      <c r="C6724" s="5"/>
      <c r="M6724" s="9"/>
    </row>
    <row r="6725" spans="1:13" x14ac:dyDescent="0.25">
      <c r="A6725" s="8"/>
      <c r="C6725" s="5"/>
      <c r="M6725" s="9"/>
    </row>
    <row r="6726" spans="1:13" x14ac:dyDescent="0.25">
      <c r="A6726" s="8"/>
      <c r="C6726" s="5"/>
      <c r="M6726" s="9"/>
    </row>
    <row r="6727" spans="1:13" x14ac:dyDescent="0.25">
      <c r="A6727" s="8"/>
      <c r="C6727" s="5"/>
      <c r="M6727" s="9"/>
    </row>
    <row r="6728" spans="1:13" x14ac:dyDescent="0.25">
      <c r="A6728" s="8"/>
      <c r="C6728" s="5"/>
      <c r="M6728" s="9"/>
    </row>
    <row r="6729" spans="1:13" x14ac:dyDescent="0.25">
      <c r="A6729" s="8"/>
      <c r="C6729" s="5"/>
      <c r="M6729" s="9"/>
    </row>
    <row r="6730" spans="1:13" x14ac:dyDescent="0.25">
      <c r="A6730" s="8"/>
      <c r="C6730" s="5"/>
      <c r="M6730" s="9"/>
    </row>
    <row r="6731" spans="1:13" x14ac:dyDescent="0.25">
      <c r="A6731" s="8"/>
      <c r="C6731" s="5"/>
      <c r="M6731" s="9"/>
    </row>
    <row r="6732" spans="1:13" x14ac:dyDescent="0.25">
      <c r="A6732" s="8"/>
      <c r="C6732" s="5"/>
      <c r="M6732" s="9"/>
    </row>
    <row r="6733" spans="1:13" x14ac:dyDescent="0.25">
      <c r="A6733" s="8"/>
      <c r="C6733" s="5"/>
      <c r="M6733" s="9"/>
    </row>
    <row r="6734" spans="1:13" x14ac:dyDescent="0.25">
      <c r="A6734" s="8"/>
      <c r="C6734" s="5"/>
      <c r="M6734" s="9"/>
    </row>
    <row r="6735" spans="1:13" x14ac:dyDescent="0.25">
      <c r="A6735" s="8"/>
      <c r="C6735" s="5"/>
      <c r="M6735" s="9"/>
    </row>
    <row r="6736" spans="1:13" x14ac:dyDescent="0.25">
      <c r="A6736" s="8"/>
      <c r="C6736" s="5"/>
      <c r="M6736" s="9"/>
    </row>
    <row r="6737" spans="1:13" x14ac:dyDescent="0.25">
      <c r="A6737" s="8"/>
      <c r="C6737" s="5"/>
      <c r="M6737" s="9"/>
    </row>
    <row r="6738" spans="1:13" x14ac:dyDescent="0.25">
      <c r="A6738" s="8"/>
      <c r="C6738" s="5"/>
      <c r="M6738" s="9"/>
    </row>
    <row r="6739" spans="1:13" x14ac:dyDescent="0.25">
      <c r="A6739" s="8"/>
      <c r="C6739" s="5"/>
      <c r="M6739" s="9"/>
    </row>
    <row r="6740" spans="1:13" x14ac:dyDescent="0.25">
      <c r="A6740" s="8"/>
      <c r="C6740" s="5"/>
      <c r="M6740" s="9"/>
    </row>
    <row r="6741" spans="1:13" x14ac:dyDescent="0.25">
      <c r="A6741" s="8"/>
      <c r="C6741" s="5"/>
      <c r="M6741" s="9"/>
    </row>
    <row r="6742" spans="1:13" x14ac:dyDescent="0.25">
      <c r="A6742" s="8"/>
      <c r="C6742" s="5"/>
      <c r="M6742" s="9"/>
    </row>
    <row r="6743" spans="1:13" x14ac:dyDescent="0.25">
      <c r="A6743" s="8"/>
      <c r="C6743" s="5"/>
      <c r="M6743" s="9"/>
    </row>
    <row r="6744" spans="1:13" x14ac:dyDescent="0.25">
      <c r="A6744" s="8"/>
      <c r="C6744" s="5"/>
      <c r="M6744" s="9"/>
    </row>
    <row r="6745" spans="1:13" x14ac:dyDescent="0.25">
      <c r="A6745" s="8"/>
      <c r="C6745" s="5"/>
      <c r="M6745" s="9"/>
    </row>
    <row r="6746" spans="1:13" x14ac:dyDescent="0.25">
      <c r="A6746" s="8"/>
      <c r="C6746" s="5"/>
      <c r="M6746" s="9"/>
    </row>
    <row r="6747" spans="1:13" x14ac:dyDescent="0.25">
      <c r="A6747" s="8"/>
      <c r="C6747" s="5"/>
      <c r="M6747" s="9"/>
    </row>
    <row r="6748" spans="1:13" x14ac:dyDescent="0.25">
      <c r="A6748" s="8"/>
      <c r="C6748" s="5"/>
      <c r="M6748" s="9"/>
    </row>
    <row r="6749" spans="1:13" x14ac:dyDescent="0.25">
      <c r="A6749" s="8"/>
      <c r="C6749" s="5"/>
      <c r="M6749" s="9"/>
    </row>
    <row r="6750" spans="1:13" x14ac:dyDescent="0.25">
      <c r="A6750" s="8"/>
      <c r="C6750" s="5"/>
      <c r="M6750" s="9"/>
    </row>
    <row r="6751" spans="1:13" x14ac:dyDescent="0.25">
      <c r="A6751" s="8"/>
      <c r="C6751" s="5"/>
      <c r="M6751" s="9"/>
    </row>
    <row r="6752" spans="1:13" x14ac:dyDescent="0.25">
      <c r="A6752" s="8"/>
      <c r="C6752" s="5"/>
      <c r="M6752" s="9"/>
    </row>
    <row r="6753" spans="1:13" x14ac:dyDescent="0.25">
      <c r="A6753" s="8"/>
      <c r="C6753" s="5"/>
      <c r="M6753" s="9"/>
    </row>
    <row r="6754" spans="1:13" x14ac:dyDescent="0.25">
      <c r="A6754" s="8"/>
      <c r="C6754" s="5"/>
      <c r="M6754" s="9"/>
    </row>
    <row r="6755" spans="1:13" x14ac:dyDescent="0.25">
      <c r="A6755" s="8"/>
      <c r="C6755" s="5"/>
      <c r="M6755" s="9"/>
    </row>
    <row r="6756" spans="1:13" x14ac:dyDescent="0.25">
      <c r="A6756" s="8"/>
      <c r="C6756" s="5"/>
      <c r="M6756" s="9"/>
    </row>
    <row r="6757" spans="1:13" x14ac:dyDescent="0.25">
      <c r="A6757" s="8"/>
      <c r="C6757" s="5"/>
      <c r="M6757" s="9"/>
    </row>
    <row r="6758" spans="1:13" x14ac:dyDescent="0.25">
      <c r="A6758" s="8"/>
      <c r="C6758" s="5"/>
      <c r="M6758" s="9"/>
    </row>
    <row r="6759" spans="1:13" x14ac:dyDescent="0.25">
      <c r="A6759" s="8"/>
      <c r="C6759" s="5"/>
      <c r="M6759" s="9"/>
    </row>
    <row r="6760" spans="1:13" x14ac:dyDescent="0.25">
      <c r="A6760" s="8"/>
      <c r="C6760" s="5"/>
      <c r="M6760" s="9"/>
    </row>
    <row r="6761" spans="1:13" x14ac:dyDescent="0.25">
      <c r="A6761" s="8"/>
      <c r="C6761" s="5"/>
      <c r="M6761" s="9"/>
    </row>
    <row r="6762" spans="1:13" x14ac:dyDescent="0.25">
      <c r="A6762" s="8"/>
      <c r="C6762" s="5"/>
      <c r="M6762" s="9"/>
    </row>
    <row r="6763" spans="1:13" x14ac:dyDescent="0.25">
      <c r="A6763" s="8"/>
      <c r="C6763" s="5"/>
      <c r="M6763" s="9"/>
    </row>
    <row r="6764" spans="1:13" x14ac:dyDescent="0.25">
      <c r="A6764" s="8"/>
      <c r="C6764" s="5"/>
      <c r="M6764" s="9"/>
    </row>
    <row r="6765" spans="1:13" x14ac:dyDescent="0.25">
      <c r="A6765" s="8"/>
      <c r="C6765" s="5"/>
      <c r="M6765" s="9"/>
    </row>
    <row r="6766" spans="1:13" x14ac:dyDescent="0.25">
      <c r="A6766" s="8"/>
      <c r="C6766" s="5"/>
      <c r="M6766" s="9"/>
    </row>
    <row r="6767" spans="1:13" x14ac:dyDescent="0.25">
      <c r="A6767" s="8"/>
      <c r="C6767" s="5"/>
      <c r="M6767" s="9"/>
    </row>
    <row r="6768" spans="1:13" x14ac:dyDescent="0.25">
      <c r="A6768" s="8"/>
      <c r="C6768" s="5"/>
      <c r="M6768" s="9"/>
    </row>
    <row r="6769" spans="1:13" x14ac:dyDescent="0.25">
      <c r="A6769" s="8"/>
      <c r="C6769" s="5"/>
      <c r="M6769" s="9"/>
    </row>
    <row r="6770" spans="1:13" x14ac:dyDescent="0.25">
      <c r="A6770" s="8"/>
      <c r="C6770" s="5"/>
      <c r="M6770" s="9"/>
    </row>
    <row r="6771" spans="1:13" x14ac:dyDescent="0.25">
      <c r="A6771" s="8"/>
      <c r="C6771" s="5"/>
      <c r="M6771" s="9"/>
    </row>
    <row r="6772" spans="1:13" x14ac:dyDescent="0.25">
      <c r="A6772" s="8"/>
      <c r="C6772" s="5"/>
      <c r="M6772" s="9"/>
    </row>
    <row r="6773" spans="1:13" x14ac:dyDescent="0.25">
      <c r="A6773" s="8"/>
      <c r="C6773" s="5"/>
      <c r="M6773" s="9"/>
    </row>
    <row r="6774" spans="1:13" x14ac:dyDescent="0.25">
      <c r="A6774" s="8"/>
      <c r="C6774" s="5"/>
      <c r="M6774" s="9"/>
    </row>
    <row r="6775" spans="1:13" x14ac:dyDescent="0.25">
      <c r="A6775" s="8"/>
      <c r="C6775" s="5"/>
      <c r="M6775" s="9"/>
    </row>
    <row r="6776" spans="1:13" x14ac:dyDescent="0.25">
      <c r="A6776" s="8"/>
      <c r="C6776" s="5"/>
      <c r="M6776" s="9"/>
    </row>
    <row r="6777" spans="1:13" x14ac:dyDescent="0.25">
      <c r="A6777" s="8"/>
      <c r="C6777" s="5"/>
      <c r="M6777" s="9"/>
    </row>
    <row r="6778" spans="1:13" x14ac:dyDescent="0.25">
      <c r="A6778" s="8"/>
      <c r="C6778" s="5"/>
      <c r="M6778" s="9"/>
    </row>
    <row r="6779" spans="1:13" x14ac:dyDescent="0.25">
      <c r="A6779" s="8"/>
      <c r="C6779" s="5"/>
      <c r="M6779" s="9"/>
    </row>
    <row r="6780" spans="1:13" x14ac:dyDescent="0.25">
      <c r="A6780" s="8"/>
      <c r="C6780" s="5"/>
      <c r="M6780" s="9"/>
    </row>
    <row r="6781" spans="1:13" x14ac:dyDescent="0.25">
      <c r="A6781" s="8"/>
      <c r="C6781" s="5"/>
      <c r="M6781" s="9"/>
    </row>
    <row r="6782" spans="1:13" x14ac:dyDescent="0.25">
      <c r="A6782" s="8"/>
      <c r="C6782" s="5"/>
      <c r="M6782" s="9"/>
    </row>
    <row r="6783" spans="1:13" x14ac:dyDescent="0.25">
      <c r="A6783" s="8"/>
      <c r="C6783" s="5"/>
      <c r="M6783" s="9"/>
    </row>
    <row r="6784" spans="1:13" x14ac:dyDescent="0.25">
      <c r="A6784" s="8"/>
      <c r="C6784" s="5"/>
      <c r="M6784" s="9"/>
    </row>
    <row r="6785" spans="1:13" x14ac:dyDescent="0.25">
      <c r="A6785" s="8"/>
      <c r="C6785" s="5"/>
      <c r="M6785" s="9"/>
    </row>
    <row r="6786" spans="1:13" x14ac:dyDescent="0.25">
      <c r="A6786" s="8"/>
      <c r="C6786" s="5"/>
      <c r="M6786" s="9"/>
    </row>
    <row r="6787" spans="1:13" x14ac:dyDescent="0.25">
      <c r="A6787" s="8"/>
      <c r="C6787" s="5"/>
      <c r="M6787" s="9"/>
    </row>
    <row r="6788" spans="1:13" x14ac:dyDescent="0.25">
      <c r="A6788" s="8"/>
      <c r="C6788" s="5"/>
      <c r="M6788" s="9"/>
    </row>
    <row r="6789" spans="1:13" x14ac:dyDescent="0.25">
      <c r="A6789" s="8"/>
      <c r="C6789" s="5"/>
      <c r="M6789" s="9"/>
    </row>
    <row r="6790" spans="1:13" x14ac:dyDescent="0.25">
      <c r="A6790" s="8"/>
      <c r="C6790" s="5"/>
      <c r="M6790" s="9"/>
    </row>
    <row r="6791" spans="1:13" x14ac:dyDescent="0.25">
      <c r="A6791" s="8"/>
      <c r="C6791" s="5"/>
      <c r="M6791" s="9"/>
    </row>
    <row r="6792" spans="1:13" x14ac:dyDescent="0.25">
      <c r="A6792" s="8"/>
      <c r="C6792" s="5"/>
      <c r="M6792" s="9"/>
    </row>
    <row r="6793" spans="1:13" x14ac:dyDescent="0.25">
      <c r="A6793" s="8"/>
      <c r="C6793" s="5"/>
      <c r="M6793" s="9"/>
    </row>
    <row r="6794" spans="1:13" x14ac:dyDescent="0.25">
      <c r="A6794" s="8"/>
      <c r="C6794" s="5"/>
      <c r="M6794" s="9"/>
    </row>
    <row r="6795" spans="1:13" x14ac:dyDescent="0.25">
      <c r="A6795" s="8"/>
      <c r="C6795" s="5"/>
      <c r="M6795" s="9"/>
    </row>
    <row r="6796" spans="1:13" x14ac:dyDescent="0.25">
      <c r="A6796" s="8"/>
      <c r="C6796" s="5"/>
      <c r="M6796" s="9"/>
    </row>
    <row r="6797" spans="1:13" x14ac:dyDescent="0.25">
      <c r="A6797" s="8"/>
      <c r="C6797" s="5"/>
      <c r="M6797" s="9"/>
    </row>
    <row r="6798" spans="1:13" x14ac:dyDescent="0.25">
      <c r="A6798" s="8"/>
      <c r="C6798" s="5"/>
      <c r="M6798" s="9"/>
    </row>
    <row r="6799" spans="1:13" x14ac:dyDescent="0.25">
      <c r="A6799" s="8"/>
      <c r="C6799" s="5"/>
      <c r="M6799" s="9"/>
    </row>
    <row r="6800" spans="1:13" x14ac:dyDescent="0.25">
      <c r="A6800" s="8"/>
      <c r="C6800" s="5"/>
      <c r="M6800" s="9"/>
    </row>
    <row r="6801" spans="1:13" x14ac:dyDescent="0.25">
      <c r="A6801" s="8"/>
      <c r="C6801" s="5"/>
      <c r="M6801" s="9"/>
    </row>
    <row r="6802" spans="1:13" x14ac:dyDescent="0.25">
      <c r="A6802" s="8"/>
      <c r="C6802" s="5"/>
      <c r="M6802" s="9"/>
    </row>
    <row r="6803" spans="1:13" x14ac:dyDescent="0.25">
      <c r="A6803" s="8"/>
      <c r="C6803" s="5"/>
      <c r="M6803" s="9"/>
    </row>
    <row r="6804" spans="1:13" x14ac:dyDescent="0.25">
      <c r="A6804" s="8"/>
      <c r="C6804" s="5"/>
      <c r="M6804" s="9"/>
    </row>
    <row r="6805" spans="1:13" x14ac:dyDescent="0.25">
      <c r="A6805" s="8"/>
      <c r="C6805" s="5"/>
      <c r="M6805" s="9"/>
    </row>
    <row r="6806" spans="1:13" x14ac:dyDescent="0.25">
      <c r="A6806" s="8"/>
      <c r="C6806" s="5"/>
      <c r="M6806" s="9"/>
    </row>
    <row r="6807" spans="1:13" x14ac:dyDescent="0.25">
      <c r="A6807" s="8"/>
      <c r="C6807" s="5"/>
      <c r="M6807" s="9"/>
    </row>
    <row r="6808" spans="1:13" x14ac:dyDescent="0.25">
      <c r="A6808" s="8"/>
      <c r="C6808" s="5"/>
      <c r="M6808" s="9"/>
    </row>
    <row r="6809" spans="1:13" x14ac:dyDescent="0.25">
      <c r="A6809" s="8"/>
      <c r="C6809" s="5"/>
      <c r="M6809" s="9"/>
    </row>
    <row r="6810" spans="1:13" x14ac:dyDescent="0.25">
      <c r="A6810" s="8"/>
      <c r="C6810" s="5"/>
      <c r="M6810" s="9"/>
    </row>
    <row r="6811" spans="1:13" x14ac:dyDescent="0.25">
      <c r="A6811" s="8"/>
      <c r="C6811" s="5"/>
      <c r="M6811" s="9"/>
    </row>
    <row r="6812" spans="1:13" x14ac:dyDescent="0.25">
      <c r="A6812" s="8"/>
      <c r="C6812" s="5"/>
      <c r="M6812" s="9"/>
    </row>
    <row r="6813" spans="1:13" x14ac:dyDescent="0.25">
      <c r="A6813" s="8"/>
      <c r="C6813" s="5"/>
      <c r="M6813" s="9"/>
    </row>
    <row r="6814" spans="1:13" x14ac:dyDescent="0.25">
      <c r="A6814" s="8"/>
      <c r="C6814" s="5"/>
      <c r="M6814" s="9"/>
    </row>
    <row r="6815" spans="1:13" x14ac:dyDescent="0.25">
      <c r="A6815" s="8"/>
      <c r="C6815" s="5"/>
      <c r="M6815" s="9"/>
    </row>
    <row r="6816" spans="1:13" x14ac:dyDescent="0.25">
      <c r="A6816" s="8"/>
      <c r="C6816" s="5"/>
      <c r="M6816" s="9"/>
    </row>
    <row r="6817" spans="1:13" x14ac:dyDescent="0.25">
      <c r="A6817" s="8"/>
      <c r="C6817" s="5"/>
      <c r="M6817" s="9"/>
    </row>
    <row r="6818" spans="1:13" x14ac:dyDescent="0.25">
      <c r="A6818" s="8"/>
      <c r="C6818" s="5"/>
      <c r="M6818" s="9"/>
    </row>
    <row r="6819" spans="1:13" x14ac:dyDescent="0.25">
      <c r="A6819" s="8"/>
      <c r="C6819" s="5"/>
      <c r="M6819" s="9"/>
    </row>
    <row r="6820" spans="1:13" x14ac:dyDescent="0.25">
      <c r="A6820" s="8"/>
      <c r="C6820" s="5"/>
      <c r="M6820" s="9"/>
    </row>
    <row r="6821" spans="1:13" x14ac:dyDescent="0.25">
      <c r="A6821" s="8"/>
      <c r="C6821" s="5"/>
      <c r="M6821" s="9"/>
    </row>
    <row r="6822" spans="1:13" x14ac:dyDescent="0.25">
      <c r="A6822" s="8"/>
      <c r="C6822" s="5"/>
      <c r="M6822" s="9"/>
    </row>
    <row r="6823" spans="1:13" x14ac:dyDescent="0.25">
      <c r="A6823" s="8"/>
      <c r="C6823" s="5"/>
      <c r="M6823" s="9"/>
    </row>
    <row r="6824" spans="1:13" x14ac:dyDescent="0.25">
      <c r="A6824" s="8"/>
      <c r="C6824" s="5"/>
      <c r="M6824" s="9"/>
    </row>
    <row r="6825" spans="1:13" x14ac:dyDescent="0.25">
      <c r="A6825" s="8"/>
      <c r="C6825" s="5"/>
      <c r="M6825" s="9"/>
    </row>
    <row r="6826" spans="1:13" x14ac:dyDescent="0.25">
      <c r="A6826" s="8"/>
      <c r="C6826" s="5"/>
      <c r="M6826" s="9"/>
    </row>
    <row r="6827" spans="1:13" x14ac:dyDescent="0.25">
      <c r="A6827" s="8"/>
      <c r="C6827" s="5"/>
      <c r="M6827" s="9"/>
    </row>
    <row r="6828" spans="1:13" x14ac:dyDescent="0.25">
      <c r="A6828" s="8"/>
      <c r="C6828" s="5"/>
      <c r="M6828" s="9"/>
    </row>
    <row r="6829" spans="1:13" x14ac:dyDescent="0.25">
      <c r="A6829" s="8"/>
      <c r="C6829" s="5"/>
      <c r="M6829" s="9"/>
    </row>
    <row r="6830" spans="1:13" x14ac:dyDescent="0.25">
      <c r="A6830" s="8"/>
      <c r="C6830" s="5"/>
      <c r="M6830" s="9"/>
    </row>
    <row r="6831" spans="1:13" x14ac:dyDescent="0.25">
      <c r="A6831" s="8"/>
      <c r="C6831" s="5"/>
      <c r="M6831" s="9"/>
    </row>
    <row r="6832" spans="1:13" x14ac:dyDescent="0.25">
      <c r="A6832" s="8"/>
      <c r="C6832" s="5"/>
      <c r="M6832" s="9"/>
    </row>
    <row r="6833" spans="1:13" x14ac:dyDescent="0.25">
      <c r="A6833" s="8"/>
      <c r="C6833" s="5"/>
      <c r="M6833" s="9"/>
    </row>
    <row r="6834" spans="1:13" x14ac:dyDescent="0.25">
      <c r="A6834" s="8"/>
      <c r="C6834" s="5"/>
      <c r="M6834" s="9"/>
    </row>
    <row r="6835" spans="1:13" x14ac:dyDescent="0.25">
      <c r="A6835" s="8"/>
      <c r="C6835" s="5"/>
      <c r="M6835" s="9"/>
    </row>
    <row r="6836" spans="1:13" x14ac:dyDescent="0.25">
      <c r="A6836" s="8"/>
      <c r="C6836" s="5"/>
      <c r="M6836" s="9"/>
    </row>
    <row r="6837" spans="1:13" x14ac:dyDescent="0.25">
      <c r="A6837" s="8"/>
      <c r="C6837" s="5"/>
      <c r="M6837" s="9"/>
    </row>
    <row r="6838" spans="1:13" x14ac:dyDescent="0.25">
      <c r="A6838" s="8"/>
      <c r="C6838" s="5"/>
      <c r="M6838" s="9"/>
    </row>
    <row r="6839" spans="1:13" x14ac:dyDescent="0.25">
      <c r="A6839" s="8"/>
      <c r="C6839" s="5"/>
      <c r="M6839" s="9"/>
    </row>
    <row r="6840" spans="1:13" x14ac:dyDescent="0.25">
      <c r="A6840" s="8"/>
      <c r="C6840" s="5"/>
      <c r="M6840" s="9"/>
    </row>
    <row r="6841" spans="1:13" x14ac:dyDescent="0.25">
      <c r="A6841" s="8"/>
      <c r="C6841" s="5"/>
      <c r="M6841" s="9"/>
    </row>
    <row r="6842" spans="1:13" x14ac:dyDescent="0.25">
      <c r="A6842" s="8"/>
      <c r="C6842" s="5"/>
      <c r="M6842" s="9"/>
    </row>
    <row r="6843" spans="1:13" x14ac:dyDescent="0.25">
      <c r="A6843" s="8"/>
      <c r="C6843" s="5"/>
      <c r="M6843" s="9"/>
    </row>
    <row r="6844" spans="1:13" x14ac:dyDescent="0.25">
      <c r="A6844" s="8"/>
      <c r="C6844" s="5"/>
      <c r="M6844" s="9"/>
    </row>
    <row r="6845" spans="1:13" x14ac:dyDescent="0.25">
      <c r="A6845" s="8"/>
      <c r="C6845" s="5"/>
      <c r="M6845" s="9"/>
    </row>
    <row r="6846" spans="1:13" x14ac:dyDescent="0.25">
      <c r="A6846" s="8"/>
      <c r="C6846" s="5"/>
      <c r="M6846" s="9"/>
    </row>
    <row r="6847" spans="1:13" x14ac:dyDescent="0.25">
      <c r="A6847" s="8"/>
      <c r="C6847" s="5"/>
      <c r="M6847" s="9"/>
    </row>
    <row r="6848" spans="1:13" x14ac:dyDescent="0.25">
      <c r="A6848" s="8"/>
      <c r="C6848" s="5"/>
      <c r="M6848" s="9"/>
    </row>
    <row r="6849" spans="1:13" x14ac:dyDescent="0.25">
      <c r="A6849" s="8"/>
      <c r="C6849" s="5"/>
      <c r="M6849" s="9"/>
    </row>
    <row r="6850" spans="1:13" x14ac:dyDescent="0.25">
      <c r="A6850" s="8"/>
      <c r="C6850" s="5"/>
      <c r="M6850" s="9"/>
    </row>
    <row r="6851" spans="1:13" x14ac:dyDescent="0.25">
      <c r="A6851" s="8"/>
      <c r="C6851" s="5"/>
      <c r="M6851" s="9"/>
    </row>
    <row r="6852" spans="1:13" x14ac:dyDescent="0.25">
      <c r="A6852" s="8"/>
      <c r="C6852" s="5"/>
      <c r="M6852" s="9"/>
    </row>
    <row r="6853" spans="1:13" x14ac:dyDescent="0.25">
      <c r="A6853" s="8"/>
      <c r="C6853" s="5"/>
      <c r="M6853" s="9"/>
    </row>
    <row r="6854" spans="1:13" x14ac:dyDescent="0.25">
      <c r="A6854" s="8"/>
      <c r="C6854" s="5"/>
      <c r="M6854" s="9"/>
    </row>
    <row r="6855" spans="1:13" x14ac:dyDescent="0.25">
      <c r="A6855" s="8"/>
      <c r="C6855" s="5"/>
      <c r="M6855" s="9"/>
    </row>
    <row r="6856" spans="1:13" x14ac:dyDescent="0.25">
      <c r="A6856" s="8"/>
      <c r="C6856" s="5"/>
      <c r="M6856" s="9"/>
    </row>
    <row r="6857" spans="1:13" x14ac:dyDescent="0.25">
      <c r="A6857" s="8"/>
      <c r="C6857" s="5"/>
      <c r="M6857" s="9"/>
    </row>
    <row r="6858" spans="1:13" x14ac:dyDescent="0.25">
      <c r="A6858" s="8"/>
      <c r="C6858" s="5"/>
      <c r="M6858" s="9"/>
    </row>
    <row r="6859" spans="1:13" x14ac:dyDescent="0.25">
      <c r="A6859" s="8"/>
      <c r="C6859" s="5"/>
      <c r="M6859" s="9"/>
    </row>
    <row r="6860" spans="1:13" x14ac:dyDescent="0.25">
      <c r="A6860" s="8"/>
      <c r="C6860" s="5"/>
      <c r="M6860" s="9"/>
    </row>
    <row r="6861" spans="1:13" x14ac:dyDescent="0.25">
      <c r="A6861" s="8"/>
      <c r="C6861" s="5"/>
      <c r="M6861" s="9"/>
    </row>
    <row r="6862" spans="1:13" x14ac:dyDescent="0.25">
      <c r="A6862" s="8"/>
      <c r="C6862" s="5"/>
      <c r="M6862" s="9"/>
    </row>
    <row r="6863" spans="1:13" x14ac:dyDescent="0.25">
      <c r="A6863" s="8"/>
      <c r="C6863" s="5"/>
      <c r="M6863" s="9"/>
    </row>
    <row r="6864" spans="1:13" x14ac:dyDescent="0.25">
      <c r="A6864" s="8"/>
      <c r="C6864" s="5"/>
      <c r="M6864" s="9"/>
    </row>
    <row r="6865" spans="1:13" x14ac:dyDescent="0.25">
      <c r="A6865" s="8"/>
      <c r="C6865" s="5"/>
      <c r="M6865" s="9"/>
    </row>
    <row r="6866" spans="1:13" x14ac:dyDescent="0.25">
      <c r="A6866" s="8"/>
      <c r="C6866" s="5"/>
      <c r="M6866" s="9"/>
    </row>
    <row r="6867" spans="1:13" x14ac:dyDescent="0.25">
      <c r="A6867" s="8"/>
      <c r="C6867" s="5"/>
      <c r="M6867" s="9"/>
    </row>
    <row r="6868" spans="1:13" x14ac:dyDescent="0.25">
      <c r="A6868" s="8"/>
      <c r="C6868" s="5"/>
      <c r="M6868" s="9"/>
    </row>
    <row r="6869" spans="1:13" x14ac:dyDescent="0.25">
      <c r="A6869" s="8"/>
      <c r="C6869" s="5"/>
      <c r="M6869" s="9"/>
    </row>
    <row r="6870" spans="1:13" x14ac:dyDescent="0.25">
      <c r="A6870" s="8"/>
      <c r="C6870" s="5"/>
      <c r="M6870" s="9"/>
    </row>
    <row r="6871" spans="1:13" x14ac:dyDescent="0.25">
      <c r="A6871" s="8"/>
      <c r="C6871" s="5"/>
      <c r="M6871" s="9"/>
    </row>
    <row r="6872" spans="1:13" x14ac:dyDescent="0.25">
      <c r="A6872" s="8"/>
      <c r="C6872" s="5"/>
      <c r="M6872" s="9"/>
    </row>
    <row r="6873" spans="1:13" x14ac:dyDescent="0.25">
      <c r="A6873" s="8"/>
      <c r="C6873" s="5"/>
      <c r="M6873" s="9"/>
    </row>
    <row r="6874" spans="1:13" x14ac:dyDescent="0.25">
      <c r="A6874" s="8"/>
      <c r="C6874" s="5"/>
      <c r="M6874" s="9"/>
    </row>
    <row r="6875" spans="1:13" x14ac:dyDescent="0.25">
      <c r="A6875" s="8"/>
      <c r="C6875" s="5"/>
      <c r="M6875" s="9"/>
    </row>
    <row r="6876" spans="1:13" x14ac:dyDescent="0.25">
      <c r="A6876" s="8"/>
      <c r="C6876" s="5"/>
      <c r="M6876" s="9"/>
    </row>
    <row r="6877" spans="1:13" x14ac:dyDescent="0.25">
      <c r="A6877" s="8"/>
      <c r="C6877" s="5"/>
      <c r="M6877" s="9"/>
    </row>
    <row r="6878" spans="1:13" x14ac:dyDescent="0.25">
      <c r="A6878" s="8"/>
      <c r="C6878" s="5"/>
      <c r="M6878" s="9"/>
    </row>
    <row r="6879" spans="1:13" x14ac:dyDescent="0.25">
      <c r="A6879" s="8"/>
      <c r="C6879" s="5"/>
      <c r="M6879" s="9"/>
    </row>
    <row r="6880" spans="1:13" x14ac:dyDescent="0.25">
      <c r="A6880" s="8"/>
      <c r="C6880" s="5"/>
      <c r="M6880" s="9"/>
    </row>
    <row r="6881" spans="1:13" x14ac:dyDescent="0.25">
      <c r="A6881" s="8"/>
      <c r="C6881" s="5"/>
      <c r="M6881" s="9"/>
    </row>
    <row r="6882" spans="1:13" x14ac:dyDescent="0.25">
      <c r="A6882" s="8"/>
      <c r="C6882" s="5"/>
      <c r="M6882" s="9"/>
    </row>
    <row r="6883" spans="1:13" x14ac:dyDescent="0.25">
      <c r="A6883" s="8"/>
      <c r="C6883" s="5"/>
      <c r="M6883" s="9"/>
    </row>
    <row r="6884" spans="1:13" x14ac:dyDescent="0.25">
      <c r="A6884" s="8"/>
      <c r="C6884" s="5"/>
      <c r="M6884" s="9"/>
    </row>
    <row r="6885" spans="1:13" x14ac:dyDescent="0.25">
      <c r="A6885" s="8"/>
      <c r="C6885" s="5"/>
      <c r="M6885" s="9"/>
    </row>
    <row r="6886" spans="1:13" x14ac:dyDescent="0.25">
      <c r="A6886" s="8"/>
      <c r="C6886" s="5"/>
      <c r="M6886" s="9"/>
    </row>
    <row r="6887" spans="1:13" x14ac:dyDescent="0.25">
      <c r="A6887" s="8"/>
      <c r="C6887" s="5"/>
      <c r="M6887" s="9"/>
    </row>
    <row r="6888" spans="1:13" x14ac:dyDescent="0.25">
      <c r="A6888" s="8"/>
      <c r="C6888" s="5"/>
      <c r="M6888" s="9"/>
    </row>
    <row r="6889" spans="1:13" x14ac:dyDescent="0.25">
      <c r="A6889" s="8"/>
      <c r="C6889" s="5"/>
      <c r="M6889" s="9"/>
    </row>
    <row r="6890" spans="1:13" x14ac:dyDescent="0.25">
      <c r="A6890" s="8"/>
      <c r="C6890" s="5"/>
      <c r="M6890" s="9"/>
    </row>
    <row r="6891" spans="1:13" x14ac:dyDescent="0.25">
      <c r="A6891" s="8"/>
      <c r="C6891" s="5"/>
      <c r="M6891" s="9"/>
    </row>
    <row r="6892" spans="1:13" x14ac:dyDescent="0.25">
      <c r="A6892" s="8"/>
      <c r="C6892" s="5"/>
      <c r="M6892" s="9"/>
    </row>
    <row r="6893" spans="1:13" x14ac:dyDescent="0.25">
      <c r="A6893" s="8"/>
      <c r="C6893" s="5"/>
      <c r="M6893" s="9"/>
    </row>
    <row r="6894" spans="1:13" x14ac:dyDescent="0.25">
      <c r="A6894" s="8"/>
      <c r="C6894" s="5"/>
      <c r="M6894" s="9"/>
    </row>
    <row r="6895" spans="1:13" x14ac:dyDescent="0.25">
      <c r="A6895" s="8"/>
      <c r="C6895" s="5"/>
      <c r="M6895" s="9"/>
    </row>
    <row r="6896" spans="1:13" x14ac:dyDescent="0.25">
      <c r="A6896" s="8"/>
      <c r="C6896" s="5"/>
      <c r="M6896" s="9"/>
    </row>
    <row r="6897" spans="1:13" x14ac:dyDescent="0.25">
      <c r="A6897" s="8"/>
      <c r="C6897" s="5"/>
      <c r="M6897" s="9"/>
    </row>
    <row r="6898" spans="1:13" x14ac:dyDescent="0.25">
      <c r="A6898" s="8"/>
      <c r="C6898" s="5"/>
      <c r="M6898" s="9"/>
    </row>
    <row r="6899" spans="1:13" x14ac:dyDescent="0.25">
      <c r="A6899" s="8"/>
      <c r="C6899" s="5"/>
      <c r="M6899" s="9"/>
    </row>
    <row r="6900" spans="1:13" x14ac:dyDescent="0.25">
      <c r="A6900" s="8"/>
      <c r="C6900" s="5"/>
      <c r="M6900" s="9"/>
    </row>
    <row r="6901" spans="1:13" x14ac:dyDescent="0.25">
      <c r="A6901" s="8"/>
      <c r="C6901" s="5"/>
      <c r="M6901" s="9"/>
    </row>
    <row r="6902" spans="1:13" x14ac:dyDescent="0.25">
      <c r="A6902" s="8"/>
      <c r="C6902" s="5"/>
      <c r="M6902" s="9"/>
    </row>
    <row r="6903" spans="1:13" x14ac:dyDescent="0.25">
      <c r="A6903" s="8"/>
      <c r="C6903" s="5"/>
      <c r="M6903" s="9"/>
    </row>
    <row r="6904" spans="1:13" x14ac:dyDescent="0.25">
      <c r="A6904" s="8"/>
      <c r="C6904" s="5"/>
      <c r="M6904" s="9"/>
    </row>
    <row r="6905" spans="1:13" x14ac:dyDescent="0.25">
      <c r="A6905" s="8"/>
      <c r="C6905" s="5"/>
      <c r="M6905" s="9"/>
    </row>
    <row r="6906" spans="1:13" x14ac:dyDescent="0.25">
      <c r="A6906" s="8"/>
      <c r="C6906" s="5"/>
      <c r="M6906" s="9"/>
    </row>
    <row r="6907" spans="1:13" x14ac:dyDescent="0.25">
      <c r="A6907" s="8"/>
      <c r="C6907" s="5"/>
      <c r="M6907" s="9"/>
    </row>
    <row r="6908" spans="1:13" x14ac:dyDescent="0.25">
      <c r="A6908" s="8"/>
      <c r="C6908" s="5"/>
      <c r="M6908" s="9"/>
    </row>
    <row r="6909" spans="1:13" x14ac:dyDescent="0.25">
      <c r="A6909" s="8"/>
      <c r="C6909" s="5"/>
      <c r="M6909" s="9"/>
    </row>
    <row r="6910" spans="1:13" x14ac:dyDescent="0.25">
      <c r="A6910" s="8"/>
      <c r="C6910" s="5"/>
      <c r="M6910" s="9"/>
    </row>
    <row r="6911" spans="1:13" x14ac:dyDescent="0.25">
      <c r="A6911" s="8"/>
      <c r="C6911" s="5"/>
      <c r="M6911" s="9"/>
    </row>
    <row r="6912" spans="1:13" x14ac:dyDescent="0.25">
      <c r="A6912" s="8"/>
      <c r="C6912" s="5"/>
      <c r="M6912" s="9"/>
    </row>
    <row r="6913" spans="1:13" x14ac:dyDescent="0.25">
      <c r="A6913" s="8"/>
      <c r="C6913" s="5"/>
      <c r="M6913" s="9"/>
    </row>
    <row r="6914" spans="1:13" x14ac:dyDescent="0.25">
      <c r="A6914" s="8"/>
      <c r="C6914" s="5"/>
      <c r="M6914" s="9"/>
    </row>
    <row r="6915" spans="1:13" x14ac:dyDescent="0.25">
      <c r="A6915" s="8"/>
      <c r="C6915" s="5"/>
      <c r="M6915" s="9"/>
    </row>
    <row r="6916" spans="1:13" x14ac:dyDescent="0.25">
      <c r="A6916" s="8"/>
      <c r="C6916" s="5"/>
      <c r="M6916" s="9"/>
    </row>
    <row r="6917" spans="1:13" x14ac:dyDescent="0.25">
      <c r="A6917" s="8"/>
      <c r="C6917" s="5"/>
      <c r="M6917" s="9"/>
    </row>
    <row r="6918" spans="1:13" x14ac:dyDescent="0.25">
      <c r="A6918" s="8"/>
      <c r="C6918" s="5"/>
      <c r="M6918" s="9"/>
    </row>
    <row r="6919" spans="1:13" x14ac:dyDescent="0.25">
      <c r="A6919" s="8"/>
      <c r="C6919" s="5"/>
      <c r="M6919" s="9"/>
    </row>
    <row r="6920" spans="1:13" x14ac:dyDescent="0.25">
      <c r="A6920" s="8"/>
      <c r="C6920" s="5"/>
      <c r="M6920" s="9"/>
    </row>
    <row r="6921" spans="1:13" x14ac:dyDescent="0.25">
      <c r="A6921" s="8"/>
      <c r="C6921" s="5"/>
      <c r="M6921" s="9"/>
    </row>
    <row r="6922" spans="1:13" x14ac:dyDescent="0.25">
      <c r="A6922" s="8"/>
      <c r="C6922" s="5"/>
      <c r="M6922" s="9"/>
    </row>
    <row r="6923" spans="1:13" x14ac:dyDescent="0.25">
      <c r="A6923" s="8"/>
      <c r="C6923" s="5"/>
      <c r="M6923" s="9"/>
    </row>
    <row r="6924" spans="1:13" x14ac:dyDescent="0.25">
      <c r="A6924" s="8"/>
      <c r="C6924" s="5"/>
      <c r="M6924" s="9"/>
    </row>
    <row r="6925" spans="1:13" x14ac:dyDescent="0.25">
      <c r="A6925" s="8"/>
      <c r="C6925" s="5"/>
      <c r="M6925" s="9"/>
    </row>
    <row r="6926" spans="1:13" x14ac:dyDescent="0.25">
      <c r="A6926" s="8"/>
      <c r="C6926" s="5"/>
      <c r="M6926" s="9"/>
    </row>
    <row r="6927" spans="1:13" x14ac:dyDescent="0.25">
      <c r="A6927" s="8"/>
      <c r="C6927" s="5"/>
      <c r="M6927" s="9"/>
    </row>
    <row r="6928" spans="1:13" x14ac:dyDescent="0.25">
      <c r="A6928" s="8"/>
      <c r="C6928" s="5"/>
      <c r="M6928" s="9"/>
    </row>
    <row r="6929" spans="1:13" x14ac:dyDescent="0.25">
      <c r="A6929" s="8"/>
      <c r="C6929" s="5"/>
      <c r="M6929" s="9"/>
    </row>
    <row r="6930" spans="1:13" x14ac:dyDescent="0.25">
      <c r="A6930" s="8"/>
      <c r="C6930" s="5"/>
      <c r="M6930" s="9"/>
    </row>
    <row r="6931" spans="1:13" x14ac:dyDescent="0.25">
      <c r="A6931" s="8"/>
      <c r="C6931" s="5"/>
      <c r="M6931" s="9"/>
    </row>
    <row r="6932" spans="1:13" x14ac:dyDescent="0.25">
      <c r="A6932" s="8"/>
      <c r="C6932" s="5"/>
      <c r="M6932" s="9"/>
    </row>
    <row r="6933" spans="1:13" x14ac:dyDescent="0.25">
      <c r="A6933" s="8"/>
      <c r="C6933" s="5"/>
      <c r="M6933" s="9"/>
    </row>
    <row r="6934" spans="1:13" x14ac:dyDescent="0.25">
      <c r="A6934" s="8"/>
      <c r="C6934" s="5"/>
      <c r="M6934" s="9"/>
    </row>
    <row r="6935" spans="1:13" x14ac:dyDescent="0.25">
      <c r="A6935" s="8"/>
      <c r="C6935" s="5"/>
      <c r="M6935" s="9"/>
    </row>
    <row r="6936" spans="1:13" x14ac:dyDescent="0.25">
      <c r="A6936" s="8"/>
      <c r="C6936" s="5"/>
      <c r="M6936" s="9"/>
    </row>
    <row r="6937" spans="1:13" x14ac:dyDescent="0.25">
      <c r="A6937" s="8"/>
      <c r="C6937" s="5"/>
      <c r="M6937" s="9"/>
    </row>
    <row r="6938" spans="1:13" x14ac:dyDescent="0.25">
      <c r="A6938" s="8"/>
      <c r="C6938" s="5"/>
      <c r="M6938" s="9"/>
    </row>
    <row r="6939" spans="1:13" x14ac:dyDescent="0.25">
      <c r="A6939" s="8"/>
      <c r="C6939" s="5"/>
      <c r="M6939" s="9"/>
    </row>
    <row r="6940" spans="1:13" x14ac:dyDescent="0.25">
      <c r="A6940" s="8"/>
      <c r="C6940" s="5"/>
      <c r="M6940" s="9"/>
    </row>
    <row r="6941" spans="1:13" x14ac:dyDescent="0.25">
      <c r="A6941" s="8"/>
      <c r="C6941" s="5"/>
      <c r="M6941" s="9"/>
    </row>
    <row r="6942" spans="1:13" x14ac:dyDescent="0.25">
      <c r="A6942" s="8"/>
      <c r="C6942" s="5"/>
      <c r="M6942" s="9"/>
    </row>
    <row r="6943" spans="1:13" x14ac:dyDescent="0.25">
      <c r="A6943" s="8"/>
      <c r="C6943" s="5"/>
      <c r="M6943" s="9"/>
    </row>
    <row r="6944" spans="1:13" x14ac:dyDescent="0.25">
      <c r="A6944" s="8"/>
      <c r="C6944" s="5"/>
      <c r="M6944" s="9"/>
    </row>
    <row r="6945" spans="1:13" x14ac:dyDescent="0.25">
      <c r="A6945" s="8"/>
      <c r="C6945" s="5"/>
      <c r="M6945" s="9"/>
    </row>
    <row r="6946" spans="1:13" x14ac:dyDescent="0.25">
      <c r="A6946" s="8"/>
      <c r="C6946" s="5"/>
      <c r="M6946" s="9"/>
    </row>
    <row r="6947" spans="1:13" x14ac:dyDescent="0.25">
      <c r="A6947" s="8"/>
      <c r="C6947" s="5"/>
      <c r="M6947" s="9"/>
    </row>
    <row r="6948" spans="1:13" x14ac:dyDescent="0.25">
      <c r="A6948" s="8"/>
      <c r="C6948" s="5"/>
      <c r="M6948" s="9"/>
    </row>
    <row r="6949" spans="1:13" x14ac:dyDescent="0.25">
      <c r="A6949" s="8"/>
      <c r="C6949" s="5"/>
      <c r="M6949" s="9"/>
    </row>
    <row r="6950" spans="1:13" x14ac:dyDescent="0.25">
      <c r="A6950" s="8"/>
      <c r="C6950" s="5"/>
      <c r="M6950" s="9"/>
    </row>
    <row r="6951" spans="1:13" x14ac:dyDescent="0.25">
      <c r="A6951" s="8"/>
      <c r="C6951" s="5"/>
      <c r="M6951" s="9"/>
    </row>
    <row r="6952" spans="1:13" x14ac:dyDescent="0.25">
      <c r="A6952" s="8"/>
      <c r="C6952" s="5"/>
      <c r="M6952" s="9"/>
    </row>
    <row r="6953" spans="1:13" x14ac:dyDescent="0.25">
      <c r="A6953" s="8"/>
      <c r="C6953" s="5"/>
      <c r="M6953" s="9"/>
    </row>
    <row r="6954" spans="1:13" x14ac:dyDescent="0.25">
      <c r="A6954" s="8"/>
      <c r="C6954" s="5"/>
      <c r="M6954" s="9"/>
    </row>
    <row r="6955" spans="1:13" x14ac:dyDescent="0.25">
      <c r="A6955" s="8"/>
      <c r="C6955" s="5"/>
      <c r="M6955" s="9"/>
    </row>
    <row r="6956" spans="1:13" x14ac:dyDescent="0.25">
      <c r="A6956" s="8"/>
      <c r="C6956" s="5"/>
      <c r="M6956" s="9"/>
    </row>
    <row r="6957" spans="1:13" x14ac:dyDescent="0.25">
      <c r="A6957" s="8"/>
      <c r="C6957" s="5"/>
      <c r="M6957" s="9"/>
    </row>
    <row r="6958" spans="1:13" x14ac:dyDescent="0.25">
      <c r="A6958" s="8"/>
      <c r="C6958" s="5"/>
      <c r="M6958" s="9"/>
    </row>
    <row r="6959" spans="1:13" x14ac:dyDescent="0.25">
      <c r="A6959" s="8"/>
      <c r="C6959" s="5"/>
      <c r="M6959" s="9"/>
    </row>
    <row r="6960" spans="1:13" x14ac:dyDescent="0.25">
      <c r="A6960" s="8"/>
      <c r="C6960" s="5"/>
      <c r="M6960" s="9"/>
    </row>
    <row r="6961" spans="1:13" x14ac:dyDescent="0.25">
      <c r="A6961" s="8"/>
      <c r="C6961" s="5"/>
      <c r="M6961" s="9"/>
    </row>
    <row r="6962" spans="1:13" x14ac:dyDescent="0.25">
      <c r="A6962" s="8"/>
      <c r="C6962" s="5"/>
      <c r="M6962" s="9"/>
    </row>
    <row r="6963" spans="1:13" x14ac:dyDescent="0.25">
      <c r="A6963" s="8"/>
      <c r="C6963" s="5"/>
      <c r="M6963" s="9"/>
    </row>
    <row r="6964" spans="1:13" x14ac:dyDescent="0.25">
      <c r="A6964" s="8"/>
      <c r="C6964" s="5"/>
      <c r="M6964" s="9"/>
    </row>
    <row r="6965" spans="1:13" x14ac:dyDescent="0.25">
      <c r="A6965" s="8"/>
      <c r="C6965" s="5"/>
      <c r="M6965" s="9"/>
    </row>
    <row r="6966" spans="1:13" x14ac:dyDescent="0.25">
      <c r="A6966" s="8"/>
      <c r="C6966" s="5"/>
      <c r="M6966" s="9"/>
    </row>
    <row r="6967" spans="1:13" x14ac:dyDescent="0.25">
      <c r="A6967" s="8"/>
      <c r="C6967" s="5"/>
      <c r="M6967" s="9"/>
    </row>
    <row r="6968" spans="1:13" x14ac:dyDescent="0.25">
      <c r="A6968" s="8"/>
      <c r="C6968" s="5"/>
      <c r="M6968" s="9"/>
    </row>
    <row r="6969" spans="1:13" x14ac:dyDescent="0.25">
      <c r="A6969" s="8"/>
      <c r="C6969" s="5"/>
      <c r="M6969" s="9"/>
    </row>
    <row r="6970" spans="1:13" x14ac:dyDescent="0.25">
      <c r="A6970" s="8"/>
      <c r="C6970" s="5"/>
      <c r="M6970" s="9"/>
    </row>
    <row r="6971" spans="1:13" x14ac:dyDescent="0.25">
      <c r="A6971" s="8"/>
      <c r="C6971" s="5"/>
      <c r="M6971" s="9"/>
    </row>
    <row r="6972" spans="1:13" x14ac:dyDescent="0.25">
      <c r="A6972" s="8"/>
      <c r="C6972" s="5"/>
      <c r="M6972" s="9"/>
    </row>
    <row r="6973" spans="1:13" x14ac:dyDescent="0.25">
      <c r="A6973" s="8"/>
      <c r="C6973" s="5"/>
      <c r="M6973" s="9"/>
    </row>
    <row r="6974" spans="1:13" x14ac:dyDescent="0.25">
      <c r="A6974" s="8"/>
      <c r="C6974" s="5"/>
      <c r="M6974" s="9"/>
    </row>
    <row r="6975" spans="1:13" x14ac:dyDescent="0.25">
      <c r="A6975" s="8"/>
      <c r="C6975" s="5"/>
      <c r="M6975" s="9"/>
    </row>
    <row r="6976" spans="1:13" x14ac:dyDescent="0.25">
      <c r="A6976" s="8"/>
      <c r="C6976" s="5"/>
      <c r="M6976" s="9"/>
    </row>
    <row r="6977" spans="1:13" x14ac:dyDescent="0.25">
      <c r="A6977" s="8"/>
      <c r="C6977" s="5"/>
      <c r="M6977" s="9"/>
    </row>
    <row r="6978" spans="1:13" x14ac:dyDescent="0.25">
      <c r="A6978" s="8"/>
      <c r="C6978" s="5"/>
      <c r="M6978" s="9"/>
    </row>
    <row r="6979" spans="1:13" x14ac:dyDescent="0.25">
      <c r="A6979" s="8"/>
      <c r="C6979" s="5"/>
      <c r="M6979" s="9"/>
    </row>
    <row r="6980" spans="1:13" x14ac:dyDescent="0.25">
      <c r="A6980" s="8"/>
      <c r="C6980" s="5"/>
      <c r="M6980" s="9"/>
    </row>
    <row r="6981" spans="1:13" x14ac:dyDescent="0.25">
      <c r="A6981" s="8"/>
      <c r="C6981" s="5"/>
      <c r="M6981" s="9"/>
    </row>
    <row r="6982" spans="1:13" x14ac:dyDescent="0.25">
      <c r="A6982" s="8"/>
      <c r="C6982" s="5"/>
      <c r="M6982" s="9"/>
    </row>
    <row r="6983" spans="1:13" x14ac:dyDescent="0.25">
      <c r="A6983" s="8"/>
      <c r="C6983" s="5"/>
      <c r="M6983" s="9"/>
    </row>
    <row r="6984" spans="1:13" x14ac:dyDescent="0.25">
      <c r="A6984" s="8"/>
      <c r="C6984" s="5"/>
      <c r="M6984" s="9"/>
    </row>
    <row r="6985" spans="1:13" x14ac:dyDescent="0.25">
      <c r="A6985" s="8"/>
      <c r="C6985" s="5"/>
      <c r="M6985" s="9"/>
    </row>
    <row r="6986" spans="1:13" x14ac:dyDescent="0.25">
      <c r="A6986" s="8"/>
      <c r="C6986" s="5"/>
      <c r="M6986" s="9"/>
    </row>
    <row r="6987" spans="1:13" x14ac:dyDescent="0.25">
      <c r="A6987" s="8"/>
      <c r="C6987" s="5"/>
      <c r="M6987" s="9"/>
    </row>
    <row r="6988" spans="1:13" x14ac:dyDescent="0.25">
      <c r="A6988" s="8"/>
      <c r="C6988" s="5"/>
      <c r="M6988" s="9"/>
    </row>
    <row r="6989" spans="1:13" x14ac:dyDescent="0.25">
      <c r="A6989" s="8"/>
      <c r="C6989" s="5"/>
      <c r="M6989" s="9"/>
    </row>
    <row r="6990" spans="1:13" x14ac:dyDescent="0.25">
      <c r="A6990" s="8"/>
      <c r="C6990" s="5"/>
      <c r="M6990" s="9"/>
    </row>
    <row r="6991" spans="1:13" x14ac:dyDescent="0.25">
      <c r="A6991" s="8"/>
      <c r="C6991" s="5"/>
      <c r="M6991" s="9"/>
    </row>
    <row r="6992" spans="1:13" x14ac:dyDescent="0.25">
      <c r="A6992" s="8"/>
      <c r="C6992" s="5"/>
      <c r="M6992" s="9"/>
    </row>
    <row r="6993" spans="1:13" x14ac:dyDescent="0.25">
      <c r="A6993" s="8"/>
      <c r="C6993" s="5"/>
      <c r="M6993" s="9"/>
    </row>
    <row r="6994" spans="1:13" x14ac:dyDescent="0.25">
      <c r="A6994" s="8"/>
      <c r="C6994" s="5"/>
      <c r="M6994" s="9"/>
    </row>
    <row r="6995" spans="1:13" x14ac:dyDescent="0.25">
      <c r="A6995" s="8"/>
      <c r="C6995" s="5"/>
      <c r="M6995" s="9"/>
    </row>
    <row r="6996" spans="1:13" x14ac:dyDescent="0.25">
      <c r="A6996" s="8"/>
      <c r="C6996" s="5"/>
      <c r="M6996" s="9"/>
    </row>
    <row r="6997" spans="1:13" x14ac:dyDescent="0.25">
      <c r="A6997" s="8"/>
      <c r="C6997" s="5"/>
      <c r="M6997" s="9"/>
    </row>
    <row r="6998" spans="1:13" x14ac:dyDescent="0.25">
      <c r="A6998" s="8"/>
      <c r="C6998" s="5"/>
      <c r="M6998" s="9"/>
    </row>
    <row r="6999" spans="1:13" x14ac:dyDescent="0.25">
      <c r="A6999" s="8"/>
      <c r="C6999" s="5"/>
      <c r="M6999" s="9"/>
    </row>
    <row r="7000" spans="1:13" x14ac:dyDescent="0.25">
      <c r="A7000" s="8"/>
      <c r="C7000" s="5"/>
      <c r="M7000" s="9"/>
    </row>
    <row r="7001" spans="1:13" x14ac:dyDescent="0.25">
      <c r="A7001" s="8"/>
      <c r="C7001" s="5"/>
      <c r="M7001" s="9"/>
    </row>
    <row r="7002" spans="1:13" x14ac:dyDescent="0.25">
      <c r="A7002" s="8"/>
      <c r="C7002" s="5"/>
      <c r="M7002" s="9"/>
    </row>
    <row r="7003" spans="1:13" x14ac:dyDescent="0.25">
      <c r="A7003" s="8"/>
      <c r="C7003" s="5"/>
      <c r="M7003" s="9"/>
    </row>
    <row r="7004" spans="1:13" x14ac:dyDescent="0.25">
      <c r="A7004" s="8"/>
      <c r="C7004" s="5"/>
      <c r="M7004" s="9"/>
    </row>
    <row r="7005" spans="1:13" x14ac:dyDescent="0.25">
      <c r="A7005" s="8"/>
      <c r="C7005" s="5"/>
      <c r="M7005" s="9"/>
    </row>
    <row r="7006" spans="1:13" x14ac:dyDescent="0.25">
      <c r="A7006" s="8"/>
      <c r="C7006" s="5"/>
      <c r="M7006" s="9"/>
    </row>
    <row r="7007" spans="1:13" x14ac:dyDescent="0.25">
      <c r="A7007" s="8"/>
      <c r="C7007" s="5"/>
      <c r="M7007" s="9"/>
    </row>
    <row r="7008" spans="1:13" x14ac:dyDescent="0.25">
      <c r="A7008" s="8"/>
      <c r="C7008" s="5"/>
      <c r="M7008" s="9"/>
    </row>
    <row r="7009" spans="1:13" x14ac:dyDescent="0.25">
      <c r="A7009" s="8"/>
      <c r="C7009" s="5"/>
      <c r="M7009" s="9"/>
    </row>
    <row r="7010" spans="1:13" x14ac:dyDescent="0.25">
      <c r="A7010" s="8"/>
      <c r="C7010" s="5"/>
      <c r="M7010" s="9"/>
    </row>
    <row r="7011" spans="1:13" x14ac:dyDescent="0.25">
      <c r="A7011" s="8"/>
      <c r="C7011" s="5"/>
      <c r="M7011" s="9"/>
    </row>
    <row r="7012" spans="1:13" x14ac:dyDescent="0.25">
      <c r="A7012" s="8"/>
      <c r="C7012" s="5"/>
      <c r="M7012" s="9"/>
    </row>
    <row r="7013" spans="1:13" x14ac:dyDescent="0.25">
      <c r="A7013" s="8"/>
      <c r="C7013" s="5"/>
      <c r="M7013" s="9"/>
    </row>
    <row r="7014" spans="1:13" x14ac:dyDescent="0.25">
      <c r="A7014" s="8"/>
      <c r="C7014" s="5"/>
      <c r="M7014" s="9"/>
    </row>
    <row r="7015" spans="1:13" x14ac:dyDescent="0.25">
      <c r="A7015" s="8"/>
      <c r="C7015" s="5"/>
      <c r="M7015" s="9"/>
    </row>
    <row r="7016" spans="1:13" x14ac:dyDescent="0.25">
      <c r="A7016" s="8"/>
      <c r="C7016" s="5"/>
      <c r="M7016" s="9"/>
    </row>
    <row r="7017" spans="1:13" x14ac:dyDescent="0.25">
      <c r="A7017" s="8"/>
      <c r="C7017" s="5"/>
      <c r="M7017" s="9"/>
    </row>
    <row r="7018" spans="1:13" x14ac:dyDescent="0.25">
      <c r="A7018" s="8"/>
      <c r="C7018" s="5"/>
      <c r="M7018" s="9"/>
    </row>
    <row r="7019" spans="1:13" x14ac:dyDescent="0.25">
      <c r="A7019" s="8"/>
      <c r="C7019" s="5"/>
      <c r="M7019" s="9"/>
    </row>
    <row r="7020" spans="1:13" x14ac:dyDescent="0.25">
      <c r="A7020" s="8"/>
      <c r="C7020" s="5"/>
      <c r="M7020" s="9"/>
    </row>
    <row r="7021" spans="1:13" x14ac:dyDescent="0.25">
      <c r="A7021" s="8"/>
      <c r="C7021" s="5"/>
      <c r="M7021" s="9"/>
    </row>
    <row r="7022" spans="1:13" x14ac:dyDescent="0.25">
      <c r="A7022" s="8"/>
      <c r="C7022" s="5"/>
      <c r="M7022" s="9"/>
    </row>
    <row r="7023" spans="1:13" x14ac:dyDescent="0.25">
      <c r="A7023" s="8"/>
      <c r="C7023" s="5"/>
      <c r="M7023" s="9"/>
    </row>
    <row r="7024" spans="1:13" x14ac:dyDescent="0.25">
      <c r="A7024" s="8"/>
      <c r="C7024" s="5"/>
      <c r="M7024" s="9"/>
    </row>
    <row r="7025" spans="1:13" x14ac:dyDescent="0.25">
      <c r="A7025" s="8"/>
      <c r="C7025" s="5"/>
      <c r="M7025" s="9"/>
    </row>
    <row r="7026" spans="1:13" x14ac:dyDescent="0.25">
      <c r="A7026" s="8"/>
      <c r="C7026" s="5"/>
      <c r="M7026" s="9"/>
    </row>
    <row r="7027" spans="1:13" x14ac:dyDescent="0.25">
      <c r="A7027" s="8"/>
      <c r="C7027" s="5"/>
      <c r="M7027" s="9"/>
    </row>
    <row r="7028" spans="1:13" x14ac:dyDescent="0.25">
      <c r="A7028" s="8"/>
      <c r="C7028" s="5"/>
      <c r="M7028" s="9"/>
    </row>
    <row r="7029" spans="1:13" x14ac:dyDescent="0.25">
      <c r="A7029" s="8"/>
      <c r="C7029" s="5"/>
      <c r="M7029" s="9"/>
    </row>
    <row r="7030" spans="1:13" x14ac:dyDescent="0.25">
      <c r="A7030" s="8"/>
      <c r="C7030" s="5"/>
      <c r="M7030" s="9"/>
    </row>
    <row r="7031" spans="1:13" x14ac:dyDescent="0.25">
      <c r="A7031" s="8"/>
      <c r="C7031" s="5"/>
      <c r="M7031" s="9"/>
    </row>
    <row r="7032" spans="1:13" x14ac:dyDescent="0.25">
      <c r="A7032" s="8"/>
      <c r="C7032" s="5"/>
      <c r="M7032" s="9"/>
    </row>
    <row r="7033" spans="1:13" x14ac:dyDescent="0.25">
      <c r="A7033" s="8"/>
      <c r="C7033" s="5"/>
      <c r="M7033" s="9"/>
    </row>
    <row r="7034" spans="1:13" x14ac:dyDescent="0.25">
      <c r="A7034" s="8"/>
      <c r="C7034" s="5"/>
      <c r="M7034" s="9"/>
    </row>
    <row r="7035" spans="1:13" x14ac:dyDescent="0.25">
      <c r="A7035" s="8"/>
      <c r="C7035" s="5"/>
      <c r="M7035" s="9"/>
    </row>
    <row r="7036" spans="1:13" x14ac:dyDescent="0.25">
      <c r="A7036" s="8"/>
      <c r="C7036" s="5"/>
      <c r="M7036" s="9"/>
    </row>
    <row r="7037" spans="1:13" x14ac:dyDescent="0.25">
      <c r="A7037" s="8"/>
      <c r="C7037" s="5"/>
      <c r="M7037" s="9"/>
    </row>
    <row r="7038" spans="1:13" x14ac:dyDescent="0.25">
      <c r="A7038" s="8"/>
      <c r="C7038" s="5"/>
      <c r="M7038" s="9"/>
    </row>
    <row r="7039" spans="1:13" x14ac:dyDescent="0.25">
      <c r="A7039" s="8"/>
      <c r="C7039" s="5"/>
      <c r="M7039" s="9"/>
    </row>
    <row r="7040" spans="1:13" x14ac:dyDescent="0.25">
      <c r="A7040" s="8"/>
      <c r="C7040" s="5"/>
      <c r="M7040" s="9"/>
    </row>
    <row r="7041" spans="1:13" x14ac:dyDescent="0.25">
      <c r="A7041" s="8"/>
      <c r="C7041" s="5"/>
      <c r="M7041" s="9"/>
    </row>
    <row r="7042" spans="1:13" x14ac:dyDescent="0.25">
      <c r="A7042" s="8"/>
      <c r="C7042" s="5"/>
      <c r="M7042" s="9"/>
    </row>
    <row r="7043" spans="1:13" x14ac:dyDescent="0.25">
      <c r="A7043" s="8"/>
      <c r="C7043" s="5"/>
      <c r="M7043" s="9"/>
    </row>
    <row r="7044" spans="1:13" x14ac:dyDescent="0.25">
      <c r="A7044" s="8"/>
      <c r="C7044" s="5"/>
      <c r="M7044" s="9"/>
    </row>
    <row r="7045" spans="1:13" x14ac:dyDescent="0.25">
      <c r="A7045" s="8"/>
      <c r="C7045" s="5"/>
      <c r="M7045" s="9"/>
    </row>
    <row r="7046" spans="1:13" x14ac:dyDescent="0.25">
      <c r="A7046" s="8"/>
      <c r="C7046" s="5"/>
      <c r="M7046" s="9"/>
    </row>
    <row r="7047" spans="1:13" x14ac:dyDescent="0.25">
      <c r="A7047" s="8"/>
      <c r="C7047" s="5"/>
      <c r="M7047" s="9"/>
    </row>
    <row r="7048" spans="1:13" x14ac:dyDescent="0.25">
      <c r="A7048" s="8"/>
      <c r="C7048" s="5"/>
      <c r="M7048" s="9"/>
    </row>
    <row r="7049" spans="1:13" x14ac:dyDescent="0.25">
      <c r="A7049" s="8"/>
      <c r="C7049" s="5"/>
      <c r="M7049" s="9"/>
    </row>
    <row r="7050" spans="1:13" x14ac:dyDescent="0.25">
      <c r="A7050" s="8"/>
      <c r="C7050" s="5"/>
      <c r="M7050" s="9"/>
    </row>
    <row r="7051" spans="1:13" x14ac:dyDescent="0.25">
      <c r="A7051" s="8"/>
      <c r="C7051" s="5"/>
      <c r="M7051" s="9"/>
    </row>
    <row r="7052" spans="1:13" x14ac:dyDescent="0.25">
      <c r="A7052" s="8"/>
      <c r="C7052" s="5"/>
      <c r="M7052" s="9"/>
    </row>
    <row r="7053" spans="1:13" x14ac:dyDescent="0.25">
      <c r="A7053" s="8"/>
      <c r="C7053" s="5"/>
      <c r="M7053" s="9"/>
    </row>
    <row r="7054" spans="1:13" x14ac:dyDescent="0.25">
      <c r="A7054" s="8"/>
      <c r="C7054" s="5"/>
      <c r="M7054" s="9"/>
    </row>
    <row r="7055" spans="1:13" x14ac:dyDescent="0.25">
      <c r="A7055" s="8"/>
      <c r="C7055" s="5"/>
      <c r="M7055" s="9"/>
    </row>
    <row r="7056" spans="1:13" x14ac:dyDescent="0.25">
      <c r="A7056" s="8"/>
      <c r="C7056" s="5"/>
      <c r="M7056" s="9"/>
    </row>
    <row r="7057" spans="1:13" x14ac:dyDescent="0.25">
      <c r="A7057" s="8"/>
      <c r="C7057" s="5"/>
      <c r="M7057" s="9"/>
    </row>
    <row r="7058" spans="1:13" x14ac:dyDescent="0.25">
      <c r="A7058" s="8"/>
      <c r="C7058" s="5"/>
      <c r="M7058" s="9"/>
    </row>
    <row r="7059" spans="1:13" x14ac:dyDescent="0.25">
      <c r="A7059" s="8"/>
      <c r="C7059" s="5"/>
      <c r="M7059" s="9"/>
    </row>
    <row r="7060" spans="1:13" x14ac:dyDescent="0.25">
      <c r="A7060" s="8"/>
      <c r="C7060" s="5"/>
      <c r="M7060" s="9"/>
    </row>
    <row r="7061" spans="1:13" x14ac:dyDescent="0.25">
      <c r="A7061" s="8"/>
      <c r="C7061" s="5"/>
      <c r="M7061" s="9"/>
    </row>
    <row r="7062" spans="1:13" x14ac:dyDescent="0.25">
      <c r="A7062" s="8"/>
      <c r="C7062" s="5"/>
      <c r="M7062" s="9"/>
    </row>
    <row r="7063" spans="1:13" x14ac:dyDescent="0.25">
      <c r="A7063" s="8"/>
      <c r="C7063" s="5"/>
      <c r="M7063" s="9"/>
    </row>
    <row r="7064" spans="1:13" x14ac:dyDescent="0.25">
      <c r="A7064" s="8"/>
      <c r="C7064" s="5"/>
      <c r="M7064" s="9"/>
    </row>
    <row r="7065" spans="1:13" x14ac:dyDescent="0.25">
      <c r="A7065" s="8"/>
      <c r="C7065" s="5"/>
      <c r="M7065" s="9"/>
    </row>
    <row r="7066" spans="1:13" x14ac:dyDescent="0.25">
      <c r="A7066" s="8"/>
      <c r="C7066" s="5"/>
      <c r="M7066" s="9"/>
    </row>
    <row r="7067" spans="1:13" x14ac:dyDescent="0.25">
      <c r="A7067" s="8"/>
      <c r="C7067" s="5"/>
      <c r="M7067" s="9"/>
    </row>
    <row r="7068" spans="1:13" x14ac:dyDescent="0.25">
      <c r="A7068" s="8"/>
      <c r="C7068" s="5"/>
      <c r="M7068" s="9"/>
    </row>
    <row r="7069" spans="1:13" x14ac:dyDescent="0.25">
      <c r="A7069" s="8"/>
      <c r="C7069" s="5"/>
      <c r="M7069" s="9"/>
    </row>
    <row r="7070" spans="1:13" x14ac:dyDescent="0.25">
      <c r="A7070" s="8"/>
      <c r="C7070" s="5"/>
      <c r="M7070" s="9"/>
    </row>
    <row r="7071" spans="1:13" x14ac:dyDescent="0.25">
      <c r="A7071" s="8"/>
      <c r="C7071" s="5"/>
      <c r="M7071" s="9"/>
    </row>
    <row r="7072" spans="1:13" x14ac:dyDescent="0.25">
      <c r="A7072" s="8"/>
      <c r="C7072" s="5"/>
      <c r="M7072" s="9"/>
    </row>
    <row r="7073" spans="1:13" x14ac:dyDescent="0.25">
      <c r="A7073" s="8"/>
      <c r="C7073" s="5"/>
      <c r="M7073" s="9"/>
    </row>
    <row r="7074" spans="1:13" x14ac:dyDescent="0.25">
      <c r="A7074" s="8"/>
      <c r="C7074" s="5"/>
      <c r="M7074" s="9"/>
    </row>
    <row r="7075" spans="1:13" x14ac:dyDescent="0.25">
      <c r="A7075" s="8"/>
      <c r="C7075" s="5"/>
      <c r="M7075" s="9"/>
    </row>
    <row r="7076" spans="1:13" x14ac:dyDescent="0.25">
      <c r="A7076" s="8"/>
      <c r="C7076" s="5"/>
      <c r="M7076" s="9"/>
    </row>
    <row r="7077" spans="1:13" x14ac:dyDescent="0.25">
      <c r="A7077" s="8"/>
      <c r="C7077" s="5"/>
      <c r="M7077" s="9"/>
    </row>
    <row r="7078" spans="1:13" x14ac:dyDescent="0.25">
      <c r="A7078" s="8"/>
      <c r="C7078" s="5"/>
      <c r="M7078" s="9"/>
    </row>
    <row r="7079" spans="1:13" x14ac:dyDescent="0.25">
      <c r="A7079" s="8"/>
      <c r="C7079" s="5"/>
      <c r="M7079" s="9"/>
    </row>
    <row r="7080" spans="1:13" x14ac:dyDescent="0.25">
      <c r="A7080" s="8"/>
      <c r="C7080" s="5"/>
      <c r="M7080" s="9"/>
    </row>
    <row r="7081" spans="1:13" x14ac:dyDescent="0.25">
      <c r="A7081" s="8"/>
      <c r="C7081" s="5"/>
      <c r="M7081" s="9"/>
    </row>
    <row r="7082" spans="1:13" x14ac:dyDescent="0.25">
      <c r="A7082" s="8"/>
      <c r="C7082" s="5"/>
      <c r="M7082" s="9"/>
    </row>
    <row r="7083" spans="1:13" x14ac:dyDescent="0.25">
      <c r="A7083" s="8"/>
      <c r="C7083" s="5"/>
      <c r="M7083" s="9"/>
    </row>
    <row r="7084" spans="1:13" x14ac:dyDescent="0.25">
      <c r="A7084" s="8"/>
      <c r="C7084" s="5"/>
      <c r="M7084" s="9"/>
    </row>
    <row r="7085" spans="1:13" x14ac:dyDescent="0.25">
      <c r="A7085" s="8"/>
      <c r="C7085" s="5"/>
      <c r="M7085" s="9"/>
    </row>
    <row r="7086" spans="1:13" x14ac:dyDescent="0.25">
      <c r="A7086" s="8"/>
      <c r="C7086" s="5"/>
      <c r="M7086" s="9"/>
    </row>
    <row r="7087" spans="1:13" x14ac:dyDescent="0.25">
      <c r="A7087" s="8"/>
      <c r="C7087" s="5"/>
      <c r="M7087" s="9"/>
    </row>
    <row r="7088" spans="1:13" x14ac:dyDescent="0.25">
      <c r="A7088" s="8"/>
      <c r="C7088" s="5"/>
      <c r="M7088" s="9"/>
    </row>
    <row r="7089" spans="1:13" x14ac:dyDescent="0.25">
      <c r="A7089" s="8"/>
      <c r="C7089" s="5"/>
      <c r="M7089" s="9"/>
    </row>
    <row r="7090" spans="1:13" x14ac:dyDescent="0.25">
      <c r="A7090" s="8"/>
      <c r="C7090" s="5"/>
      <c r="M7090" s="9"/>
    </row>
    <row r="7091" spans="1:13" x14ac:dyDescent="0.25">
      <c r="A7091" s="8"/>
      <c r="C7091" s="5"/>
      <c r="M7091" s="9"/>
    </row>
    <row r="7092" spans="1:13" x14ac:dyDescent="0.25">
      <c r="A7092" s="8"/>
      <c r="C7092" s="5"/>
      <c r="M7092" s="9"/>
    </row>
    <row r="7093" spans="1:13" x14ac:dyDescent="0.25">
      <c r="A7093" s="8"/>
      <c r="C7093" s="5"/>
      <c r="M7093" s="9"/>
    </row>
    <row r="7094" spans="1:13" x14ac:dyDescent="0.25">
      <c r="A7094" s="8"/>
      <c r="C7094" s="5"/>
      <c r="M7094" s="9"/>
    </row>
    <row r="7095" spans="1:13" x14ac:dyDescent="0.25">
      <c r="A7095" s="8"/>
      <c r="C7095" s="5"/>
      <c r="M7095" s="9"/>
    </row>
    <row r="7096" spans="1:13" x14ac:dyDescent="0.25">
      <c r="A7096" s="8"/>
      <c r="C7096" s="5"/>
      <c r="M7096" s="9"/>
    </row>
    <row r="7097" spans="1:13" x14ac:dyDescent="0.25">
      <c r="A7097" s="8"/>
      <c r="C7097" s="5"/>
      <c r="M7097" s="9"/>
    </row>
    <row r="7098" spans="1:13" x14ac:dyDescent="0.25">
      <c r="A7098" s="8"/>
      <c r="C7098" s="5"/>
      <c r="M7098" s="9"/>
    </row>
    <row r="7099" spans="1:13" x14ac:dyDescent="0.25">
      <c r="A7099" s="8"/>
      <c r="C7099" s="5"/>
      <c r="M7099" s="9"/>
    </row>
    <row r="7100" spans="1:13" x14ac:dyDescent="0.25">
      <c r="A7100" s="8"/>
      <c r="C7100" s="5"/>
      <c r="M7100" s="9"/>
    </row>
    <row r="7101" spans="1:13" x14ac:dyDescent="0.25">
      <c r="A7101" s="8"/>
      <c r="C7101" s="5"/>
      <c r="M7101" s="9"/>
    </row>
    <row r="7102" spans="1:13" x14ac:dyDescent="0.25">
      <c r="A7102" s="8"/>
      <c r="C7102" s="5"/>
      <c r="M7102" s="9"/>
    </row>
    <row r="7103" spans="1:13" x14ac:dyDescent="0.25">
      <c r="A7103" s="8"/>
      <c r="C7103" s="5"/>
      <c r="M7103" s="9"/>
    </row>
    <row r="7104" spans="1:13" x14ac:dyDescent="0.25">
      <c r="A7104" s="8"/>
      <c r="C7104" s="5"/>
      <c r="M7104" s="9"/>
    </row>
    <row r="7105" spans="1:13" x14ac:dyDescent="0.25">
      <c r="A7105" s="8"/>
      <c r="C7105" s="5"/>
      <c r="M7105" s="9"/>
    </row>
    <row r="7106" spans="1:13" x14ac:dyDescent="0.25">
      <c r="A7106" s="8"/>
      <c r="C7106" s="5"/>
      <c r="M7106" s="9"/>
    </row>
    <row r="7107" spans="1:13" x14ac:dyDescent="0.25">
      <c r="A7107" s="8"/>
      <c r="C7107" s="5"/>
      <c r="M7107" s="9"/>
    </row>
    <row r="7108" spans="1:13" x14ac:dyDescent="0.25">
      <c r="A7108" s="8"/>
      <c r="C7108" s="5"/>
      <c r="M7108" s="9"/>
    </row>
    <row r="7109" spans="1:13" x14ac:dyDescent="0.25">
      <c r="A7109" s="8"/>
      <c r="C7109" s="5"/>
      <c r="M7109" s="9"/>
    </row>
    <row r="7110" spans="1:13" x14ac:dyDescent="0.25">
      <c r="A7110" s="8"/>
      <c r="C7110" s="5"/>
      <c r="M7110" s="9"/>
    </row>
    <row r="7111" spans="1:13" x14ac:dyDescent="0.25">
      <c r="A7111" s="8"/>
      <c r="C7111" s="5"/>
      <c r="M7111" s="9"/>
    </row>
    <row r="7112" spans="1:13" x14ac:dyDescent="0.25">
      <c r="A7112" s="8"/>
      <c r="C7112" s="5"/>
      <c r="M7112" s="9"/>
    </row>
    <row r="7113" spans="1:13" x14ac:dyDescent="0.25">
      <c r="A7113" s="8"/>
      <c r="C7113" s="5"/>
      <c r="M7113" s="9"/>
    </row>
    <row r="7114" spans="1:13" x14ac:dyDescent="0.25">
      <c r="A7114" s="8"/>
      <c r="C7114" s="5"/>
      <c r="M7114" s="9"/>
    </row>
    <row r="7115" spans="1:13" x14ac:dyDescent="0.25">
      <c r="A7115" s="8"/>
      <c r="C7115" s="5"/>
      <c r="M7115" s="9"/>
    </row>
    <row r="7116" spans="1:13" x14ac:dyDescent="0.25">
      <c r="A7116" s="8"/>
      <c r="C7116" s="5"/>
      <c r="M7116" s="9"/>
    </row>
    <row r="7117" spans="1:13" x14ac:dyDescent="0.25">
      <c r="A7117" s="8"/>
      <c r="C7117" s="5"/>
      <c r="M7117" s="9"/>
    </row>
    <row r="7118" spans="1:13" x14ac:dyDescent="0.25">
      <c r="A7118" s="8"/>
      <c r="C7118" s="5"/>
      <c r="M7118" s="9"/>
    </row>
    <row r="7119" spans="1:13" x14ac:dyDescent="0.25">
      <c r="A7119" s="8"/>
      <c r="C7119" s="5"/>
      <c r="M7119" s="9"/>
    </row>
    <row r="7120" spans="1:13" x14ac:dyDescent="0.25">
      <c r="A7120" s="8"/>
      <c r="C7120" s="5"/>
      <c r="M7120" s="9"/>
    </row>
    <row r="7121" spans="1:13" x14ac:dyDescent="0.25">
      <c r="A7121" s="8"/>
      <c r="C7121" s="5"/>
      <c r="M7121" s="9"/>
    </row>
    <row r="7122" spans="1:13" x14ac:dyDescent="0.25">
      <c r="A7122" s="8"/>
      <c r="C7122" s="5"/>
      <c r="M7122" s="9"/>
    </row>
    <row r="7123" spans="1:13" x14ac:dyDescent="0.25">
      <c r="A7123" s="8"/>
      <c r="C7123" s="5"/>
      <c r="M7123" s="9"/>
    </row>
    <row r="7124" spans="1:13" x14ac:dyDescent="0.25">
      <c r="A7124" s="8"/>
      <c r="C7124" s="5"/>
      <c r="M7124" s="9"/>
    </row>
    <row r="7125" spans="1:13" x14ac:dyDescent="0.25">
      <c r="A7125" s="8"/>
      <c r="C7125" s="5"/>
      <c r="M7125" s="9"/>
    </row>
    <row r="7126" spans="1:13" x14ac:dyDescent="0.25">
      <c r="A7126" s="8"/>
      <c r="C7126" s="5"/>
      <c r="M7126" s="9"/>
    </row>
    <row r="7127" spans="1:13" x14ac:dyDescent="0.25">
      <c r="A7127" s="8"/>
      <c r="C7127" s="5"/>
      <c r="M7127" s="9"/>
    </row>
    <row r="7128" spans="1:13" x14ac:dyDescent="0.25">
      <c r="A7128" s="8"/>
      <c r="C7128" s="5"/>
      <c r="M7128" s="9"/>
    </row>
    <row r="7129" spans="1:13" x14ac:dyDescent="0.25">
      <c r="A7129" s="8"/>
      <c r="C7129" s="5"/>
      <c r="M7129" s="9"/>
    </row>
    <row r="7130" spans="1:13" x14ac:dyDescent="0.25">
      <c r="A7130" s="8"/>
      <c r="C7130" s="5"/>
      <c r="M7130" s="9"/>
    </row>
    <row r="7131" spans="1:13" x14ac:dyDescent="0.25">
      <c r="A7131" s="8"/>
      <c r="C7131" s="5"/>
      <c r="M7131" s="9"/>
    </row>
    <row r="7132" spans="1:13" x14ac:dyDescent="0.25">
      <c r="A7132" s="8"/>
      <c r="C7132" s="5"/>
      <c r="M7132" s="9"/>
    </row>
    <row r="7133" spans="1:13" x14ac:dyDescent="0.25">
      <c r="A7133" s="8"/>
      <c r="C7133" s="5"/>
      <c r="M7133" s="9"/>
    </row>
    <row r="7134" spans="1:13" x14ac:dyDescent="0.25">
      <c r="A7134" s="8"/>
      <c r="C7134" s="5"/>
      <c r="M7134" s="9"/>
    </row>
    <row r="7135" spans="1:13" x14ac:dyDescent="0.25">
      <c r="A7135" s="8"/>
      <c r="C7135" s="5"/>
      <c r="M7135" s="9"/>
    </row>
    <row r="7136" spans="1:13" x14ac:dyDescent="0.25">
      <c r="A7136" s="8"/>
      <c r="C7136" s="5"/>
      <c r="M7136" s="9"/>
    </row>
    <row r="7137" spans="1:13" x14ac:dyDescent="0.25">
      <c r="A7137" s="8"/>
      <c r="C7137" s="5"/>
      <c r="M7137" s="9"/>
    </row>
    <row r="7138" spans="1:13" x14ac:dyDescent="0.25">
      <c r="A7138" s="8"/>
      <c r="C7138" s="5"/>
      <c r="M7138" s="9"/>
    </row>
    <row r="7139" spans="1:13" x14ac:dyDescent="0.25">
      <c r="A7139" s="8"/>
      <c r="C7139" s="5"/>
      <c r="M7139" s="9"/>
    </row>
    <row r="7140" spans="1:13" x14ac:dyDescent="0.25">
      <c r="A7140" s="8"/>
      <c r="C7140" s="5"/>
      <c r="M7140" s="9"/>
    </row>
    <row r="7141" spans="1:13" x14ac:dyDescent="0.25">
      <c r="A7141" s="8"/>
      <c r="C7141" s="5"/>
      <c r="M7141" s="9"/>
    </row>
    <row r="7142" spans="1:13" x14ac:dyDescent="0.25">
      <c r="A7142" s="8"/>
      <c r="C7142" s="5"/>
      <c r="M7142" s="9"/>
    </row>
    <row r="7143" spans="1:13" x14ac:dyDescent="0.25">
      <c r="A7143" s="8"/>
      <c r="C7143" s="5"/>
      <c r="M7143" s="9"/>
    </row>
    <row r="7144" spans="1:13" x14ac:dyDescent="0.25">
      <c r="A7144" s="8"/>
      <c r="C7144" s="5"/>
      <c r="M7144" s="9"/>
    </row>
    <row r="7145" spans="1:13" x14ac:dyDescent="0.25">
      <c r="A7145" s="8"/>
      <c r="C7145" s="5"/>
      <c r="M7145" s="9"/>
    </row>
    <row r="7146" spans="1:13" x14ac:dyDescent="0.25">
      <c r="A7146" s="8"/>
      <c r="C7146" s="5"/>
      <c r="M7146" s="9"/>
    </row>
    <row r="7147" spans="1:13" x14ac:dyDescent="0.25">
      <c r="A7147" s="8"/>
      <c r="C7147" s="5"/>
      <c r="M7147" s="9"/>
    </row>
    <row r="7148" spans="1:13" x14ac:dyDescent="0.25">
      <c r="A7148" s="8"/>
      <c r="C7148" s="5"/>
      <c r="M7148" s="9"/>
    </row>
    <row r="7149" spans="1:13" x14ac:dyDescent="0.25">
      <c r="A7149" s="8"/>
      <c r="C7149" s="5"/>
      <c r="M7149" s="9"/>
    </row>
    <row r="7150" spans="1:13" x14ac:dyDescent="0.25">
      <c r="A7150" s="8"/>
      <c r="C7150" s="5"/>
      <c r="M7150" s="9"/>
    </row>
    <row r="7151" spans="1:13" x14ac:dyDescent="0.25">
      <c r="A7151" s="8"/>
      <c r="C7151" s="5"/>
      <c r="M7151" s="9"/>
    </row>
    <row r="7152" spans="1:13" x14ac:dyDescent="0.25">
      <c r="A7152" s="8"/>
      <c r="C7152" s="5"/>
      <c r="M7152" s="9"/>
    </row>
    <row r="7153" spans="1:13" x14ac:dyDescent="0.25">
      <c r="A7153" s="8"/>
      <c r="C7153" s="5"/>
      <c r="M7153" s="9"/>
    </row>
    <row r="7154" spans="1:13" x14ac:dyDescent="0.25">
      <c r="A7154" s="8"/>
      <c r="C7154" s="5"/>
      <c r="M7154" s="9"/>
    </row>
    <row r="7155" spans="1:13" x14ac:dyDescent="0.25">
      <c r="A7155" s="8"/>
      <c r="C7155" s="5"/>
      <c r="M7155" s="9"/>
    </row>
    <row r="7156" spans="1:13" x14ac:dyDescent="0.25">
      <c r="A7156" s="8"/>
      <c r="C7156" s="5"/>
      <c r="M7156" s="9"/>
    </row>
    <row r="7157" spans="1:13" x14ac:dyDescent="0.25">
      <c r="A7157" s="8"/>
      <c r="C7157" s="5"/>
      <c r="M7157" s="9"/>
    </row>
    <row r="7158" spans="1:13" x14ac:dyDescent="0.25">
      <c r="A7158" s="8"/>
      <c r="C7158" s="5"/>
      <c r="M7158" s="9"/>
    </row>
    <row r="7159" spans="1:13" x14ac:dyDescent="0.25">
      <c r="A7159" s="8"/>
      <c r="C7159" s="5"/>
      <c r="M7159" s="9"/>
    </row>
    <row r="7160" spans="1:13" x14ac:dyDescent="0.25">
      <c r="A7160" s="8"/>
      <c r="C7160" s="5"/>
      <c r="M7160" s="9"/>
    </row>
    <row r="7161" spans="1:13" x14ac:dyDescent="0.25">
      <c r="A7161" s="8"/>
      <c r="C7161" s="5"/>
      <c r="M7161" s="9"/>
    </row>
    <row r="7162" spans="1:13" x14ac:dyDescent="0.25">
      <c r="A7162" s="8"/>
      <c r="C7162" s="5"/>
      <c r="M7162" s="9"/>
    </row>
    <row r="7163" spans="1:13" x14ac:dyDescent="0.25">
      <c r="A7163" s="8"/>
      <c r="C7163" s="5"/>
      <c r="M7163" s="9"/>
    </row>
    <row r="7164" spans="1:13" x14ac:dyDescent="0.25">
      <c r="A7164" s="8"/>
      <c r="C7164" s="5"/>
      <c r="M7164" s="9"/>
    </row>
    <row r="7165" spans="1:13" x14ac:dyDescent="0.25">
      <c r="A7165" s="8"/>
      <c r="C7165" s="5"/>
      <c r="M7165" s="9"/>
    </row>
    <row r="7166" spans="1:13" x14ac:dyDescent="0.25">
      <c r="A7166" s="8"/>
      <c r="C7166" s="5"/>
      <c r="M7166" s="9"/>
    </row>
    <row r="7167" spans="1:13" x14ac:dyDescent="0.25">
      <c r="A7167" s="8"/>
      <c r="C7167" s="5"/>
      <c r="M7167" s="9"/>
    </row>
    <row r="7168" spans="1:13" x14ac:dyDescent="0.25">
      <c r="A7168" s="8"/>
      <c r="C7168" s="5"/>
      <c r="M7168" s="9"/>
    </row>
    <row r="7169" spans="1:13" x14ac:dyDescent="0.25">
      <c r="A7169" s="8"/>
      <c r="C7169" s="5"/>
      <c r="M7169" s="9"/>
    </row>
    <row r="7170" spans="1:13" x14ac:dyDescent="0.25">
      <c r="A7170" s="8"/>
      <c r="C7170" s="5"/>
      <c r="M7170" s="9"/>
    </row>
    <row r="7171" spans="1:13" x14ac:dyDescent="0.25">
      <c r="A7171" s="8"/>
      <c r="C7171" s="5"/>
      <c r="M7171" s="9"/>
    </row>
    <row r="7172" spans="1:13" x14ac:dyDescent="0.25">
      <c r="A7172" s="8"/>
      <c r="C7172" s="5"/>
      <c r="M7172" s="9"/>
    </row>
    <row r="7173" spans="1:13" x14ac:dyDescent="0.25">
      <c r="A7173" s="8"/>
      <c r="C7173" s="5"/>
      <c r="M7173" s="9"/>
    </row>
    <row r="7174" spans="1:13" x14ac:dyDescent="0.25">
      <c r="A7174" s="8"/>
      <c r="C7174" s="5"/>
      <c r="M7174" s="9"/>
    </row>
    <row r="7175" spans="1:13" x14ac:dyDescent="0.25">
      <c r="A7175" s="8"/>
      <c r="C7175" s="5"/>
      <c r="M7175" s="9"/>
    </row>
    <row r="7176" spans="1:13" x14ac:dyDescent="0.25">
      <c r="A7176" s="8"/>
      <c r="C7176" s="5"/>
      <c r="M7176" s="9"/>
    </row>
    <row r="7177" spans="1:13" x14ac:dyDescent="0.25">
      <c r="A7177" s="8"/>
      <c r="C7177" s="5"/>
      <c r="M7177" s="9"/>
    </row>
    <row r="7178" spans="1:13" x14ac:dyDescent="0.25">
      <c r="A7178" s="8"/>
      <c r="C7178" s="5"/>
      <c r="M7178" s="9"/>
    </row>
    <row r="7179" spans="1:13" x14ac:dyDescent="0.25">
      <c r="A7179" s="8"/>
      <c r="C7179" s="5"/>
      <c r="M7179" s="9"/>
    </row>
    <row r="7180" spans="1:13" x14ac:dyDescent="0.25">
      <c r="A7180" s="8"/>
      <c r="C7180" s="5"/>
      <c r="M7180" s="9"/>
    </row>
    <row r="7181" spans="1:13" x14ac:dyDescent="0.25">
      <c r="A7181" s="8"/>
      <c r="C7181" s="5"/>
      <c r="M7181" s="9"/>
    </row>
    <row r="7182" spans="1:13" x14ac:dyDescent="0.25">
      <c r="A7182" s="8"/>
      <c r="C7182" s="5"/>
      <c r="M7182" s="9"/>
    </row>
    <row r="7183" spans="1:13" x14ac:dyDescent="0.25">
      <c r="A7183" s="8"/>
      <c r="C7183" s="5"/>
      <c r="M7183" s="9"/>
    </row>
    <row r="7184" spans="1:13" x14ac:dyDescent="0.25">
      <c r="A7184" s="8"/>
      <c r="C7184" s="5"/>
      <c r="M7184" s="9"/>
    </row>
    <row r="7185" spans="1:13" x14ac:dyDescent="0.25">
      <c r="A7185" s="8"/>
      <c r="C7185" s="5"/>
      <c r="M7185" s="9"/>
    </row>
    <row r="7186" spans="1:13" x14ac:dyDescent="0.25">
      <c r="A7186" s="8"/>
      <c r="C7186" s="5"/>
      <c r="M7186" s="9"/>
    </row>
    <row r="7187" spans="1:13" x14ac:dyDescent="0.25">
      <c r="A7187" s="8"/>
      <c r="C7187" s="5"/>
      <c r="M7187" s="9"/>
    </row>
    <row r="7188" spans="1:13" x14ac:dyDescent="0.25">
      <c r="A7188" s="8"/>
      <c r="C7188" s="5"/>
      <c r="M7188" s="9"/>
    </row>
    <row r="7189" spans="1:13" x14ac:dyDescent="0.25">
      <c r="A7189" s="8"/>
      <c r="C7189" s="5"/>
      <c r="M7189" s="9"/>
    </row>
    <row r="7190" spans="1:13" x14ac:dyDescent="0.25">
      <c r="A7190" s="8"/>
      <c r="C7190" s="5"/>
      <c r="M7190" s="9"/>
    </row>
    <row r="7191" spans="1:13" x14ac:dyDescent="0.25">
      <c r="A7191" s="8"/>
      <c r="C7191" s="5"/>
      <c r="M7191" s="9"/>
    </row>
    <row r="7192" spans="1:13" x14ac:dyDescent="0.25">
      <c r="A7192" s="8"/>
      <c r="C7192" s="5"/>
      <c r="M7192" s="9"/>
    </row>
    <row r="7193" spans="1:13" x14ac:dyDescent="0.25">
      <c r="A7193" s="8"/>
      <c r="C7193" s="5"/>
      <c r="M7193" s="9"/>
    </row>
    <row r="7194" spans="1:13" x14ac:dyDescent="0.25">
      <c r="A7194" s="8"/>
      <c r="C7194" s="5"/>
      <c r="M7194" s="9"/>
    </row>
    <row r="7195" spans="1:13" x14ac:dyDescent="0.25">
      <c r="A7195" s="8"/>
      <c r="C7195" s="5"/>
      <c r="M7195" s="9"/>
    </row>
    <row r="7196" spans="1:13" x14ac:dyDescent="0.25">
      <c r="A7196" s="8"/>
      <c r="C7196" s="5"/>
      <c r="M7196" s="9"/>
    </row>
    <row r="7197" spans="1:13" x14ac:dyDescent="0.25">
      <c r="A7197" s="8"/>
      <c r="C7197" s="5"/>
      <c r="M7197" s="9"/>
    </row>
    <row r="7198" spans="1:13" x14ac:dyDescent="0.25">
      <c r="A7198" s="8"/>
      <c r="C7198" s="5"/>
      <c r="M7198" s="9"/>
    </row>
    <row r="7199" spans="1:13" x14ac:dyDescent="0.25">
      <c r="A7199" s="8"/>
      <c r="C7199" s="5"/>
      <c r="M7199" s="9"/>
    </row>
    <row r="7200" spans="1:13" x14ac:dyDescent="0.25">
      <c r="A7200" s="8"/>
      <c r="C7200" s="5"/>
      <c r="M7200" s="9"/>
    </row>
    <row r="7201" spans="1:13" x14ac:dyDescent="0.25">
      <c r="A7201" s="8"/>
      <c r="C7201" s="5"/>
      <c r="M7201" s="9"/>
    </row>
    <row r="7202" spans="1:13" x14ac:dyDescent="0.25">
      <c r="A7202" s="8"/>
      <c r="C7202" s="5"/>
      <c r="M7202" s="9"/>
    </row>
    <row r="7203" spans="1:13" x14ac:dyDescent="0.25">
      <c r="A7203" s="8"/>
      <c r="C7203" s="5"/>
      <c r="M7203" s="9"/>
    </row>
    <row r="7204" spans="1:13" x14ac:dyDescent="0.25">
      <c r="A7204" s="8"/>
      <c r="C7204" s="5"/>
      <c r="M7204" s="9"/>
    </row>
    <row r="7205" spans="1:13" x14ac:dyDescent="0.25">
      <c r="A7205" s="8"/>
      <c r="C7205" s="5"/>
      <c r="M7205" s="9"/>
    </row>
    <row r="7206" spans="1:13" x14ac:dyDescent="0.25">
      <c r="A7206" s="8"/>
      <c r="C7206" s="5"/>
      <c r="M7206" s="9"/>
    </row>
    <row r="7207" spans="1:13" x14ac:dyDescent="0.25">
      <c r="A7207" s="8"/>
      <c r="C7207" s="5"/>
      <c r="M7207" s="9"/>
    </row>
    <row r="7208" spans="1:13" x14ac:dyDescent="0.25">
      <c r="A7208" s="8"/>
      <c r="C7208" s="5"/>
      <c r="M7208" s="9"/>
    </row>
    <row r="7209" spans="1:13" x14ac:dyDescent="0.25">
      <c r="A7209" s="8"/>
      <c r="C7209" s="5"/>
      <c r="M7209" s="9"/>
    </row>
    <row r="7210" spans="1:13" x14ac:dyDescent="0.25">
      <c r="A7210" s="8"/>
      <c r="C7210" s="5"/>
      <c r="M7210" s="9"/>
    </row>
    <row r="7211" spans="1:13" x14ac:dyDescent="0.25">
      <c r="A7211" s="8"/>
      <c r="C7211" s="5"/>
      <c r="M7211" s="9"/>
    </row>
    <row r="7212" spans="1:13" x14ac:dyDescent="0.25">
      <c r="A7212" s="8"/>
      <c r="C7212" s="5"/>
      <c r="M7212" s="9"/>
    </row>
    <row r="7213" spans="1:13" x14ac:dyDescent="0.25">
      <c r="A7213" s="8"/>
      <c r="C7213" s="5"/>
      <c r="M7213" s="9"/>
    </row>
    <row r="7214" spans="1:13" x14ac:dyDescent="0.25">
      <c r="A7214" s="8"/>
      <c r="C7214" s="5"/>
      <c r="M7214" s="9"/>
    </row>
    <row r="7215" spans="1:13" x14ac:dyDescent="0.25">
      <c r="A7215" s="8"/>
      <c r="C7215" s="5"/>
      <c r="M7215" s="9"/>
    </row>
    <row r="7216" spans="1:13" x14ac:dyDescent="0.25">
      <c r="A7216" s="8"/>
      <c r="C7216" s="5"/>
      <c r="M7216" s="9"/>
    </row>
    <row r="7217" spans="1:13" x14ac:dyDescent="0.25">
      <c r="A7217" s="8"/>
      <c r="C7217" s="5"/>
      <c r="M7217" s="9"/>
    </row>
    <row r="7218" spans="1:13" x14ac:dyDescent="0.25">
      <c r="A7218" s="8"/>
      <c r="C7218" s="5"/>
      <c r="M7218" s="9"/>
    </row>
    <row r="7219" spans="1:13" x14ac:dyDescent="0.25">
      <c r="A7219" s="8"/>
      <c r="C7219" s="5"/>
      <c r="M7219" s="9"/>
    </row>
    <row r="7220" spans="1:13" x14ac:dyDescent="0.25">
      <c r="A7220" s="8"/>
      <c r="C7220" s="5"/>
      <c r="M7220" s="9"/>
    </row>
    <row r="7221" spans="1:13" x14ac:dyDescent="0.25">
      <c r="A7221" s="8"/>
      <c r="C7221" s="5"/>
      <c r="M7221" s="9"/>
    </row>
    <row r="7222" spans="1:13" x14ac:dyDescent="0.25">
      <c r="A7222" s="8"/>
      <c r="C7222" s="5"/>
      <c r="M7222" s="9"/>
    </row>
    <row r="7223" spans="1:13" x14ac:dyDescent="0.25">
      <c r="A7223" s="8"/>
      <c r="C7223" s="5"/>
      <c r="M7223" s="9"/>
    </row>
    <row r="7224" spans="1:13" x14ac:dyDescent="0.25">
      <c r="A7224" s="8"/>
      <c r="C7224" s="5"/>
      <c r="M7224" s="9"/>
    </row>
    <row r="7225" spans="1:13" x14ac:dyDescent="0.25">
      <c r="A7225" s="8"/>
      <c r="C7225" s="5"/>
      <c r="M7225" s="9"/>
    </row>
    <row r="7226" spans="1:13" x14ac:dyDescent="0.25">
      <c r="A7226" s="8"/>
      <c r="C7226" s="5"/>
      <c r="M7226" s="9"/>
    </row>
    <row r="7227" spans="1:13" x14ac:dyDescent="0.25">
      <c r="A7227" s="8"/>
      <c r="C7227" s="5"/>
      <c r="M7227" s="9"/>
    </row>
    <row r="7228" spans="1:13" x14ac:dyDescent="0.25">
      <c r="A7228" s="8"/>
      <c r="C7228" s="5"/>
      <c r="M7228" s="9"/>
    </row>
    <row r="7229" spans="1:13" x14ac:dyDescent="0.25">
      <c r="A7229" s="8"/>
      <c r="C7229" s="5"/>
      <c r="M7229" s="9"/>
    </row>
    <row r="7230" spans="1:13" x14ac:dyDescent="0.25">
      <c r="A7230" s="8"/>
      <c r="C7230" s="5"/>
      <c r="M7230" s="9"/>
    </row>
    <row r="7231" spans="1:13" x14ac:dyDescent="0.25">
      <c r="A7231" s="8"/>
      <c r="C7231" s="5"/>
      <c r="M7231" s="9"/>
    </row>
    <row r="7232" spans="1:13" x14ac:dyDescent="0.25">
      <c r="A7232" s="8"/>
      <c r="C7232" s="5"/>
      <c r="M7232" s="9"/>
    </row>
    <row r="7233" spans="1:13" x14ac:dyDescent="0.25">
      <c r="A7233" s="8"/>
      <c r="C7233" s="5"/>
      <c r="M7233" s="9"/>
    </row>
    <row r="7234" spans="1:13" x14ac:dyDescent="0.25">
      <c r="A7234" s="8"/>
      <c r="C7234" s="5"/>
      <c r="M7234" s="9"/>
    </row>
    <row r="7235" spans="1:13" x14ac:dyDescent="0.25">
      <c r="A7235" s="8"/>
      <c r="C7235" s="5"/>
      <c r="M7235" s="9"/>
    </row>
    <row r="7236" spans="1:13" x14ac:dyDescent="0.25">
      <c r="A7236" s="8"/>
      <c r="C7236" s="5"/>
      <c r="M7236" s="9"/>
    </row>
    <row r="7237" spans="1:13" x14ac:dyDescent="0.25">
      <c r="A7237" s="8"/>
      <c r="C7237" s="5"/>
      <c r="M7237" s="9"/>
    </row>
    <row r="7238" spans="1:13" x14ac:dyDescent="0.25">
      <c r="A7238" s="8"/>
      <c r="C7238" s="5"/>
      <c r="M7238" s="9"/>
    </row>
    <row r="7239" spans="1:13" x14ac:dyDescent="0.25">
      <c r="A7239" s="8"/>
      <c r="C7239" s="5"/>
      <c r="M7239" s="9"/>
    </row>
    <row r="7240" spans="1:13" x14ac:dyDescent="0.25">
      <c r="A7240" s="8"/>
      <c r="C7240" s="5"/>
      <c r="M7240" s="9"/>
    </row>
    <row r="7241" spans="1:13" x14ac:dyDescent="0.25">
      <c r="A7241" s="8"/>
      <c r="C7241" s="5"/>
      <c r="M7241" s="9"/>
    </row>
    <row r="7242" spans="1:13" x14ac:dyDescent="0.25">
      <c r="A7242" s="8"/>
      <c r="C7242" s="5"/>
      <c r="M7242" s="9"/>
    </row>
    <row r="7243" spans="1:13" x14ac:dyDescent="0.25">
      <c r="A7243" s="8"/>
      <c r="C7243" s="5"/>
      <c r="M7243" s="9"/>
    </row>
    <row r="7244" spans="1:13" x14ac:dyDescent="0.25">
      <c r="A7244" s="8"/>
      <c r="C7244" s="5"/>
      <c r="M7244" s="9"/>
    </row>
    <row r="7245" spans="1:13" x14ac:dyDescent="0.25">
      <c r="A7245" s="8"/>
      <c r="C7245" s="5"/>
      <c r="M7245" s="9"/>
    </row>
    <row r="7246" spans="1:13" x14ac:dyDescent="0.25">
      <c r="A7246" s="8"/>
      <c r="C7246" s="5"/>
      <c r="M7246" s="9"/>
    </row>
    <row r="7247" spans="1:13" x14ac:dyDescent="0.25">
      <c r="A7247" s="8"/>
      <c r="C7247" s="5"/>
      <c r="M7247" s="9"/>
    </row>
    <row r="7248" spans="1:13" x14ac:dyDescent="0.25">
      <c r="A7248" s="8"/>
      <c r="C7248" s="5"/>
      <c r="M7248" s="9"/>
    </row>
    <row r="7249" spans="1:13" x14ac:dyDescent="0.25">
      <c r="A7249" s="8"/>
      <c r="C7249" s="5"/>
      <c r="M7249" s="9"/>
    </row>
    <row r="7250" spans="1:13" x14ac:dyDescent="0.25">
      <c r="A7250" s="8"/>
      <c r="C7250" s="5"/>
      <c r="M7250" s="9"/>
    </row>
    <row r="7251" spans="1:13" x14ac:dyDescent="0.25">
      <c r="A7251" s="8"/>
      <c r="C7251" s="5"/>
      <c r="M7251" s="9"/>
    </row>
    <row r="7252" spans="1:13" x14ac:dyDescent="0.25">
      <c r="A7252" s="8"/>
      <c r="C7252" s="5"/>
      <c r="M7252" s="9"/>
    </row>
    <row r="7253" spans="1:13" x14ac:dyDescent="0.25">
      <c r="A7253" s="8"/>
      <c r="C7253" s="5"/>
      <c r="M7253" s="9"/>
    </row>
    <row r="7254" spans="1:13" x14ac:dyDescent="0.25">
      <c r="A7254" s="8"/>
      <c r="C7254" s="5"/>
      <c r="M7254" s="9"/>
    </row>
    <row r="7255" spans="1:13" x14ac:dyDescent="0.25">
      <c r="A7255" s="8"/>
      <c r="C7255" s="5"/>
      <c r="M7255" s="9"/>
    </row>
    <row r="7256" spans="1:13" x14ac:dyDescent="0.25">
      <c r="A7256" s="8"/>
      <c r="C7256" s="5"/>
      <c r="M7256" s="9"/>
    </row>
    <row r="7257" spans="1:13" x14ac:dyDescent="0.25">
      <c r="A7257" s="8"/>
      <c r="C7257" s="5"/>
      <c r="M7257" s="9"/>
    </row>
    <row r="7258" spans="1:13" x14ac:dyDescent="0.25">
      <c r="A7258" s="8"/>
      <c r="C7258" s="5"/>
      <c r="M7258" s="9"/>
    </row>
    <row r="7259" spans="1:13" x14ac:dyDescent="0.25">
      <c r="A7259" s="8"/>
      <c r="C7259" s="5"/>
      <c r="M7259" s="9"/>
    </row>
    <row r="7260" spans="1:13" x14ac:dyDescent="0.25">
      <c r="A7260" s="8"/>
      <c r="C7260" s="5"/>
      <c r="M7260" s="9"/>
    </row>
    <row r="7261" spans="1:13" x14ac:dyDescent="0.25">
      <c r="A7261" s="8"/>
      <c r="C7261" s="5"/>
      <c r="M7261" s="9"/>
    </row>
    <row r="7262" spans="1:13" x14ac:dyDescent="0.25">
      <c r="A7262" s="8"/>
      <c r="C7262" s="5"/>
      <c r="M7262" s="9"/>
    </row>
    <row r="7263" spans="1:13" x14ac:dyDescent="0.25">
      <c r="A7263" s="8"/>
      <c r="C7263" s="5"/>
      <c r="M7263" s="9"/>
    </row>
    <row r="7264" spans="1:13" x14ac:dyDescent="0.25">
      <c r="A7264" s="8"/>
      <c r="C7264" s="5"/>
      <c r="M7264" s="9"/>
    </row>
    <row r="7265" spans="1:13" x14ac:dyDescent="0.25">
      <c r="A7265" s="8"/>
      <c r="C7265" s="5"/>
      <c r="M7265" s="9"/>
    </row>
    <row r="7266" spans="1:13" x14ac:dyDescent="0.25">
      <c r="A7266" s="8"/>
      <c r="C7266" s="5"/>
      <c r="M7266" s="9"/>
    </row>
    <row r="7267" spans="1:13" x14ac:dyDescent="0.25">
      <c r="A7267" s="8"/>
      <c r="C7267" s="5"/>
      <c r="M7267" s="9"/>
    </row>
    <row r="7268" spans="1:13" x14ac:dyDescent="0.25">
      <c r="A7268" s="8"/>
      <c r="C7268" s="5"/>
      <c r="M7268" s="9"/>
    </row>
    <row r="7269" spans="1:13" x14ac:dyDescent="0.25">
      <c r="A7269" s="8"/>
      <c r="C7269" s="5"/>
      <c r="M7269" s="9"/>
    </row>
    <row r="7270" spans="1:13" x14ac:dyDescent="0.25">
      <c r="A7270" s="8"/>
      <c r="C7270" s="5"/>
      <c r="M7270" s="9"/>
    </row>
    <row r="7271" spans="1:13" x14ac:dyDescent="0.25">
      <c r="A7271" s="8"/>
      <c r="C7271" s="5"/>
      <c r="M7271" s="9"/>
    </row>
    <row r="7272" spans="1:13" x14ac:dyDescent="0.25">
      <c r="A7272" s="8"/>
      <c r="C7272" s="5"/>
      <c r="M7272" s="9"/>
    </row>
    <row r="7273" spans="1:13" x14ac:dyDescent="0.25">
      <c r="A7273" s="8"/>
      <c r="C7273" s="5"/>
      <c r="M7273" s="9"/>
    </row>
    <row r="7274" spans="1:13" x14ac:dyDescent="0.25">
      <c r="A7274" s="8"/>
      <c r="C7274" s="5"/>
      <c r="M7274" s="9"/>
    </row>
    <row r="7275" spans="1:13" x14ac:dyDescent="0.25">
      <c r="A7275" s="8"/>
      <c r="C7275" s="5"/>
      <c r="M7275" s="9"/>
    </row>
    <row r="7276" spans="1:13" x14ac:dyDescent="0.25">
      <c r="A7276" s="8"/>
      <c r="C7276" s="5"/>
      <c r="M7276" s="9"/>
    </row>
    <row r="7277" spans="1:13" x14ac:dyDescent="0.25">
      <c r="A7277" s="8"/>
      <c r="C7277" s="5"/>
      <c r="M7277" s="9"/>
    </row>
    <row r="7278" spans="1:13" x14ac:dyDescent="0.25">
      <c r="A7278" s="8"/>
      <c r="C7278" s="5"/>
      <c r="M7278" s="9"/>
    </row>
    <row r="7279" spans="1:13" x14ac:dyDescent="0.25">
      <c r="A7279" s="8"/>
      <c r="C7279" s="5"/>
      <c r="M7279" s="9"/>
    </row>
    <row r="7280" spans="1:13" x14ac:dyDescent="0.25">
      <c r="A7280" s="8"/>
      <c r="C7280" s="5"/>
      <c r="M7280" s="9"/>
    </row>
    <row r="7281" spans="1:13" x14ac:dyDescent="0.25">
      <c r="A7281" s="8"/>
      <c r="C7281" s="5"/>
      <c r="M7281" s="9"/>
    </row>
    <row r="7282" spans="1:13" x14ac:dyDescent="0.25">
      <c r="A7282" s="8"/>
      <c r="C7282" s="5"/>
      <c r="M7282" s="9"/>
    </row>
    <row r="7283" spans="1:13" x14ac:dyDescent="0.25">
      <c r="A7283" s="8"/>
      <c r="C7283" s="5"/>
      <c r="M7283" s="9"/>
    </row>
    <row r="7284" spans="1:13" x14ac:dyDescent="0.25">
      <c r="A7284" s="8"/>
      <c r="C7284" s="5"/>
      <c r="M7284" s="9"/>
    </row>
    <row r="7285" spans="1:13" x14ac:dyDescent="0.25">
      <c r="A7285" s="8"/>
      <c r="C7285" s="5"/>
      <c r="M7285" s="9"/>
    </row>
    <row r="7286" spans="1:13" x14ac:dyDescent="0.25">
      <c r="A7286" s="8"/>
      <c r="C7286" s="5"/>
      <c r="M7286" s="9"/>
    </row>
    <row r="7287" spans="1:13" x14ac:dyDescent="0.25">
      <c r="A7287" s="8"/>
      <c r="C7287" s="5"/>
      <c r="M7287" s="9"/>
    </row>
    <row r="7288" spans="1:13" x14ac:dyDescent="0.25">
      <c r="A7288" s="8"/>
      <c r="C7288" s="5"/>
      <c r="M7288" s="9"/>
    </row>
    <row r="7289" spans="1:13" x14ac:dyDescent="0.25">
      <c r="A7289" s="8"/>
      <c r="C7289" s="5"/>
      <c r="M7289" s="9"/>
    </row>
    <row r="7290" spans="1:13" x14ac:dyDescent="0.25">
      <c r="A7290" s="8"/>
      <c r="C7290" s="5"/>
      <c r="M7290" s="9"/>
    </row>
    <row r="7291" spans="1:13" x14ac:dyDescent="0.25">
      <c r="A7291" s="8"/>
      <c r="C7291" s="5"/>
      <c r="M7291" s="9"/>
    </row>
    <row r="7292" spans="1:13" x14ac:dyDescent="0.25">
      <c r="A7292" s="8"/>
      <c r="C7292" s="5"/>
      <c r="M7292" s="9"/>
    </row>
    <row r="7293" spans="1:13" x14ac:dyDescent="0.25">
      <c r="A7293" s="8"/>
      <c r="C7293" s="5"/>
      <c r="M7293" s="9"/>
    </row>
    <row r="7294" spans="1:13" x14ac:dyDescent="0.25">
      <c r="A7294" s="8"/>
      <c r="C7294" s="5"/>
      <c r="M7294" s="9"/>
    </row>
    <row r="7295" spans="1:13" x14ac:dyDescent="0.25">
      <c r="A7295" s="8"/>
      <c r="C7295" s="5"/>
      <c r="M7295" s="9"/>
    </row>
    <row r="7296" spans="1:13" x14ac:dyDescent="0.25">
      <c r="A7296" s="8"/>
      <c r="C7296" s="5"/>
      <c r="M7296" s="9"/>
    </row>
    <row r="7297" spans="1:13" x14ac:dyDescent="0.25">
      <c r="A7297" s="8"/>
      <c r="C7297" s="5"/>
      <c r="M7297" s="9"/>
    </row>
    <row r="7298" spans="1:13" x14ac:dyDescent="0.25">
      <c r="A7298" s="8"/>
      <c r="C7298" s="5"/>
      <c r="M7298" s="9"/>
    </row>
    <row r="7299" spans="1:13" x14ac:dyDescent="0.25">
      <c r="A7299" s="8"/>
      <c r="C7299" s="5"/>
      <c r="M7299" s="9"/>
    </row>
    <row r="7300" spans="1:13" x14ac:dyDescent="0.25">
      <c r="A7300" s="8"/>
      <c r="C7300" s="5"/>
      <c r="M7300" s="9"/>
    </row>
    <row r="7301" spans="1:13" x14ac:dyDescent="0.25">
      <c r="A7301" s="8"/>
      <c r="C7301" s="5"/>
      <c r="M7301" s="9"/>
    </row>
    <row r="7302" spans="1:13" x14ac:dyDescent="0.25">
      <c r="A7302" s="8"/>
      <c r="C7302" s="5"/>
      <c r="M7302" s="9"/>
    </row>
    <row r="7303" spans="1:13" x14ac:dyDescent="0.25">
      <c r="A7303" s="8"/>
      <c r="C7303" s="5"/>
      <c r="M7303" s="9"/>
    </row>
    <row r="7304" spans="1:13" x14ac:dyDescent="0.25">
      <c r="A7304" s="8"/>
      <c r="C7304" s="5"/>
      <c r="M7304" s="9"/>
    </row>
    <row r="7305" spans="1:13" x14ac:dyDescent="0.25">
      <c r="A7305" s="8"/>
      <c r="C7305" s="5"/>
      <c r="M7305" s="9"/>
    </row>
    <row r="7306" spans="1:13" x14ac:dyDescent="0.25">
      <c r="A7306" s="8"/>
      <c r="C7306" s="5"/>
      <c r="M7306" s="9"/>
    </row>
    <row r="7307" spans="1:13" x14ac:dyDescent="0.25">
      <c r="A7307" s="8"/>
      <c r="C7307" s="5"/>
      <c r="M7307" s="9"/>
    </row>
    <row r="7308" spans="1:13" x14ac:dyDescent="0.25">
      <c r="A7308" s="8"/>
      <c r="C7308" s="5"/>
      <c r="M7308" s="9"/>
    </row>
    <row r="7309" spans="1:13" x14ac:dyDescent="0.25">
      <c r="A7309" s="8"/>
      <c r="C7309" s="5"/>
      <c r="M7309" s="9"/>
    </row>
    <row r="7310" spans="1:13" x14ac:dyDescent="0.25">
      <c r="A7310" s="8"/>
      <c r="C7310" s="5"/>
      <c r="M7310" s="9"/>
    </row>
    <row r="7311" spans="1:13" x14ac:dyDescent="0.25">
      <c r="A7311" s="8"/>
      <c r="C7311" s="5"/>
      <c r="M7311" s="9"/>
    </row>
    <row r="7312" spans="1:13" x14ac:dyDescent="0.25">
      <c r="A7312" s="8"/>
      <c r="C7312" s="5"/>
      <c r="M7312" s="9"/>
    </row>
    <row r="7313" spans="1:13" x14ac:dyDescent="0.25">
      <c r="A7313" s="8"/>
      <c r="C7313" s="5"/>
      <c r="M7313" s="9"/>
    </row>
    <row r="7314" spans="1:13" x14ac:dyDescent="0.25">
      <c r="A7314" s="8"/>
      <c r="C7314" s="5"/>
      <c r="M7314" s="9"/>
    </row>
    <row r="7315" spans="1:13" x14ac:dyDescent="0.25">
      <c r="A7315" s="8"/>
      <c r="C7315" s="5"/>
      <c r="M7315" s="9"/>
    </row>
    <row r="7316" spans="1:13" x14ac:dyDescent="0.25">
      <c r="A7316" s="8"/>
      <c r="C7316" s="5"/>
      <c r="M7316" s="9"/>
    </row>
    <row r="7317" spans="1:13" x14ac:dyDescent="0.25">
      <c r="A7317" s="8"/>
      <c r="C7317" s="5"/>
      <c r="M7317" s="9"/>
    </row>
    <row r="7318" spans="1:13" x14ac:dyDescent="0.25">
      <c r="A7318" s="8"/>
      <c r="C7318" s="5"/>
      <c r="M7318" s="9"/>
    </row>
    <row r="7319" spans="1:13" x14ac:dyDescent="0.25">
      <c r="A7319" s="8"/>
      <c r="C7319" s="5"/>
      <c r="M7319" s="9"/>
    </row>
    <row r="7320" spans="1:13" x14ac:dyDescent="0.25">
      <c r="A7320" s="8"/>
      <c r="C7320" s="5"/>
      <c r="M7320" s="9"/>
    </row>
    <row r="7321" spans="1:13" x14ac:dyDescent="0.25">
      <c r="A7321" s="8"/>
      <c r="C7321" s="5"/>
      <c r="M7321" s="9"/>
    </row>
    <row r="7322" spans="1:13" x14ac:dyDescent="0.25">
      <c r="A7322" s="8"/>
      <c r="C7322" s="5"/>
      <c r="M7322" s="9"/>
    </row>
    <row r="7323" spans="1:13" x14ac:dyDescent="0.25">
      <c r="A7323" s="8"/>
      <c r="C7323" s="5"/>
      <c r="M7323" s="9"/>
    </row>
    <row r="7324" spans="1:13" x14ac:dyDescent="0.25">
      <c r="A7324" s="8"/>
      <c r="C7324" s="5"/>
      <c r="M7324" s="9"/>
    </row>
    <row r="7325" spans="1:13" x14ac:dyDescent="0.25">
      <c r="A7325" s="8"/>
      <c r="C7325" s="5"/>
      <c r="M7325" s="9"/>
    </row>
    <row r="7326" spans="1:13" x14ac:dyDescent="0.25">
      <c r="A7326" s="8"/>
      <c r="C7326" s="5"/>
      <c r="M7326" s="9"/>
    </row>
    <row r="7327" spans="1:13" x14ac:dyDescent="0.25">
      <c r="A7327" s="8"/>
      <c r="C7327" s="5"/>
      <c r="M7327" s="9"/>
    </row>
    <row r="7328" spans="1:13" x14ac:dyDescent="0.25">
      <c r="A7328" s="8"/>
      <c r="C7328" s="5"/>
      <c r="M7328" s="9"/>
    </row>
    <row r="7329" spans="1:13" x14ac:dyDescent="0.25">
      <c r="A7329" s="8"/>
      <c r="C7329" s="5"/>
      <c r="M7329" s="9"/>
    </row>
    <row r="7330" spans="1:13" x14ac:dyDescent="0.25">
      <c r="A7330" s="8"/>
      <c r="C7330" s="5"/>
      <c r="M7330" s="9"/>
    </row>
    <row r="7331" spans="1:13" x14ac:dyDescent="0.25">
      <c r="A7331" s="8"/>
      <c r="C7331" s="5"/>
      <c r="M7331" s="9"/>
    </row>
    <row r="7332" spans="1:13" x14ac:dyDescent="0.25">
      <c r="A7332" s="8"/>
      <c r="C7332" s="5"/>
      <c r="M7332" s="9"/>
    </row>
    <row r="7333" spans="1:13" x14ac:dyDescent="0.25">
      <c r="A7333" s="8"/>
      <c r="C7333" s="5"/>
      <c r="M7333" s="9"/>
    </row>
    <row r="7334" spans="1:13" x14ac:dyDescent="0.25">
      <c r="A7334" s="8"/>
      <c r="C7334" s="5"/>
      <c r="M7334" s="9"/>
    </row>
    <row r="7335" spans="1:13" x14ac:dyDescent="0.25">
      <c r="A7335" s="8"/>
      <c r="C7335" s="5"/>
      <c r="M7335" s="9"/>
    </row>
    <row r="7336" spans="1:13" x14ac:dyDescent="0.25">
      <c r="A7336" s="8"/>
      <c r="C7336" s="5"/>
      <c r="M7336" s="9"/>
    </row>
    <row r="7337" spans="1:13" x14ac:dyDescent="0.25">
      <c r="A7337" s="8"/>
      <c r="C7337" s="5"/>
      <c r="M7337" s="9"/>
    </row>
    <row r="7338" spans="1:13" x14ac:dyDescent="0.25">
      <c r="A7338" s="8"/>
      <c r="C7338" s="5"/>
      <c r="M7338" s="9"/>
    </row>
    <row r="7339" spans="1:13" x14ac:dyDescent="0.25">
      <c r="A7339" s="8"/>
      <c r="C7339" s="5"/>
      <c r="M7339" s="9"/>
    </row>
    <row r="7340" spans="1:13" x14ac:dyDescent="0.25">
      <c r="A7340" s="8"/>
      <c r="C7340" s="5"/>
      <c r="M7340" s="9"/>
    </row>
    <row r="7341" spans="1:13" x14ac:dyDescent="0.25">
      <c r="A7341" s="8"/>
      <c r="C7341" s="5"/>
      <c r="M7341" s="9"/>
    </row>
    <row r="7342" spans="1:13" x14ac:dyDescent="0.25">
      <c r="A7342" s="8"/>
      <c r="C7342" s="5"/>
      <c r="M7342" s="9"/>
    </row>
    <row r="7343" spans="1:13" x14ac:dyDescent="0.25">
      <c r="A7343" s="8"/>
      <c r="C7343" s="5"/>
      <c r="M7343" s="9"/>
    </row>
    <row r="7344" spans="1:13" x14ac:dyDescent="0.25">
      <c r="A7344" s="8"/>
      <c r="C7344" s="5"/>
      <c r="M7344" s="9"/>
    </row>
    <row r="7345" spans="1:13" x14ac:dyDescent="0.25">
      <c r="A7345" s="8"/>
      <c r="C7345" s="5"/>
      <c r="M7345" s="9"/>
    </row>
    <row r="7346" spans="1:13" x14ac:dyDescent="0.25">
      <c r="A7346" s="8"/>
      <c r="C7346" s="5"/>
      <c r="M7346" s="9"/>
    </row>
    <row r="7347" spans="1:13" x14ac:dyDescent="0.25">
      <c r="A7347" s="8"/>
      <c r="C7347" s="5"/>
      <c r="M7347" s="9"/>
    </row>
    <row r="7348" spans="1:13" x14ac:dyDescent="0.25">
      <c r="A7348" s="8"/>
      <c r="C7348" s="5"/>
      <c r="M7348" s="9"/>
    </row>
    <row r="7349" spans="1:13" x14ac:dyDescent="0.25">
      <c r="A7349" s="8"/>
      <c r="C7349" s="5"/>
      <c r="M7349" s="9"/>
    </row>
    <row r="7350" spans="1:13" x14ac:dyDescent="0.25">
      <c r="A7350" s="8"/>
      <c r="C7350" s="5"/>
      <c r="M7350" s="9"/>
    </row>
    <row r="7351" spans="1:13" x14ac:dyDescent="0.25">
      <c r="A7351" s="8"/>
      <c r="C7351" s="5"/>
      <c r="M7351" s="9"/>
    </row>
    <row r="7352" spans="1:13" x14ac:dyDescent="0.25">
      <c r="A7352" s="8"/>
      <c r="C7352" s="5"/>
      <c r="M7352" s="9"/>
    </row>
    <row r="7353" spans="1:13" x14ac:dyDescent="0.25">
      <c r="A7353" s="8"/>
      <c r="C7353" s="5"/>
      <c r="M7353" s="9"/>
    </row>
    <row r="7354" spans="1:13" x14ac:dyDescent="0.25">
      <c r="A7354" s="8"/>
      <c r="C7354" s="5"/>
      <c r="M7354" s="9"/>
    </row>
    <row r="7355" spans="1:13" x14ac:dyDescent="0.25">
      <c r="A7355" s="8"/>
      <c r="C7355" s="5"/>
      <c r="M7355" s="9"/>
    </row>
    <row r="7356" spans="1:13" x14ac:dyDescent="0.25">
      <c r="A7356" s="8"/>
      <c r="C7356" s="5"/>
      <c r="M7356" s="9"/>
    </row>
    <row r="7357" spans="1:13" x14ac:dyDescent="0.25">
      <c r="A7357" s="8"/>
      <c r="C7357" s="5"/>
      <c r="M7357" s="9"/>
    </row>
    <row r="7358" spans="1:13" x14ac:dyDescent="0.25">
      <c r="A7358" s="8"/>
      <c r="C7358" s="5"/>
      <c r="M7358" s="9"/>
    </row>
    <row r="7359" spans="1:13" x14ac:dyDescent="0.25">
      <c r="A7359" s="8"/>
      <c r="C7359" s="5"/>
      <c r="M7359" s="9"/>
    </row>
    <row r="7360" spans="1:13" x14ac:dyDescent="0.25">
      <c r="A7360" s="8"/>
      <c r="C7360" s="5"/>
      <c r="M7360" s="9"/>
    </row>
    <row r="7361" spans="1:13" x14ac:dyDescent="0.25">
      <c r="A7361" s="8"/>
      <c r="C7361" s="5"/>
      <c r="M7361" s="9"/>
    </row>
    <row r="7362" spans="1:13" x14ac:dyDescent="0.25">
      <c r="A7362" s="8"/>
      <c r="C7362" s="5"/>
      <c r="M7362" s="9"/>
    </row>
    <row r="7363" spans="1:13" x14ac:dyDescent="0.25">
      <c r="A7363" s="8"/>
      <c r="C7363" s="5"/>
      <c r="M7363" s="9"/>
    </row>
    <row r="7364" spans="1:13" x14ac:dyDescent="0.25">
      <c r="A7364" s="8"/>
      <c r="C7364" s="5"/>
      <c r="M7364" s="9"/>
    </row>
    <row r="7365" spans="1:13" x14ac:dyDescent="0.25">
      <c r="A7365" s="8"/>
      <c r="C7365" s="5"/>
      <c r="M7365" s="9"/>
    </row>
    <row r="7366" spans="1:13" x14ac:dyDescent="0.25">
      <c r="A7366" s="8"/>
      <c r="C7366" s="5"/>
      <c r="M7366" s="9"/>
    </row>
    <row r="7367" spans="1:13" x14ac:dyDescent="0.25">
      <c r="A7367" s="8"/>
      <c r="C7367" s="5"/>
      <c r="M7367" s="9"/>
    </row>
    <row r="7368" spans="1:13" x14ac:dyDescent="0.25">
      <c r="A7368" s="8"/>
      <c r="C7368" s="5"/>
      <c r="M7368" s="9"/>
    </row>
    <row r="7369" spans="1:13" x14ac:dyDescent="0.25">
      <c r="A7369" s="8"/>
      <c r="C7369" s="5"/>
      <c r="M7369" s="9"/>
    </row>
    <row r="7370" spans="1:13" x14ac:dyDescent="0.25">
      <c r="A7370" s="8"/>
      <c r="C7370" s="5"/>
      <c r="M7370" s="9"/>
    </row>
    <row r="7371" spans="1:13" x14ac:dyDescent="0.25">
      <c r="A7371" s="8"/>
      <c r="C7371" s="5"/>
      <c r="M7371" s="9"/>
    </row>
    <row r="7372" spans="1:13" x14ac:dyDescent="0.25">
      <c r="A7372" s="8"/>
      <c r="C7372" s="5"/>
      <c r="M7372" s="9"/>
    </row>
    <row r="7373" spans="1:13" x14ac:dyDescent="0.25">
      <c r="A7373" s="8"/>
      <c r="C7373" s="5"/>
      <c r="M7373" s="9"/>
    </row>
    <row r="7374" spans="1:13" x14ac:dyDescent="0.25">
      <c r="A7374" s="8"/>
      <c r="C7374" s="5"/>
      <c r="M7374" s="9"/>
    </row>
    <row r="7375" spans="1:13" x14ac:dyDescent="0.25">
      <c r="A7375" s="8"/>
      <c r="C7375" s="5"/>
      <c r="M7375" s="9"/>
    </row>
    <row r="7376" spans="1:13" x14ac:dyDescent="0.25">
      <c r="A7376" s="8"/>
      <c r="C7376" s="5"/>
      <c r="M7376" s="9"/>
    </row>
    <row r="7377" spans="1:13" x14ac:dyDescent="0.25">
      <c r="A7377" s="8"/>
      <c r="C7377" s="5"/>
      <c r="M7377" s="9"/>
    </row>
    <row r="7378" spans="1:13" x14ac:dyDescent="0.25">
      <c r="A7378" s="8"/>
      <c r="C7378" s="5"/>
      <c r="M7378" s="9"/>
    </row>
    <row r="7379" spans="1:13" x14ac:dyDescent="0.25">
      <c r="A7379" s="8"/>
      <c r="C7379" s="5"/>
      <c r="M7379" s="9"/>
    </row>
    <row r="7380" spans="1:13" x14ac:dyDescent="0.25">
      <c r="A7380" s="8"/>
      <c r="C7380" s="5"/>
      <c r="M7380" s="9"/>
    </row>
    <row r="7381" spans="1:13" x14ac:dyDescent="0.25">
      <c r="A7381" s="8"/>
      <c r="C7381" s="5"/>
      <c r="M7381" s="9"/>
    </row>
    <row r="7382" spans="1:13" x14ac:dyDescent="0.25">
      <c r="A7382" s="8"/>
      <c r="C7382" s="5"/>
      <c r="M7382" s="9"/>
    </row>
    <row r="7383" spans="1:13" x14ac:dyDescent="0.25">
      <c r="A7383" s="8"/>
      <c r="C7383" s="5"/>
      <c r="M7383" s="9"/>
    </row>
    <row r="7384" spans="1:13" x14ac:dyDescent="0.25">
      <c r="A7384" s="8"/>
      <c r="C7384" s="5"/>
      <c r="M7384" s="9"/>
    </row>
    <row r="7385" spans="1:13" x14ac:dyDescent="0.25">
      <c r="A7385" s="8"/>
      <c r="C7385" s="5"/>
      <c r="M7385" s="9"/>
    </row>
    <row r="7386" spans="1:13" x14ac:dyDescent="0.25">
      <c r="A7386" s="8"/>
      <c r="C7386" s="5"/>
      <c r="M7386" s="9"/>
    </row>
    <row r="7387" spans="1:13" x14ac:dyDescent="0.25">
      <c r="A7387" s="8"/>
      <c r="C7387" s="5"/>
      <c r="M7387" s="9"/>
    </row>
    <row r="7388" spans="1:13" x14ac:dyDescent="0.25">
      <c r="A7388" s="8"/>
      <c r="C7388" s="5"/>
      <c r="M7388" s="9"/>
    </row>
    <row r="7389" spans="1:13" x14ac:dyDescent="0.25">
      <c r="A7389" s="8"/>
      <c r="C7389" s="5"/>
      <c r="M7389" s="9"/>
    </row>
    <row r="7390" spans="1:13" x14ac:dyDescent="0.25">
      <c r="A7390" s="8"/>
      <c r="C7390" s="5"/>
      <c r="M7390" s="9"/>
    </row>
    <row r="7391" spans="1:13" x14ac:dyDescent="0.25">
      <c r="A7391" s="8"/>
      <c r="C7391" s="5"/>
      <c r="M7391" s="9"/>
    </row>
    <row r="7392" spans="1:13" x14ac:dyDescent="0.25">
      <c r="A7392" s="8"/>
      <c r="C7392" s="5"/>
      <c r="M7392" s="9"/>
    </row>
    <row r="7393" spans="1:13" x14ac:dyDescent="0.25">
      <c r="A7393" s="8"/>
      <c r="C7393" s="5"/>
      <c r="M7393" s="9"/>
    </row>
    <row r="7394" spans="1:13" x14ac:dyDescent="0.25">
      <c r="A7394" s="8"/>
      <c r="C7394" s="5"/>
      <c r="M7394" s="9"/>
    </row>
    <row r="7395" spans="1:13" x14ac:dyDescent="0.25">
      <c r="A7395" s="8"/>
      <c r="C7395" s="5"/>
      <c r="M7395" s="9"/>
    </row>
    <row r="7396" spans="1:13" x14ac:dyDescent="0.25">
      <c r="A7396" s="8"/>
      <c r="C7396" s="5"/>
      <c r="M7396" s="9"/>
    </row>
    <row r="7397" spans="1:13" x14ac:dyDescent="0.25">
      <c r="A7397" s="8"/>
      <c r="C7397" s="5"/>
      <c r="M7397" s="9"/>
    </row>
    <row r="7398" spans="1:13" x14ac:dyDescent="0.25">
      <c r="A7398" s="8"/>
      <c r="C7398" s="5"/>
      <c r="M7398" s="9"/>
    </row>
    <row r="7399" spans="1:13" x14ac:dyDescent="0.25">
      <c r="A7399" s="8"/>
      <c r="C7399" s="5"/>
      <c r="M7399" s="9"/>
    </row>
    <row r="7400" spans="1:13" x14ac:dyDescent="0.25">
      <c r="A7400" s="8"/>
      <c r="C7400" s="5"/>
      <c r="M7400" s="9"/>
    </row>
    <row r="7401" spans="1:13" x14ac:dyDescent="0.25">
      <c r="A7401" s="8"/>
      <c r="C7401" s="5"/>
      <c r="M7401" s="9"/>
    </row>
    <row r="7402" spans="1:13" x14ac:dyDescent="0.25">
      <c r="A7402" s="8"/>
      <c r="C7402" s="5"/>
      <c r="M7402" s="9"/>
    </row>
    <row r="7403" spans="1:13" x14ac:dyDescent="0.25">
      <c r="A7403" s="8"/>
      <c r="C7403" s="5"/>
      <c r="M7403" s="9"/>
    </row>
    <row r="7404" spans="1:13" x14ac:dyDescent="0.25">
      <c r="A7404" s="8"/>
      <c r="C7404" s="5"/>
      <c r="M7404" s="9"/>
    </row>
    <row r="7405" spans="1:13" x14ac:dyDescent="0.25">
      <c r="A7405" s="8"/>
      <c r="C7405" s="5"/>
      <c r="M7405" s="9"/>
    </row>
    <row r="7406" spans="1:13" x14ac:dyDescent="0.25">
      <c r="A7406" s="8"/>
      <c r="C7406" s="5"/>
      <c r="M7406" s="9"/>
    </row>
    <row r="7407" spans="1:13" x14ac:dyDescent="0.25">
      <c r="A7407" s="8"/>
      <c r="C7407" s="5"/>
      <c r="M7407" s="9"/>
    </row>
    <row r="7408" spans="1:13" x14ac:dyDescent="0.25">
      <c r="A7408" s="8"/>
      <c r="C7408" s="5"/>
      <c r="M7408" s="9"/>
    </row>
    <row r="7409" spans="1:13" x14ac:dyDescent="0.25">
      <c r="A7409" s="8"/>
      <c r="C7409" s="5"/>
      <c r="M7409" s="9"/>
    </row>
    <row r="7410" spans="1:13" x14ac:dyDescent="0.25">
      <c r="A7410" s="8"/>
      <c r="C7410" s="5"/>
      <c r="M7410" s="9"/>
    </row>
    <row r="7411" spans="1:13" x14ac:dyDescent="0.25">
      <c r="A7411" s="8"/>
      <c r="C7411" s="5"/>
      <c r="M7411" s="9"/>
    </row>
    <row r="7412" spans="1:13" x14ac:dyDescent="0.25">
      <c r="A7412" s="8"/>
      <c r="C7412" s="5"/>
      <c r="M7412" s="9"/>
    </row>
    <row r="7413" spans="1:13" x14ac:dyDescent="0.25">
      <c r="A7413" s="8"/>
      <c r="C7413" s="5"/>
      <c r="M7413" s="9"/>
    </row>
    <row r="7414" spans="1:13" x14ac:dyDescent="0.25">
      <c r="A7414" s="8"/>
      <c r="C7414" s="5"/>
      <c r="M7414" s="9"/>
    </row>
    <row r="7415" spans="1:13" x14ac:dyDescent="0.25">
      <c r="A7415" s="8"/>
      <c r="C7415" s="5"/>
      <c r="M7415" s="9"/>
    </row>
    <row r="7416" spans="1:13" x14ac:dyDescent="0.25">
      <c r="A7416" s="8"/>
      <c r="C7416" s="5"/>
      <c r="M7416" s="9"/>
    </row>
    <row r="7417" spans="1:13" x14ac:dyDescent="0.25">
      <c r="A7417" s="8"/>
      <c r="C7417" s="5"/>
      <c r="M7417" s="9"/>
    </row>
    <row r="7418" spans="1:13" x14ac:dyDescent="0.25">
      <c r="A7418" s="8"/>
      <c r="C7418" s="5"/>
      <c r="M7418" s="9"/>
    </row>
    <row r="7419" spans="1:13" x14ac:dyDescent="0.25">
      <c r="A7419" s="8"/>
      <c r="C7419" s="5"/>
      <c r="M7419" s="9"/>
    </row>
    <row r="7420" spans="1:13" x14ac:dyDescent="0.25">
      <c r="A7420" s="8"/>
      <c r="C7420" s="5"/>
      <c r="M7420" s="9"/>
    </row>
    <row r="7421" spans="1:13" x14ac:dyDescent="0.25">
      <c r="A7421" s="8"/>
      <c r="C7421" s="5"/>
      <c r="M7421" s="9"/>
    </row>
    <row r="7422" spans="1:13" x14ac:dyDescent="0.25">
      <c r="A7422" s="8"/>
      <c r="C7422" s="5"/>
      <c r="M7422" s="9"/>
    </row>
    <row r="7423" spans="1:13" x14ac:dyDescent="0.25">
      <c r="A7423" s="8"/>
      <c r="C7423" s="5"/>
      <c r="M7423" s="9"/>
    </row>
    <row r="7424" spans="1:13" x14ac:dyDescent="0.25">
      <c r="A7424" s="8"/>
      <c r="C7424" s="5"/>
      <c r="M7424" s="9"/>
    </row>
    <row r="7425" spans="1:13" x14ac:dyDescent="0.25">
      <c r="A7425" s="8"/>
      <c r="C7425" s="5"/>
      <c r="M7425" s="9"/>
    </row>
    <row r="7426" spans="1:13" x14ac:dyDescent="0.25">
      <c r="A7426" s="8"/>
      <c r="C7426" s="5"/>
      <c r="M7426" s="9"/>
    </row>
    <row r="7427" spans="1:13" x14ac:dyDescent="0.25">
      <c r="A7427" s="8"/>
      <c r="C7427" s="5"/>
      <c r="M7427" s="9"/>
    </row>
    <row r="7428" spans="1:13" x14ac:dyDescent="0.25">
      <c r="A7428" s="8"/>
      <c r="C7428" s="5"/>
      <c r="M7428" s="9"/>
    </row>
    <row r="7429" spans="1:13" x14ac:dyDescent="0.25">
      <c r="A7429" s="8"/>
      <c r="C7429" s="5"/>
      <c r="M7429" s="9"/>
    </row>
    <row r="7430" spans="1:13" x14ac:dyDescent="0.25">
      <c r="A7430" s="8"/>
      <c r="C7430" s="5"/>
      <c r="M7430" s="9"/>
    </row>
    <row r="7431" spans="1:13" x14ac:dyDescent="0.25">
      <c r="A7431" s="8"/>
      <c r="C7431" s="5"/>
      <c r="M7431" s="9"/>
    </row>
    <row r="7432" spans="1:13" x14ac:dyDescent="0.25">
      <c r="A7432" s="8"/>
      <c r="C7432" s="5"/>
      <c r="M7432" s="9"/>
    </row>
    <row r="7433" spans="1:13" x14ac:dyDescent="0.25">
      <c r="A7433" s="8"/>
      <c r="C7433" s="5"/>
      <c r="M7433" s="9"/>
    </row>
    <row r="7434" spans="1:13" x14ac:dyDescent="0.25">
      <c r="A7434" s="8"/>
      <c r="C7434" s="5"/>
      <c r="M7434" s="9"/>
    </row>
    <row r="7435" spans="1:13" x14ac:dyDescent="0.25">
      <c r="A7435" s="8"/>
      <c r="C7435" s="5"/>
      <c r="M7435" s="9"/>
    </row>
    <row r="7436" spans="1:13" x14ac:dyDescent="0.25">
      <c r="A7436" s="8"/>
      <c r="C7436" s="5"/>
      <c r="M7436" s="9"/>
    </row>
    <row r="7437" spans="1:13" x14ac:dyDescent="0.25">
      <c r="A7437" s="8"/>
      <c r="C7437" s="5"/>
      <c r="M7437" s="9"/>
    </row>
    <row r="7438" spans="1:13" x14ac:dyDescent="0.25">
      <c r="A7438" s="8"/>
      <c r="C7438" s="5"/>
      <c r="M7438" s="9"/>
    </row>
    <row r="7439" spans="1:13" x14ac:dyDescent="0.25">
      <c r="A7439" s="8"/>
      <c r="C7439" s="5"/>
      <c r="M7439" s="9"/>
    </row>
    <row r="7440" spans="1:13" x14ac:dyDescent="0.25">
      <c r="A7440" s="8"/>
      <c r="C7440" s="5"/>
      <c r="M7440" s="9"/>
    </row>
    <row r="7441" spans="1:13" x14ac:dyDescent="0.25">
      <c r="A7441" s="8"/>
      <c r="C7441" s="5"/>
      <c r="M7441" s="9"/>
    </row>
    <row r="7442" spans="1:13" x14ac:dyDescent="0.25">
      <c r="A7442" s="8"/>
      <c r="C7442" s="5"/>
      <c r="M7442" s="9"/>
    </row>
    <row r="7443" spans="1:13" x14ac:dyDescent="0.25">
      <c r="A7443" s="8"/>
      <c r="C7443" s="5"/>
      <c r="M7443" s="9"/>
    </row>
    <row r="7444" spans="1:13" x14ac:dyDescent="0.25">
      <c r="A7444" s="8"/>
      <c r="C7444" s="5"/>
      <c r="M7444" s="9"/>
    </row>
    <row r="7445" spans="1:13" x14ac:dyDescent="0.25">
      <c r="A7445" s="8"/>
      <c r="C7445" s="5"/>
      <c r="M7445" s="9"/>
    </row>
    <row r="7446" spans="1:13" x14ac:dyDescent="0.25">
      <c r="A7446" s="8"/>
      <c r="C7446" s="5"/>
      <c r="M7446" s="9"/>
    </row>
    <row r="7447" spans="1:13" x14ac:dyDescent="0.25">
      <c r="A7447" s="8"/>
      <c r="C7447" s="5"/>
      <c r="M7447" s="9"/>
    </row>
    <row r="7448" spans="1:13" x14ac:dyDescent="0.25">
      <c r="A7448" s="8"/>
      <c r="C7448" s="5"/>
      <c r="M7448" s="9"/>
    </row>
    <row r="7449" spans="1:13" x14ac:dyDescent="0.25">
      <c r="A7449" s="8"/>
      <c r="C7449" s="5"/>
      <c r="M7449" s="9"/>
    </row>
    <row r="7450" spans="1:13" x14ac:dyDescent="0.25">
      <c r="A7450" s="8"/>
      <c r="C7450" s="5"/>
      <c r="M7450" s="9"/>
    </row>
    <row r="7451" spans="1:13" x14ac:dyDescent="0.25">
      <c r="A7451" s="8"/>
      <c r="C7451" s="5"/>
      <c r="M7451" s="9"/>
    </row>
    <row r="7452" spans="1:13" x14ac:dyDescent="0.25">
      <c r="A7452" s="8"/>
      <c r="C7452" s="5"/>
      <c r="M7452" s="9"/>
    </row>
    <row r="7453" spans="1:13" x14ac:dyDescent="0.25">
      <c r="A7453" s="8"/>
      <c r="C7453" s="5"/>
      <c r="M7453" s="9"/>
    </row>
    <row r="7454" spans="1:13" x14ac:dyDescent="0.25">
      <c r="A7454" s="8"/>
      <c r="C7454" s="5"/>
      <c r="M7454" s="9"/>
    </row>
    <row r="7455" spans="1:13" x14ac:dyDescent="0.25">
      <c r="A7455" s="8"/>
      <c r="C7455" s="5"/>
      <c r="M7455" s="9"/>
    </row>
    <row r="7456" spans="1:13" x14ac:dyDescent="0.25">
      <c r="A7456" s="8"/>
      <c r="C7456" s="5"/>
      <c r="M7456" s="9"/>
    </row>
    <row r="7457" spans="1:13" x14ac:dyDescent="0.25">
      <c r="A7457" s="8"/>
      <c r="C7457" s="5"/>
      <c r="M7457" s="9"/>
    </row>
    <row r="7458" spans="1:13" x14ac:dyDescent="0.25">
      <c r="A7458" s="8"/>
      <c r="C7458" s="5"/>
      <c r="M7458" s="9"/>
    </row>
    <row r="7459" spans="1:13" x14ac:dyDescent="0.25">
      <c r="A7459" s="8"/>
      <c r="C7459" s="5"/>
      <c r="M7459" s="9"/>
    </row>
    <row r="7460" spans="1:13" x14ac:dyDescent="0.25">
      <c r="A7460" s="8"/>
      <c r="C7460" s="5"/>
      <c r="M7460" s="9"/>
    </row>
    <row r="7461" spans="1:13" x14ac:dyDescent="0.25">
      <c r="A7461" s="8"/>
      <c r="C7461" s="5"/>
      <c r="M7461" s="9"/>
    </row>
    <row r="7462" spans="1:13" x14ac:dyDescent="0.25">
      <c r="A7462" s="8"/>
      <c r="C7462" s="5"/>
      <c r="M7462" s="9"/>
    </row>
    <row r="7463" spans="1:13" x14ac:dyDescent="0.25">
      <c r="A7463" s="8"/>
      <c r="C7463" s="5"/>
      <c r="M7463" s="9"/>
    </row>
    <row r="7464" spans="1:13" x14ac:dyDescent="0.25">
      <c r="A7464" s="8"/>
      <c r="C7464" s="5"/>
      <c r="M7464" s="9"/>
    </row>
    <row r="7465" spans="1:13" x14ac:dyDescent="0.25">
      <c r="A7465" s="8"/>
      <c r="C7465" s="5"/>
      <c r="M7465" s="9"/>
    </row>
    <row r="7466" spans="1:13" x14ac:dyDescent="0.25">
      <c r="A7466" s="8"/>
      <c r="C7466" s="5"/>
      <c r="M7466" s="9"/>
    </row>
    <row r="7467" spans="1:13" x14ac:dyDescent="0.25">
      <c r="A7467" s="8"/>
      <c r="C7467" s="5"/>
      <c r="M7467" s="9"/>
    </row>
    <row r="7468" spans="1:13" x14ac:dyDescent="0.25">
      <c r="A7468" s="8"/>
      <c r="C7468" s="5"/>
      <c r="M7468" s="9"/>
    </row>
    <row r="7469" spans="1:13" x14ac:dyDescent="0.25">
      <c r="A7469" s="8"/>
      <c r="C7469" s="5"/>
      <c r="M7469" s="9"/>
    </row>
    <row r="7470" spans="1:13" x14ac:dyDescent="0.25">
      <c r="A7470" s="8"/>
      <c r="C7470" s="5"/>
      <c r="M7470" s="9"/>
    </row>
    <row r="7471" spans="1:13" x14ac:dyDescent="0.25">
      <c r="A7471" s="8"/>
      <c r="C7471" s="5"/>
      <c r="M7471" s="9"/>
    </row>
    <row r="7472" spans="1:13" x14ac:dyDescent="0.25">
      <c r="A7472" s="8"/>
      <c r="C7472" s="5"/>
      <c r="M7472" s="9"/>
    </row>
    <row r="7473" spans="1:13" x14ac:dyDescent="0.25">
      <c r="A7473" s="8"/>
      <c r="C7473" s="5"/>
      <c r="M7473" s="9"/>
    </row>
    <row r="7474" spans="1:13" x14ac:dyDescent="0.25">
      <c r="A7474" s="8"/>
      <c r="C7474" s="5"/>
      <c r="M7474" s="9"/>
    </row>
    <row r="7475" spans="1:13" x14ac:dyDescent="0.25">
      <c r="A7475" s="8"/>
      <c r="C7475" s="5"/>
      <c r="M7475" s="9"/>
    </row>
    <row r="7476" spans="1:13" x14ac:dyDescent="0.25">
      <c r="A7476" s="8"/>
      <c r="C7476" s="5"/>
      <c r="M7476" s="9"/>
    </row>
    <row r="7477" spans="1:13" x14ac:dyDescent="0.25">
      <c r="A7477" s="8"/>
      <c r="C7477" s="5"/>
      <c r="M7477" s="9"/>
    </row>
    <row r="7478" spans="1:13" x14ac:dyDescent="0.25">
      <c r="A7478" s="8"/>
      <c r="C7478" s="5"/>
      <c r="M7478" s="9"/>
    </row>
    <row r="7479" spans="1:13" x14ac:dyDescent="0.25">
      <c r="A7479" s="8"/>
      <c r="C7479" s="5"/>
      <c r="M7479" s="9"/>
    </row>
    <row r="7480" spans="1:13" x14ac:dyDescent="0.25">
      <c r="A7480" s="8"/>
      <c r="C7480" s="5"/>
      <c r="M7480" s="9"/>
    </row>
    <row r="7481" spans="1:13" x14ac:dyDescent="0.25">
      <c r="A7481" s="8"/>
      <c r="C7481" s="5"/>
      <c r="M7481" s="9"/>
    </row>
    <row r="7482" spans="1:13" x14ac:dyDescent="0.25">
      <c r="A7482" s="8"/>
      <c r="C7482" s="5"/>
      <c r="M7482" s="9"/>
    </row>
    <row r="7483" spans="1:13" x14ac:dyDescent="0.25">
      <c r="A7483" s="8"/>
      <c r="C7483" s="5"/>
      <c r="M7483" s="9"/>
    </row>
    <row r="7484" spans="1:13" x14ac:dyDescent="0.25">
      <c r="A7484" s="8"/>
      <c r="C7484" s="5"/>
      <c r="M7484" s="9"/>
    </row>
    <row r="7485" spans="1:13" x14ac:dyDescent="0.25">
      <c r="A7485" s="8"/>
      <c r="C7485" s="5"/>
      <c r="M7485" s="9"/>
    </row>
    <row r="7486" spans="1:13" x14ac:dyDescent="0.25">
      <c r="A7486" s="8"/>
      <c r="C7486" s="5"/>
      <c r="M7486" s="9"/>
    </row>
    <row r="7487" spans="1:13" x14ac:dyDescent="0.25">
      <c r="A7487" s="8"/>
      <c r="C7487" s="5"/>
      <c r="M7487" s="9"/>
    </row>
    <row r="7488" spans="1:13" x14ac:dyDescent="0.25">
      <c r="A7488" s="8"/>
      <c r="C7488" s="5"/>
      <c r="M7488" s="9"/>
    </row>
    <row r="7489" spans="1:13" x14ac:dyDescent="0.25">
      <c r="A7489" s="8"/>
      <c r="C7489" s="5"/>
      <c r="M7489" s="9"/>
    </row>
    <row r="7490" spans="1:13" x14ac:dyDescent="0.25">
      <c r="A7490" s="8"/>
      <c r="C7490" s="5"/>
      <c r="M7490" s="9"/>
    </row>
    <row r="7491" spans="1:13" x14ac:dyDescent="0.25">
      <c r="A7491" s="8"/>
      <c r="C7491" s="5"/>
      <c r="M7491" s="9"/>
    </row>
    <row r="7492" spans="1:13" x14ac:dyDescent="0.25">
      <c r="A7492" s="8"/>
      <c r="C7492" s="5"/>
      <c r="M7492" s="9"/>
    </row>
    <row r="7493" spans="1:13" x14ac:dyDescent="0.25">
      <c r="A7493" s="8"/>
      <c r="C7493" s="5"/>
      <c r="M7493" s="9"/>
    </row>
    <row r="7494" spans="1:13" x14ac:dyDescent="0.25">
      <c r="A7494" s="8"/>
      <c r="C7494" s="5"/>
      <c r="M7494" s="9"/>
    </row>
    <row r="7495" spans="1:13" x14ac:dyDescent="0.25">
      <c r="A7495" s="8"/>
      <c r="C7495" s="5"/>
      <c r="M7495" s="9"/>
    </row>
    <row r="7496" spans="1:13" x14ac:dyDescent="0.25">
      <c r="A7496" s="8"/>
      <c r="C7496" s="5"/>
      <c r="M7496" s="9"/>
    </row>
    <row r="7497" spans="1:13" x14ac:dyDescent="0.25">
      <c r="A7497" s="8"/>
      <c r="C7497" s="5"/>
      <c r="M7497" s="9"/>
    </row>
    <row r="7498" spans="1:13" x14ac:dyDescent="0.25">
      <c r="A7498" s="8"/>
      <c r="C7498" s="5"/>
      <c r="M7498" s="9"/>
    </row>
    <row r="7499" spans="1:13" x14ac:dyDescent="0.25">
      <c r="A7499" s="8"/>
      <c r="C7499" s="5"/>
      <c r="M7499" s="9"/>
    </row>
    <row r="7500" spans="1:13" x14ac:dyDescent="0.25">
      <c r="A7500" s="8"/>
      <c r="C7500" s="5"/>
      <c r="M7500" s="9"/>
    </row>
    <row r="7501" spans="1:13" x14ac:dyDescent="0.25">
      <c r="A7501" s="8"/>
      <c r="C7501" s="5"/>
      <c r="M7501" s="9"/>
    </row>
    <row r="7502" spans="1:13" x14ac:dyDescent="0.25">
      <c r="A7502" s="8"/>
      <c r="C7502" s="5"/>
      <c r="M7502" s="9"/>
    </row>
    <row r="7503" spans="1:13" x14ac:dyDescent="0.25">
      <c r="A7503" s="8"/>
      <c r="C7503" s="5"/>
      <c r="M7503" s="9"/>
    </row>
    <row r="7504" spans="1:13" x14ac:dyDescent="0.25">
      <c r="A7504" s="8"/>
      <c r="C7504" s="5"/>
      <c r="M7504" s="9"/>
    </row>
    <row r="7505" spans="1:13" x14ac:dyDescent="0.25">
      <c r="A7505" s="8"/>
      <c r="C7505" s="5"/>
      <c r="M7505" s="9"/>
    </row>
    <row r="7506" spans="1:13" x14ac:dyDescent="0.25">
      <c r="A7506" s="8"/>
      <c r="C7506" s="5"/>
      <c r="M7506" s="9"/>
    </row>
    <row r="7507" spans="1:13" x14ac:dyDescent="0.25">
      <c r="A7507" s="8"/>
      <c r="C7507" s="5"/>
      <c r="M7507" s="9"/>
    </row>
    <row r="7508" spans="1:13" x14ac:dyDescent="0.25">
      <c r="A7508" s="8"/>
      <c r="C7508" s="5"/>
      <c r="M7508" s="9"/>
    </row>
    <row r="7509" spans="1:13" x14ac:dyDescent="0.25">
      <c r="A7509" s="8"/>
      <c r="C7509" s="5"/>
      <c r="M7509" s="9"/>
    </row>
    <row r="7510" spans="1:13" x14ac:dyDescent="0.25">
      <c r="A7510" s="8"/>
      <c r="C7510" s="5"/>
      <c r="M7510" s="9"/>
    </row>
    <row r="7511" spans="1:13" x14ac:dyDescent="0.25">
      <c r="A7511" s="8"/>
      <c r="C7511" s="5"/>
      <c r="M7511" s="9"/>
    </row>
    <row r="7512" spans="1:13" x14ac:dyDescent="0.25">
      <c r="A7512" s="8"/>
      <c r="C7512" s="5"/>
      <c r="M7512" s="9"/>
    </row>
    <row r="7513" spans="1:13" x14ac:dyDescent="0.25">
      <c r="A7513" s="8"/>
      <c r="C7513" s="5"/>
      <c r="M7513" s="9"/>
    </row>
    <row r="7514" spans="1:13" x14ac:dyDescent="0.25">
      <c r="A7514" s="8"/>
      <c r="C7514" s="5"/>
      <c r="M7514" s="9"/>
    </row>
    <row r="7515" spans="1:13" x14ac:dyDescent="0.25">
      <c r="A7515" s="8"/>
      <c r="C7515" s="5"/>
      <c r="M7515" s="9"/>
    </row>
    <row r="7516" spans="1:13" x14ac:dyDescent="0.25">
      <c r="A7516" s="8"/>
      <c r="C7516" s="5"/>
      <c r="M7516" s="9"/>
    </row>
    <row r="7517" spans="1:13" x14ac:dyDescent="0.25">
      <c r="A7517" s="8"/>
      <c r="C7517" s="5"/>
      <c r="M7517" s="9"/>
    </row>
    <row r="7518" spans="1:13" x14ac:dyDescent="0.25">
      <c r="A7518" s="8"/>
      <c r="C7518" s="5"/>
      <c r="M7518" s="9"/>
    </row>
    <row r="7519" spans="1:13" x14ac:dyDescent="0.25">
      <c r="A7519" s="8"/>
      <c r="C7519" s="5"/>
      <c r="M7519" s="9"/>
    </row>
    <row r="7520" spans="1:13" x14ac:dyDescent="0.25">
      <c r="A7520" s="8"/>
      <c r="C7520" s="5"/>
      <c r="M7520" s="9"/>
    </row>
    <row r="7521" spans="1:13" x14ac:dyDescent="0.25">
      <c r="A7521" s="8"/>
      <c r="C7521" s="5"/>
      <c r="M7521" s="9"/>
    </row>
    <row r="7522" spans="1:13" x14ac:dyDescent="0.25">
      <c r="A7522" s="8"/>
      <c r="C7522" s="5"/>
      <c r="M7522" s="9"/>
    </row>
    <row r="7523" spans="1:13" x14ac:dyDescent="0.25">
      <c r="A7523" s="8"/>
      <c r="C7523" s="5"/>
      <c r="M7523" s="9"/>
    </row>
    <row r="7524" spans="1:13" x14ac:dyDescent="0.25">
      <c r="A7524" s="8"/>
      <c r="C7524" s="5"/>
      <c r="M7524" s="9"/>
    </row>
    <row r="7525" spans="1:13" x14ac:dyDescent="0.25">
      <c r="A7525" s="8"/>
      <c r="C7525" s="5"/>
      <c r="M7525" s="9"/>
    </row>
    <row r="7526" spans="1:13" x14ac:dyDescent="0.25">
      <c r="A7526" s="8"/>
      <c r="C7526" s="5"/>
      <c r="M7526" s="9"/>
    </row>
    <row r="7527" spans="1:13" x14ac:dyDescent="0.25">
      <c r="A7527" s="8"/>
      <c r="C7527" s="5"/>
      <c r="M7527" s="9"/>
    </row>
    <row r="7528" spans="1:13" x14ac:dyDescent="0.25">
      <c r="A7528" s="8"/>
      <c r="C7528" s="5"/>
      <c r="M7528" s="9"/>
    </row>
    <row r="7529" spans="1:13" x14ac:dyDescent="0.25">
      <c r="A7529" s="8"/>
      <c r="C7529" s="5"/>
      <c r="M7529" s="9"/>
    </row>
    <row r="7530" spans="1:13" x14ac:dyDescent="0.25">
      <c r="A7530" s="8"/>
      <c r="C7530" s="5"/>
      <c r="M7530" s="9"/>
    </row>
    <row r="7531" spans="1:13" x14ac:dyDescent="0.25">
      <c r="A7531" s="8"/>
      <c r="C7531" s="5"/>
      <c r="M7531" s="9"/>
    </row>
    <row r="7532" spans="1:13" x14ac:dyDescent="0.25">
      <c r="A7532" s="8"/>
      <c r="C7532" s="5"/>
      <c r="M7532" s="9"/>
    </row>
    <row r="7533" spans="1:13" x14ac:dyDescent="0.25">
      <c r="A7533" s="8"/>
      <c r="C7533" s="5"/>
      <c r="M7533" s="9"/>
    </row>
    <row r="7534" spans="1:13" x14ac:dyDescent="0.25">
      <c r="A7534" s="8"/>
      <c r="C7534" s="5"/>
      <c r="M7534" s="9"/>
    </row>
    <row r="7535" spans="1:13" x14ac:dyDescent="0.25">
      <c r="A7535" s="8"/>
      <c r="C7535" s="5"/>
      <c r="M7535" s="9"/>
    </row>
    <row r="7536" spans="1:13" x14ac:dyDescent="0.25">
      <c r="A7536" s="8"/>
      <c r="C7536" s="5"/>
      <c r="M7536" s="9"/>
    </row>
    <row r="7537" spans="1:13" x14ac:dyDescent="0.25">
      <c r="A7537" s="8"/>
      <c r="C7537" s="5"/>
      <c r="M7537" s="9"/>
    </row>
    <row r="7538" spans="1:13" x14ac:dyDescent="0.25">
      <c r="A7538" s="8"/>
      <c r="C7538" s="5"/>
      <c r="M7538" s="9"/>
    </row>
    <row r="7539" spans="1:13" x14ac:dyDescent="0.25">
      <c r="A7539" s="8"/>
      <c r="C7539" s="5"/>
      <c r="M7539" s="9"/>
    </row>
    <row r="7540" spans="1:13" x14ac:dyDescent="0.25">
      <c r="A7540" s="8"/>
      <c r="C7540" s="5"/>
      <c r="M7540" s="9"/>
    </row>
    <row r="7541" spans="1:13" x14ac:dyDescent="0.25">
      <c r="A7541" s="8"/>
      <c r="C7541" s="5"/>
      <c r="M7541" s="9"/>
    </row>
    <row r="7542" spans="1:13" x14ac:dyDescent="0.25">
      <c r="A7542" s="8"/>
      <c r="C7542" s="5"/>
      <c r="M7542" s="9"/>
    </row>
    <row r="7543" spans="1:13" x14ac:dyDescent="0.25">
      <c r="A7543" s="8"/>
      <c r="C7543" s="5"/>
      <c r="M7543" s="9"/>
    </row>
    <row r="7544" spans="1:13" x14ac:dyDescent="0.25">
      <c r="A7544" s="8"/>
      <c r="C7544" s="5"/>
      <c r="M7544" s="9"/>
    </row>
    <row r="7545" spans="1:13" x14ac:dyDescent="0.25">
      <c r="A7545" s="8"/>
      <c r="C7545" s="5"/>
      <c r="M7545" s="9"/>
    </row>
    <row r="7546" spans="1:13" x14ac:dyDescent="0.25">
      <c r="A7546" s="8"/>
      <c r="C7546" s="5"/>
      <c r="M7546" s="9"/>
    </row>
    <row r="7547" spans="1:13" x14ac:dyDescent="0.25">
      <c r="A7547" s="8"/>
      <c r="C7547" s="5"/>
      <c r="M7547" s="9"/>
    </row>
    <row r="7548" spans="1:13" x14ac:dyDescent="0.25">
      <c r="A7548" s="8"/>
      <c r="C7548" s="5"/>
      <c r="M7548" s="9"/>
    </row>
    <row r="7549" spans="1:13" x14ac:dyDescent="0.25">
      <c r="A7549" s="8"/>
      <c r="C7549" s="5"/>
      <c r="M7549" s="9"/>
    </row>
    <row r="7550" spans="1:13" x14ac:dyDescent="0.25">
      <c r="A7550" s="8"/>
      <c r="C7550" s="5"/>
      <c r="M7550" s="9"/>
    </row>
    <row r="7551" spans="1:13" x14ac:dyDescent="0.25">
      <c r="A7551" s="8"/>
      <c r="C7551" s="5"/>
      <c r="M7551" s="9"/>
    </row>
    <row r="7552" spans="1:13" x14ac:dyDescent="0.25">
      <c r="A7552" s="8"/>
      <c r="C7552" s="5"/>
      <c r="M7552" s="9"/>
    </row>
    <row r="7553" spans="1:13" x14ac:dyDescent="0.25">
      <c r="A7553" s="8"/>
      <c r="C7553" s="5"/>
      <c r="M7553" s="9"/>
    </row>
    <row r="7554" spans="1:13" x14ac:dyDescent="0.25">
      <c r="A7554" s="8"/>
      <c r="C7554" s="5"/>
      <c r="M7554" s="9"/>
    </row>
    <row r="7555" spans="1:13" x14ac:dyDescent="0.25">
      <c r="A7555" s="8"/>
      <c r="C7555" s="5"/>
      <c r="M7555" s="9"/>
    </row>
    <row r="7556" spans="1:13" x14ac:dyDescent="0.25">
      <c r="A7556" s="8"/>
      <c r="C7556" s="5"/>
      <c r="M7556" s="9"/>
    </row>
    <row r="7557" spans="1:13" x14ac:dyDescent="0.25">
      <c r="A7557" s="8"/>
      <c r="C7557" s="5"/>
      <c r="M7557" s="9"/>
    </row>
    <row r="7558" spans="1:13" x14ac:dyDescent="0.25">
      <c r="A7558" s="8"/>
      <c r="C7558" s="5"/>
      <c r="M7558" s="9"/>
    </row>
    <row r="7559" spans="1:13" x14ac:dyDescent="0.25">
      <c r="A7559" s="8"/>
      <c r="C7559" s="5"/>
      <c r="M7559" s="9"/>
    </row>
    <row r="7560" spans="1:13" x14ac:dyDescent="0.25">
      <c r="A7560" s="8"/>
      <c r="C7560" s="5"/>
      <c r="M7560" s="9"/>
    </row>
    <row r="7561" spans="1:13" x14ac:dyDescent="0.25">
      <c r="A7561" s="8"/>
      <c r="C7561" s="5"/>
      <c r="M7561" s="9"/>
    </row>
    <row r="7562" spans="1:13" x14ac:dyDescent="0.25">
      <c r="A7562" s="8"/>
      <c r="C7562" s="5"/>
      <c r="M7562" s="9"/>
    </row>
    <row r="7563" spans="1:13" x14ac:dyDescent="0.25">
      <c r="A7563" s="8"/>
      <c r="C7563" s="5"/>
      <c r="M7563" s="9"/>
    </row>
    <row r="7564" spans="1:13" x14ac:dyDescent="0.25">
      <c r="A7564" s="8"/>
      <c r="C7564" s="5"/>
      <c r="M7564" s="9"/>
    </row>
    <row r="7565" spans="1:13" x14ac:dyDescent="0.25">
      <c r="A7565" s="8"/>
      <c r="C7565" s="5"/>
      <c r="M7565" s="9"/>
    </row>
    <row r="7566" spans="1:13" x14ac:dyDescent="0.25">
      <c r="A7566" s="8"/>
      <c r="C7566" s="5"/>
      <c r="M7566" s="9"/>
    </row>
    <row r="7567" spans="1:13" x14ac:dyDescent="0.25">
      <c r="A7567" s="8"/>
      <c r="C7567" s="5"/>
      <c r="M7567" s="9"/>
    </row>
    <row r="7568" spans="1:13" x14ac:dyDescent="0.25">
      <c r="A7568" s="8"/>
      <c r="C7568" s="5"/>
      <c r="M7568" s="9"/>
    </row>
    <row r="7569" spans="1:13" x14ac:dyDescent="0.25">
      <c r="A7569" s="8"/>
      <c r="C7569" s="5"/>
      <c r="M7569" s="9"/>
    </row>
    <row r="7570" spans="1:13" x14ac:dyDescent="0.25">
      <c r="A7570" s="8"/>
      <c r="C7570" s="5"/>
      <c r="M7570" s="9"/>
    </row>
    <row r="7571" spans="1:13" x14ac:dyDescent="0.25">
      <c r="A7571" s="8"/>
      <c r="C7571" s="5"/>
      <c r="M7571" s="9"/>
    </row>
    <row r="7572" spans="1:13" x14ac:dyDescent="0.25">
      <c r="A7572" s="8"/>
      <c r="C7572" s="5"/>
      <c r="M7572" s="9"/>
    </row>
    <row r="7573" spans="1:13" x14ac:dyDescent="0.25">
      <c r="A7573" s="8"/>
      <c r="C7573" s="5"/>
      <c r="M7573" s="9"/>
    </row>
    <row r="7574" spans="1:13" x14ac:dyDescent="0.25">
      <c r="A7574" s="8"/>
      <c r="C7574" s="5"/>
      <c r="M7574" s="9"/>
    </row>
    <row r="7575" spans="1:13" x14ac:dyDescent="0.25">
      <c r="A7575" s="8"/>
      <c r="C7575" s="5"/>
      <c r="M7575" s="9"/>
    </row>
    <row r="7576" spans="1:13" x14ac:dyDescent="0.25">
      <c r="A7576" s="8"/>
      <c r="C7576" s="5"/>
      <c r="M7576" s="9"/>
    </row>
    <row r="7577" spans="1:13" x14ac:dyDescent="0.25">
      <c r="A7577" s="8"/>
      <c r="C7577" s="5"/>
      <c r="M7577" s="9"/>
    </row>
    <row r="7578" spans="1:13" x14ac:dyDescent="0.25">
      <c r="A7578" s="8"/>
      <c r="C7578" s="5"/>
      <c r="M7578" s="9"/>
    </row>
    <row r="7579" spans="1:13" x14ac:dyDescent="0.25">
      <c r="A7579" s="8"/>
      <c r="C7579" s="5"/>
      <c r="M7579" s="9"/>
    </row>
    <row r="7580" spans="1:13" x14ac:dyDescent="0.25">
      <c r="A7580" s="8"/>
      <c r="C7580" s="5"/>
      <c r="M7580" s="9"/>
    </row>
    <row r="7581" spans="1:13" x14ac:dyDescent="0.25">
      <c r="A7581" s="8"/>
      <c r="C7581" s="5"/>
      <c r="M7581" s="9"/>
    </row>
    <row r="7582" spans="1:13" x14ac:dyDescent="0.25">
      <c r="A7582" s="8"/>
      <c r="C7582" s="5"/>
      <c r="M7582" s="9"/>
    </row>
    <row r="7583" spans="1:13" x14ac:dyDescent="0.25">
      <c r="A7583" s="8"/>
      <c r="C7583" s="5"/>
      <c r="M7583" s="9"/>
    </row>
    <row r="7584" spans="1:13" x14ac:dyDescent="0.25">
      <c r="A7584" s="8"/>
      <c r="C7584" s="5"/>
      <c r="M7584" s="9"/>
    </row>
    <row r="7585" spans="1:13" x14ac:dyDescent="0.25">
      <c r="A7585" s="8"/>
      <c r="C7585" s="5"/>
      <c r="M7585" s="9"/>
    </row>
    <row r="7586" spans="1:13" x14ac:dyDescent="0.25">
      <c r="A7586" s="8"/>
      <c r="C7586" s="5"/>
      <c r="M7586" s="9"/>
    </row>
    <row r="7587" spans="1:13" x14ac:dyDescent="0.25">
      <c r="A7587" s="8"/>
      <c r="C7587" s="5"/>
      <c r="M7587" s="9"/>
    </row>
    <row r="7588" spans="1:13" x14ac:dyDescent="0.25">
      <c r="A7588" s="8"/>
      <c r="C7588" s="5"/>
      <c r="M7588" s="9"/>
    </row>
    <row r="7589" spans="1:13" x14ac:dyDescent="0.25">
      <c r="A7589" s="8"/>
      <c r="C7589" s="5"/>
      <c r="M7589" s="9"/>
    </row>
    <row r="7590" spans="1:13" x14ac:dyDescent="0.25">
      <c r="A7590" s="8"/>
      <c r="C7590" s="5"/>
      <c r="M7590" s="9"/>
    </row>
    <row r="7591" spans="1:13" x14ac:dyDescent="0.25">
      <c r="A7591" s="8"/>
      <c r="C7591" s="5"/>
      <c r="M7591" s="9"/>
    </row>
    <row r="7592" spans="1:13" x14ac:dyDescent="0.25">
      <c r="A7592" s="8"/>
      <c r="C7592" s="5"/>
      <c r="M7592" s="9"/>
    </row>
    <row r="7593" spans="1:13" x14ac:dyDescent="0.25">
      <c r="A7593" s="8"/>
      <c r="C7593" s="5"/>
      <c r="M7593" s="9"/>
    </row>
    <row r="7594" spans="1:13" x14ac:dyDescent="0.25">
      <c r="A7594" s="8"/>
      <c r="C7594" s="5"/>
      <c r="M7594" s="9"/>
    </row>
    <row r="7595" spans="1:13" x14ac:dyDescent="0.25">
      <c r="A7595" s="8"/>
      <c r="C7595" s="5"/>
      <c r="M7595" s="9"/>
    </row>
    <row r="7596" spans="1:13" x14ac:dyDescent="0.25">
      <c r="A7596" s="8"/>
      <c r="C7596" s="5"/>
      <c r="M7596" s="9"/>
    </row>
    <row r="7597" spans="1:13" x14ac:dyDescent="0.25">
      <c r="A7597" s="8"/>
      <c r="C7597" s="5"/>
      <c r="M7597" s="9"/>
    </row>
    <row r="7598" spans="1:13" x14ac:dyDescent="0.25">
      <c r="A7598" s="8"/>
      <c r="C7598" s="5"/>
      <c r="M7598" s="9"/>
    </row>
    <row r="7599" spans="1:13" x14ac:dyDescent="0.25">
      <c r="A7599" s="8"/>
      <c r="C7599" s="5"/>
      <c r="M7599" s="9"/>
    </row>
    <row r="7600" spans="1:13" x14ac:dyDescent="0.25">
      <c r="A7600" s="8"/>
      <c r="C7600" s="5"/>
      <c r="M7600" s="9"/>
    </row>
    <row r="7601" spans="1:13" x14ac:dyDescent="0.25">
      <c r="A7601" s="8"/>
      <c r="C7601" s="5"/>
      <c r="M7601" s="9"/>
    </row>
    <row r="7602" spans="1:13" x14ac:dyDescent="0.25">
      <c r="A7602" s="8"/>
      <c r="C7602" s="5"/>
      <c r="M7602" s="9"/>
    </row>
    <row r="7603" spans="1:13" x14ac:dyDescent="0.25">
      <c r="A7603" s="8"/>
      <c r="C7603" s="5"/>
      <c r="M7603" s="9"/>
    </row>
    <row r="7604" spans="1:13" x14ac:dyDescent="0.25">
      <c r="A7604" s="8"/>
      <c r="C7604" s="5"/>
      <c r="M7604" s="9"/>
    </row>
    <row r="7605" spans="1:13" x14ac:dyDescent="0.25">
      <c r="A7605" s="8"/>
      <c r="C7605" s="5"/>
      <c r="M7605" s="9"/>
    </row>
    <row r="7606" spans="1:13" x14ac:dyDescent="0.25">
      <c r="A7606" s="8"/>
      <c r="C7606" s="5"/>
      <c r="M7606" s="9"/>
    </row>
    <row r="7607" spans="1:13" x14ac:dyDescent="0.25">
      <c r="A7607" s="8"/>
      <c r="C7607" s="5"/>
      <c r="M7607" s="9"/>
    </row>
    <row r="7608" spans="1:13" x14ac:dyDescent="0.25">
      <c r="A7608" s="8"/>
      <c r="C7608" s="5"/>
      <c r="M7608" s="9"/>
    </row>
    <row r="7609" spans="1:13" x14ac:dyDescent="0.25">
      <c r="A7609" s="8"/>
      <c r="C7609" s="5"/>
      <c r="M7609" s="9"/>
    </row>
    <row r="7610" spans="1:13" x14ac:dyDescent="0.25">
      <c r="A7610" s="8"/>
      <c r="C7610" s="5"/>
      <c r="M7610" s="9"/>
    </row>
    <row r="7611" spans="1:13" x14ac:dyDescent="0.25">
      <c r="A7611" s="8"/>
      <c r="C7611" s="5"/>
      <c r="M7611" s="9"/>
    </row>
    <row r="7612" spans="1:13" x14ac:dyDescent="0.25">
      <c r="A7612" s="8"/>
      <c r="C7612" s="5"/>
      <c r="M7612" s="9"/>
    </row>
    <row r="7613" spans="1:13" x14ac:dyDescent="0.25">
      <c r="A7613" s="8"/>
      <c r="C7613" s="5"/>
      <c r="M7613" s="9"/>
    </row>
    <row r="7614" spans="1:13" x14ac:dyDescent="0.25">
      <c r="A7614" s="8"/>
      <c r="C7614" s="5"/>
      <c r="M7614" s="9"/>
    </row>
    <row r="7615" spans="1:13" x14ac:dyDescent="0.25">
      <c r="A7615" s="8"/>
      <c r="C7615" s="5"/>
      <c r="M7615" s="9"/>
    </row>
    <row r="7616" spans="1:13" x14ac:dyDescent="0.25">
      <c r="A7616" s="8"/>
      <c r="C7616" s="5"/>
      <c r="M7616" s="9"/>
    </row>
    <row r="7617" spans="1:13" x14ac:dyDescent="0.25">
      <c r="A7617" s="8"/>
      <c r="C7617" s="5"/>
      <c r="M7617" s="9"/>
    </row>
    <row r="7618" spans="1:13" x14ac:dyDescent="0.25">
      <c r="A7618" s="8"/>
      <c r="C7618" s="5"/>
      <c r="M7618" s="9"/>
    </row>
    <row r="7619" spans="1:13" x14ac:dyDescent="0.25">
      <c r="A7619" s="8"/>
      <c r="C7619" s="5"/>
      <c r="M7619" s="9"/>
    </row>
    <row r="7620" spans="1:13" x14ac:dyDescent="0.25">
      <c r="A7620" s="8"/>
      <c r="C7620" s="5"/>
      <c r="M7620" s="9"/>
    </row>
    <row r="7621" spans="1:13" x14ac:dyDescent="0.25">
      <c r="A7621" s="8"/>
      <c r="C7621" s="5"/>
      <c r="M7621" s="9"/>
    </row>
    <row r="7622" spans="1:13" x14ac:dyDescent="0.25">
      <c r="A7622" s="8"/>
      <c r="C7622" s="5"/>
      <c r="M7622" s="9"/>
    </row>
    <row r="7623" spans="1:13" x14ac:dyDescent="0.25">
      <c r="A7623" s="8"/>
      <c r="C7623" s="5"/>
      <c r="M7623" s="9"/>
    </row>
    <row r="7624" spans="1:13" x14ac:dyDescent="0.25">
      <c r="A7624" s="8"/>
      <c r="C7624" s="5"/>
      <c r="M7624" s="9"/>
    </row>
    <row r="7625" spans="1:13" x14ac:dyDescent="0.25">
      <c r="A7625" s="8"/>
      <c r="C7625" s="5"/>
      <c r="M7625" s="9"/>
    </row>
    <row r="7626" spans="1:13" x14ac:dyDescent="0.25">
      <c r="A7626" s="8"/>
      <c r="C7626" s="5"/>
      <c r="M7626" s="9"/>
    </row>
    <row r="7627" spans="1:13" x14ac:dyDescent="0.25">
      <c r="A7627" s="8"/>
      <c r="C7627" s="5"/>
      <c r="M7627" s="9"/>
    </row>
    <row r="7628" spans="1:13" x14ac:dyDescent="0.25">
      <c r="A7628" s="8"/>
      <c r="C7628" s="5"/>
      <c r="M7628" s="9"/>
    </row>
    <row r="7629" spans="1:13" x14ac:dyDescent="0.25">
      <c r="A7629" s="8"/>
      <c r="C7629" s="5"/>
      <c r="M7629" s="9"/>
    </row>
    <row r="7630" spans="1:13" x14ac:dyDescent="0.25">
      <c r="A7630" s="8"/>
      <c r="C7630" s="5"/>
      <c r="M7630" s="9"/>
    </row>
    <row r="7631" spans="1:13" x14ac:dyDescent="0.25">
      <c r="A7631" s="8"/>
      <c r="C7631" s="5"/>
      <c r="M7631" s="9"/>
    </row>
    <row r="7632" spans="1:13" x14ac:dyDescent="0.25">
      <c r="A7632" s="8"/>
      <c r="C7632" s="5"/>
      <c r="M7632" s="9"/>
    </row>
    <row r="7633" spans="1:13" x14ac:dyDescent="0.25">
      <c r="A7633" s="8"/>
      <c r="C7633" s="5"/>
      <c r="M7633" s="9"/>
    </row>
    <row r="7634" spans="1:13" x14ac:dyDescent="0.25">
      <c r="A7634" s="8"/>
      <c r="C7634" s="5"/>
      <c r="M7634" s="9"/>
    </row>
    <row r="7635" spans="1:13" x14ac:dyDescent="0.25">
      <c r="A7635" s="8"/>
      <c r="C7635" s="5"/>
      <c r="M7635" s="9"/>
    </row>
    <row r="7636" spans="1:13" x14ac:dyDescent="0.25">
      <c r="A7636" s="8"/>
      <c r="C7636" s="5"/>
      <c r="M7636" s="9"/>
    </row>
    <row r="7637" spans="1:13" x14ac:dyDescent="0.25">
      <c r="A7637" s="8"/>
      <c r="C7637" s="5"/>
      <c r="M7637" s="9"/>
    </row>
    <row r="7638" spans="1:13" x14ac:dyDescent="0.25">
      <c r="A7638" s="8"/>
      <c r="C7638" s="5"/>
      <c r="M7638" s="9"/>
    </row>
    <row r="7639" spans="1:13" x14ac:dyDescent="0.25">
      <c r="A7639" s="8"/>
      <c r="C7639" s="5"/>
      <c r="M7639" s="9"/>
    </row>
    <row r="7640" spans="1:13" x14ac:dyDescent="0.25">
      <c r="A7640" s="8"/>
      <c r="C7640" s="5"/>
      <c r="M7640" s="9"/>
    </row>
    <row r="7641" spans="1:13" x14ac:dyDescent="0.25">
      <c r="A7641" s="8"/>
      <c r="C7641" s="5"/>
      <c r="M7641" s="9"/>
    </row>
    <row r="7642" spans="1:13" x14ac:dyDescent="0.25">
      <c r="A7642" s="8"/>
      <c r="C7642" s="5"/>
      <c r="M7642" s="9"/>
    </row>
    <row r="7643" spans="1:13" x14ac:dyDescent="0.25">
      <c r="A7643" s="8"/>
      <c r="C7643" s="5"/>
      <c r="M7643" s="9"/>
    </row>
    <row r="7644" spans="1:13" x14ac:dyDescent="0.25">
      <c r="A7644" s="8"/>
      <c r="C7644" s="5"/>
      <c r="M7644" s="9"/>
    </row>
    <row r="7645" spans="1:13" x14ac:dyDescent="0.25">
      <c r="A7645" s="8"/>
      <c r="C7645" s="5"/>
      <c r="M7645" s="9"/>
    </row>
    <row r="7646" spans="1:13" x14ac:dyDescent="0.25">
      <c r="A7646" s="8"/>
      <c r="C7646" s="5"/>
      <c r="M7646" s="9"/>
    </row>
    <row r="7647" spans="1:13" x14ac:dyDescent="0.25">
      <c r="A7647" s="8"/>
      <c r="C7647" s="5"/>
      <c r="M7647" s="9"/>
    </row>
    <row r="7648" spans="1:13" x14ac:dyDescent="0.25">
      <c r="A7648" s="8"/>
      <c r="C7648" s="5"/>
      <c r="M7648" s="9"/>
    </row>
    <row r="7649" spans="1:13" x14ac:dyDescent="0.25">
      <c r="A7649" s="8"/>
      <c r="C7649" s="5"/>
      <c r="M7649" s="9"/>
    </row>
    <row r="7650" spans="1:13" x14ac:dyDescent="0.25">
      <c r="A7650" s="8"/>
      <c r="C7650" s="5"/>
      <c r="M7650" s="9"/>
    </row>
    <row r="7651" spans="1:13" x14ac:dyDescent="0.25">
      <c r="A7651" s="8"/>
      <c r="C7651" s="5"/>
      <c r="M7651" s="9"/>
    </row>
    <row r="7652" spans="1:13" x14ac:dyDescent="0.25">
      <c r="A7652" s="8"/>
      <c r="C7652" s="5"/>
      <c r="M7652" s="9"/>
    </row>
    <row r="7653" spans="1:13" x14ac:dyDescent="0.25">
      <c r="A7653" s="8"/>
      <c r="C7653" s="5"/>
      <c r="M7653" s="9"/>
    </row>
    <row r="7654" spans="1:13" x14ac:dyDescent="0.25">
      <c r="A7654" s="8"/>
      <c r="C7654" s="5"/>
      <c r="M7654" s="9"/>
    </row>
    <row r="7655" spans="1:13" x14ac:dyDescent="0.25">
      <c r="A7655" s="8"/>
      <c r="C7655" s="5"/>
      <c r="M7655" s="9"/>
    </row>
    <row r="7656" spans="1:13" x14ac:dyDescent="0.25">
      <c r="A7656" s="8"/>
      <c r="C7656" s="5"/>
      <c r="M7656" s="9"/>
    </row>
    <row r="7657" spans="1:13" x14ac:dyDescent="0.25">
      <c r="A7657" s="8"/>
      <c r="C7657" s="5"/>
      <c r="M7657" s="9"/>
    </row>
    <row r="7658" spans="1:13" x14ac:dyDescent="0.25">
      <c r="A7658" s="8"/>
      <c r="C7658" s="5"/>
      <c r="M7658" s="9"/>
    </row>
    <row r="7659" spans="1:13" x14ac:dyDescent="0.25">
      <c r="A7659" s="8"/>
      <c r="C7659" s="5"/>
      <c r="M7659" s="9"/>
    </row>
    <row r="7660" spans="1:13" x14ac:dyDescent="0.25">
      <c r="A7660" s="8"/>
      <c r="C7660" s="5"/>
      <c r="M7660" s="9"/>
    </row>
    <row r="7661" spans="1:13" x14ac:dyDescent="0.25">
      <c r="A7661" s="8"/>
      <c r="C7661" s="5"/>
      <c r="M7661" s="9"/>
    </row>
    <row r="7662" spans="1:13" x14ac:dyDescent="0.25">
      <c r="A7662" s="8"/>
      <c r="C7662" s="5"/>
      <c r="M7662" s="9"/>
    </row>
    <row r="7663" spans="1:13" x14ac:dyDescent="0.25">
      <c r="A7663" s="8"/>
      <c r="C7663" s="5"/>
      <c r="M7663" s="9"/>
    </row>
    <row r="7664" spans="1:13" x14ac:dyDescent="0.25">
      <c r="A7664" s="8"/>
      <c r="C7664" s="5"/>
      <c r="M7664" s="9"/>
    </row>
    <row r="7665" spans="1:13" x14ac:dyDescent="0.25">
      <c r="A7665" s="8"/>
      <c r="C7665" s="5"/>
      <c r="M7665" s="9"/>
    </row>
    <row r="7666" spans="1:13" x14ac:dyDescent="0.25">
      <c r="A7666" s="8"/>
      <c r="C7666" s="5"/>
      <c r="M7666" s="9"/>
    </row>
    <row r="7667" spans="1:13" x14ac:dyDescent="0.25">
      <c r="A7667" s="8"/>
      <c r="C7667" s="5"/>
      <c r="M7667" s="9"/>
    </row>
    <row r="7668" spans="1:13" x14ac:dyDescent="0.25">
      <c r="A7668" s="8"/>
      <c r="C7668" s="5"/>
      <c r="M7668" s="9"/>
    </row>
    <row r="7669" spans="1:13" x14ac:dyDescent="0.25">
      <c r="A7669" s="8"/>
      <c r="C7669" s="5"/>
      <c r="M7669" s="9"/>
    </row>
    <row r="7670" spans="1:13" x14ac:dyDescent="0.25">
      <c r="A7670" s="8"/>
      <c r="C7670" s="5"/>
      <c r="M7670" s="9"/>
    </row>
    <row r="7671" spans="1:13" x14ac:dyDescent="0.25">
      <c r="A7671" s="8"/>
      <c r="C7671" s="5"/>
      <c r="M7671" s="9"/>
    </row>
    <row r="7672" spans="1:13" x14ac:dyDescent="0.25">
      <c r="A7672" s="8"/>
      <c r="C7672" s="5"/>
      <c r="M7672" s="9"/>
    </row>
    <row r="7673" spans="1:13" x14ac:dyDescent="0.25">
      <c r="A7673" s="8"/>
      <c r="C7673" s="5"/>
      <c r="M7673" s="9"/>
    </row>
    <row r="7674" spans="1:13" x14ac:dyDescent="0.25">
      <c r="A7674" s="8"/>
      <c r="C7674" s="5"/>
      <c r="M7674" s="9"/>
    </row>
    <row r="7675" spans="1:13" x14ac:dyDescent="0.25">
      <c r="A7675" s="8"/>
      <c r="C7675" s="5"/>
      <c r="M7675" s="9"/>
    </row>
    <row r="7676" spans="1:13" x14ac:dyDescent="0.25">
      <c r="A7676" s="8"/>
      <c r="C7676" s="5"/>
      <c r="M7676" s="9"/>
    </row>
    <row r="7677" spans="1:13" x14ac:dyDescent="0.25">
      <c r="A7677" s="8"/>
      <c r="C7677" s="5"/>
      <c r="M7677" s="9"/>
    </row>
    <row r="7678" spans="1:13" x14ac:dyDescent="0.25">
      <c r="A7678" s="8"/>
      <c r="C7678" s="5"/>
      <c r="M7678" s="9"/>
    </row>
    <row r="7679" spans="1:13" x14ac:dyDescent="0.25">
      <c r="A7679" s="8"/>
      <c r="C7679" s="5"/>
      <c r="M7679" s="9"/>
    </row>
    <row r="7680" spans="1:13" x14ac:dyDescent="0.25">
      <c r="A7680" s="8"/>
      <c r="C7680" s="5"/>
      <c r="M7680" s="9"/>
    </row>
    <row r="7681" spans="1:13" x14ac:dyDescent="0.25">
      <c r="A7681" s="8"/>
      <c r="C7681" s="5"/>
      <c r="M7681" s="9"/>
    </row>
    <row r="7682" spans="1:13" x14ac:dyDescent="0.25">
      <c r="A7682" s="8"/>
      <c r="C7682" s="5"/>
      <c r="M7682" s="9"/>
    </row>
    <row r="7683" spans="1:13" x14ac:dyDescent="0.25">
      <c r="A7683" s="8"/>
      <c r="C7683" s="5"/>
      <c r="M7683" s="9"/>
    </row>
    <row r="7684" spans="1:13" x14ac:dyDescent="0.25">
      <c r="A7684" s="8"/>
      <c r="C7684" s="5"/>
      <c r="M7684" s="9"/>
    </row>
    <row r="7685" spans="1:13" x14ac:dyDescent="0.25">
      <c r="A7685" s="8"/>
      <c r="C7685" s="5"/>
      <c r="M7685" s="9"/>
    </row>
    <row r="7686" spans="1:13" x14ac:dyDescent="0.25">
      <c r="A7686" s="8"/>
      <c r="C7686" s="5"/>
      <c r="M7686" s="9"/>
    </row>
    <row r="7687" spans="1:13" x14ac:dyDescent="0.25">
      <c r="A7687" s="8"/>
      <c r="C7687" s="5"/>
      <c r="M7687" s="9"/>
    </row>
    <row r="7688" spans="1:13" x14ac:dyDescent="0.25">
      <c r="A7688" s="8"/>
      <c r="C7688" s="5"/>
      <c r="M7688" s="9"/>
    </row>
    <row r="7689" spans="1:13" x14ac:dyDescent="0.25">
      <c r="A7689" s="8"/>
      <c r="C7689" s="5"/>
      <c r="M7689" s="9"/>
    </row>
    <row r="7690" spans="1:13" x14ac:dyDescent="0.25">
      <c r="A7690" s="8"/>
      <c r="C7690" s="5"/>
      <c r="M7690" s="9"/>
    </row>
    <row r="7691" spans="1:13" x14ac:dyDescent="0.25">
      <c r="A7691" s="8"/>
      <c r="C7691" s="5"/>
      <c r="M7691" s="9"/>
    </row>
    <row r="7692" spans="1:13" x14ac:dyDescent="0.25">
      <c r="A7692" s="8"/>
      <c r="C7692" s="5"/>
      <c r="M7692" s="9"/>
    </row>
    <row r="7693" spans="1:13" x14ac:dyDescent="0.25">
      <c r="A7693" s="8"/>
      <c r="C7693" s="5"/>
      <c r="M7693" s="9"/>
    </row>
    <row r="7694" spans="1:13" x14ac:dyDescent="0.25">
      <c r="A7694" s="8"/>
      <c r="C7694" s="5"/>
      <c r="M7694" s="9"/>
    </row>
    <row r="7695" spans="1:13" x14ac:dyDescent="0.25">
      <c r="A7695" s="8"/>
      <c r="C7695" s="5"/>
      <c r="M7695" s="9"/>
    </row>
    <row r="7696" spans="1:13" x14ac:dyDescent="0.25">
      <c r="A7696" s="8"/>
      <c r="C7696" s="5"/>
      <c r="M7696" s="9"/>
    </row>
    <row r="7697" spans="1:13" x14ac:dyDescent="0.25">
      <c r="A7697" s="8"/>
      <c r="C7697" s="5"/>
      <c r="M7697" s="9"/>
    </row>
    <row r="7698" spans="1:13" x14ac:dyDescent="0.25">
      <c r="A7698" s="8"/>
      <c r="C7698" s="5"/>
      <c r="M7698" s="9"/>
    </row>
    <row r="7699" spans="1:13" x14ac:dyDescent="0.25">
      <c r="A7699" s="8"/>
      <c r="C7699" s="5"/>
      <c r="M7699" s="9"/>
    </row>
    <row r="7700" spans="1:13" x14ac:dyDescent="0.25">
      <c r="A7700" s="8"/>
      <c r="C7700" s="5"/>
      <c r="M7700" s="9"/>
    </row>
    <row r="7701" spans="1:13" x14ac:dyDescent="0.25">
      <c r="A7701" s="8"/>
      <c r="C7701" s="5"/>
      <c r="M7701" s="9"/>
    </row>
    <row r="7702" spans="1:13" x14ac:dyDescent="0.25">
      <c r="A7702" s="8"/>
      <c r="C7702" s="5"/>
      <c r="M7702" s="9"/>
    </row>
    <row r="7703" spans="1:13" x14ac:dyDescent="0.25">
      <c r="A7703" s="8"/>
      <c r="C7703" s="5"/>
      <c r="M7703" s="9"/>
    </row>
    <row r="7704" spans="1:13" x14ac:dyDescent="0.25">
      <c r="A7704" s="8"/>
      <c r="C7704" s="5"/>
      <c r="M7704" s="9"/>
    </row>
    <row r="7705" spans="1:13" x14ac:dyDescent="0.25">
      <c r="A7705" s="8"/>
      <c r="C7705" s="5"/>
      <c r="M7705" s="9"/>
    </row>
    <row r="7706" spans="1:13" x14ac:dyDescent="0.25">
      <c r="A7706" s="8"/>
      <c r="C7706" s="5"/>
      <c r="M7706" s="9"/>
    </row>
    <row r="7707" spans="1:13" x14ac:dyDescent="0.25">
      <c r="A7707" s="8"/>
      <c r="C7707" s="5"/>
      <c r="M7707" s="9"/>
    </row>
    <row r="7708" spans="1:13" x14ac:dyDescent="0.25">
      <c r="A7708" s="8"/>
      <c r="C7708" s="5"/>
      <c r="M7708" s="9"/>
    </row>
    <row r="7709" spans="1:13" x14ac:dyDescent="0.25">
      <c r="A7709" s="8"/>
      <c r="C7709" s="5"/>
      <c r="M7709" s="9"/>
    </row>
    <row r="7710" spans="1:13" x14ac:dyDescent="0.25">
      <c r="A7710" s="8"/>
      <c r="C7710" s="5"/>
      <c r="M7710" s="9"/>
    </row>
    <row r="7711" spans="1:13" x14ac:dyDescent="0.25">
      <c r="A7711" s="8"/>
      <c r="C7711" s="5"/>
      <c r="M7711" s="9"/>
    </row>
    <row r="7712" spans="1:13" x14ac:dyDescent="0.25">
      <c r="A7712" s="8"/>
      <c r="C7712" s="5"/>
      <c r="M7712" s="9"/>
    </row>
    <row r="7713" spans="1:13" x14ac:dyDescent="0.25">
      <c r="A7713" s="8"/>
      <c r="C7713" s="5"/>
      <c r="M7713" s="9"/>
    </row>
    <row r="7714" spans="1:13" x14ac:dyDescent="0.25">
      <c r="A7714" s="8"/>
      <c r="C7714" s="5"/>
      <c r="M7714" s="9"/>
    </row>
    <row r="7715" spans="1:13" x14ac:dyDescent="0.25">
      <c r="A7715" s="8"/>
      <c r="C7715" s="5"/>
      <c r="M7715" s="9"/>
    </row>
    <row r="7716" spans="1:13" x14ac:dyDescent="0.25">
      <c r="A7716" s="8"/>
      <c r="C7716" s="5"/>
      <c r="M7716" s="9"/>
    </row>
    <row r="7717" spans="1:13" x14ac:dyDescent="0.25">
      <c r="A7717" s="8"/>
      <c r="C7717" s="5"/>
      <c r="M7717" s="9"/>
    </row>
    <row r="7718" spans="1:13" x14ac:dyDescent="0.25">
      <c r="A7718" s="8"/>
      <c r="C7718" s="5"/>
      <c r="M7718" s="9"/>
    </row>
    <row r="7719" spans="1:13" x14ac:dyDescent="0.25">
      <c r="A7719" s="8"/>
      <c r="C7719" s="5"/>
      <c r="M7719" s="9"/>
    </row>
    <row r="7720" spans="1:13" x14ac:dyDescent="0.25">
      <c r="A7720" s="8"/>
      <c r="C7720" s="5"/>
      <c r="M7720" s="9"/>
    </row>
    <row r="7721" spans="1:13" x14ac:dyDescent="0.25">
      <c r="A7721" s="8"/>
      <c r="C7721" s="5"/>
      <c r="M7721" s="9"/>
    </row>
    <row r="7722" spans="1:13" x14ac:dyDescent="0.25">
      <c r="A7722" s="8"/>
      <c r="C7722" s="5"/>
      <c r="M7722" s="9"/>
    </row>
    <row r="7723" spans="1:13" x14ac:dyDescent="0.25">
      <c r="A7723" s="8"/>
      <c r="C7723" s="5"/>
      <c r="M7723" s="9"/>
    </row>
    <row r="7724" spans="1:13" x14ac:dyDescent="0.25">
      <c r="A7724" s="8"/>
      <c r="C7724" s="5"/>
      <c r="M7724" s="9"/>
    </row>
    <row r="7725" spans="1:13" x14ac:dyDescent="0.25">
      <c r="A7725" s="8"/>
      <c r="C7725" s="5"/>
      <c r="M7725" s="9"/>
    </row>
    <row r="7726" spans="1:13" x14ac:dyDescent="0.25">
      <c r="A7726" s="8"/>
      <c r="C7726" s="5"/>
      <c r="M7726" s="9"/>
    </row>
    <row r="7727" spans="1:13" x14ac:dyDescent="0.25">
      <c r="A7727" s="8"/>
      <c r="C7727" s="5"/>
      <c r="M7727" s="9"/>
    </row>
    <row r="7728" spans="1:13" x14ac:dyDescent="0.25">
      <c r="A7728" s="8"/>
      <c r="C7728" s="5"/>
      <c r="M7728" s="9"/>
    </row>
    <row r="7729" spans="1:13" x14ac:dyDescent="0.25">
      <c r="A7729" s="8"/>
      <c r="C7729" s="5"/>
      <c r="M7729" s="9"/>
    </row>
    <row r="7730" spans="1:13" x14ac:dyDescent="0.25">
      <c r="A7730" s="8"/>
      <c r="C7730" s="5"/>
      <c r="M7730" s="9"/>
    </row>
    <row r="7731" spans="1:13" x14ac:dyDescent="0.25">
      <c r="A7731" s="8"/>
      <c r="C7731" s="5"/>
      <c r="M7731" s="9"/>
    </row>
    <row r="7732" spans="1:13" x14ac:dyDescent="0.25">
      <c r="A7732" s="8"/>
      <c r="C7732" s="5"/>
      <c r="M7732" s="9"/>
    </row>
    <row r="7733" spans="1:13" x14ac:dyDescent="0.25">
      <c r="A7733" s="8"/>
      <c r="C7733" s="5"/>
      <c r="M7733" s="9"/>
    </row>
    <row r="7734" spans="1:13" x14ac:dyDescent="0.25">
      <c r="A7734" s="8"/>
      <c r="C7734" s="5"/>
      <c r="M7734" s="9"/>
    </row>
    <row r="7735" spans="1:13" x14ac:dyDescent="0.25">
      <c r="A7735" s="8"/>
      <c r="C7735" s="5"/>
      <c r="M7735" s="9"/>
    </row>
    <row r="7736" spans="1:13" x14ac:dyDescent="0.25">
      <c r="A7736" s="8"/>
      <c r="C7736" s="5"/>
      <c r="M7736" s="9"/>
    </row>
    <row r="7737" spans="1:13" x14ac:dyDescent="0.25">
      <c r="A7737" s="8"/>
      <c r="C7737" s="5"/>
      <c r="M7737" s="9"/>
    </row>
    <row r="7738" spans="1:13" x14ac:dyDescent="0.25">
      <c r="A7738" s="8"/>
      <c r="C7738" s="5"/>
      <c r="M7738" s="9"/>
    </row>
    <row r="7739" spans="1:13" x14ac:dyDescent="0.25">
      <c r="A7739" s="8"/>
      <c r="C7739" s="5"/>
      <c r="M7739" s="9"/>
    </row>
    <row r="7740" spans="1:13" x14ac:dyDescent="0.25">
      <c r="A7740" s="8"/>
      <c r="C7740" s="5"/>
      <c r="M7740" s="9"/>
    </row>
    <row r="7741" spans="1:13" x14ac:dyDescent="0.25">
      <c r="A7741" s="8"/>
      <c r="C7741" s="5"/>
      <c r="M7741" s="9"/>
    </row>
    <row r="7742" spans="1:13" x14ac:dyDescent="0.25">
      <c r="A7742" s="8"/>
      <c r="C7742" s="5"/>
      <c r="M7742" s="9"/>
    </row>
    <row r="7743" spans="1:13" x14ac:dyDescent="0.25">
      <c r="A7743" s="8"/>
      <c r="C7743" s="5"/>
      <c r="M7743" s="9"/>
    </row>
    <row r="7744" spans="1:13" x14ac:dyDescent="0.25">
      <c r="A7744" s="8"/>
      <c r="C7744" s="5"/>
      <c r="M7744" s="9"/>
    </row>
    <row r="7745" spans="1:13" x14ac:dyDescent="0.25">
      <c r="A7745" s="8"/>
      <c r="C7745" s="5"/>
      <c r="M7745" s="9"/>
    </row>
    <row r="7746" spans="1:13" x14ac:dyDescent="0.25">
      <c r="A7746" s="8"/>
      <c r="C7746" s="5"/>
      <c r="M7746" s="9"/>
    </row>
    <row r="7747" spans="1:13" x14ac:dyDescent="0.25">
      <c r="A7747" s="8"/>
      <c r="C7747" s="5"/>
      <c r="M7747" s="9"/>
    </row>
    <row r="7748" spans="1:13" x14ac:dyDescent="0.25">
      <c r="A7748" s="8"/>
      <c r="C7748" s="5"/>
      <c r="M7748" s="9"/>
    </row>
    <row r="7749" spans="1:13" x14ac:dyDescent="0.25">
      <c r="A7749" s="8"/>
      <c r="C7749" s="5"/>
      <c r="M7749" s="9"/>
    </row>
    <row r="7750" spans="1:13" x14ac:dyDescent="0.25">
      <c r="A7750" s="8"/>
      <c r="C7750" s="5"/>
      <c r="M7750" s="9"/>
    </row>
    <row r="7751" spans="1:13" x14ac:dyDescent="0.25">
      <c r="A7751" s="8"/>
      <c r="C7751" s="5"/>
      <c r="M7751" s="9"/>
    </row>
    <row r="7752" spans="1:13" x14ac:dyDescent="0.25">
      <c r="A7752" s="8"/>
      <c r="C7752" s="5"/>
      <c r="M7752" s="9"/>
    </row>
    <row r="7753" spans="1:13" x14ac:dyDescent="0.25">
      <c r="A7753" s="8"/>
      <c r="C7753" s="5"/>
      <c r="M7753" s="9"/>
    </row>
    <row r="7754" spans="1:13" x14ac:dyDescent="0.25">
      <c r="A7754" s="8"/>
      <c r="C7754" s="5"/>
      <c r="M7754" s="9"/>
    </row>
    <row r="7755" spans="1:13" x14ac:dyDescent="0.25">
      <c r="A7755" s="8"/>
      <c r="C7755" s="5"/>
      <c r="M7755" s="9"/>
    </row>
    <row r="7756" spans="1:13" x14ac:dyDescent="0.25">
      <c r="A7756" s="8"/>
      <c r="C7756" s="5"/>
      <c r="M7756" s="9"/>
    </row>
    <row r="7757" spans="1:13" x14ac:dyDescent="0.25">
      <c r="A7757" s="8"/>
      <c r="C7757" s="5"/>
      <c r="M7757" s="9"/>
    </row>
    <row r="7758" spans="1:13" x14ac:dyDescent="0.25">
      <c r="A7758" s="8"/>
      <c r="C7758" s="5"/>
      <c r="M7758" s="9"/>
    </row>
    <row r="7759" spans="1:13" x14ac:dyDescent="0.25">
      <c r="A7759" s="8"/>
      <c r="C7759" s="5"/>
      <c r="M7759" s="9"/>
    </row>
    <row r="7760" spans="1:13" x14ac:dyDescent="0.25">
      <c r="A7760" s="8"/>
      <c r="C7760" s="5"/>
      <c r="M7760" s="9"/>
    </row>
    <row r="7761" spans="1:13" x14ac:dyDescent="0.25">
      <c r="A7761" s="8"/>
      <c r="C7761" s="5"/>
      <c r="M7761" s="9"/>
    </row>
    <row r="7762" spans="1:13" x14ac:dyDescent="0.25">
      <c r="A7762" s="8"/>
      <c r="C7762" s="5"/>
      <c r="M7762" s="9"/>
    </row>
    <row r="7763" spans="1:13" x14ac:dyDescent="0.25">
      <c r="A7763" s="8"/>
      <c r="C7763" s="5"/>
      <c r="M7763" s="9"/>
    </row>
    <row r="7764" spans="1:13" x14ac:dyDescent="0.25">
      <c r="A7764" s="8"/>
      <c r="C7764" s="5"/>
      <c r="M7764" s="9"/>
    </row>
    <row r="7765" spans="1:13" x14ac:dyDescent="0.25">
      <c r="A7765" s="8"/>
      <c r="C7765" s="5"/>
      <c r="M7765" s="9"/>
    </row>
    <row r="7766" spans="1:13" x14ac:dyDescent="0.25">
      <c r="A7766" s="8"/>
      <c r="C7766" s="5"/>
      <c r="M7766" s="9"/>
    </row>
    <row r="7767" spans="1:13" x14ac:dyDescent="0.25">
      <c r="A7767" s="8"/>
      <c r="C7767" s="5"/>
      <c r="M7767" s="9"/>
    </row>
    <row r="7768" spans="1:13" x14ac:dyDescent="0.25">
      <c r="A7768" s="8"/>
      <c r="C7768" s="5"/>
      <c r="M7768" s="9"/>
    </row>
    <row r="7769" spans="1:13" x14ac:dyDescent="0.25">
      <c r="A7769" s="8"/>
      <c r="C7769" s="5"/>
      <c r="M7769" s="9"/>
    </row>
    <row r="7770" spans="1:13" x14ac:dyDescent="0.25">
      <c r="A7770" s="8"/>
      <c r="C7770" s="5"/>
      <c r="M7770" s="9"/>
    </row>
    <row r="7771" spans="1:13" x14ac:dyDescent="0.25">
      <c r="A7771" s="8"/>
      <c r="C7771" s="5"/>
      <c r="M7771" s="9"/>
    </row>
    <row r="7772" spans="1:13" x14ac:dyDescent="0.25">
      <c r="A7772" s="8"/>
      <c r="C7772" s="5"/>
      <c r="M7772" s="9"/>
    </row>
    <row r="7773" spans="1:13" x14ac:dyDescent="0.25">
      <c r="A7773" s="8"/>
      <c r="C7773" s="5"/>
      <c r="M7773" s="9"/>
    </row>
    <row r="7774" spans="1:13" x14ac:dyDescent="0.25">
      <c r="A7774" s="8"/>
      <c r="C7774" s="5"/>
      <c r="M7774" s="9"/>
    </row>
    <row r="7775" spans="1:13" x14ac:dyDescent="0.25">
      <c r="A7775" s="8"/>
      <c r="C7775" s="5"/>
      <c r="M7775" s="9"/>
    </row>
    <row r="7776" spans="1:13" x14ac:dyDescent="0.25">
      <c r="A7776" s="8"/>
      <c r="C7776" s="5"/>
      <c r="M7776" s="9"/>
    </row>
    <row r="7777" spans="1:13" x14ac:dyDescent="0.25">
      <c r="A7777" s="8"/>
      <c r="C7777" s="5"/>
      <c r="M7777" s="9"/>
    </row>
    <row r="7778" spans="1:13" x14ac:dyDescent="0.25">
      <c r="A7778" s="8"/>
      <c r="C7778" s="5"/>
      <c r="M7778" s="9"/>
    </row>
    <row r="7779" spans="1:13" x14ac:dyDescent="0.25">
      <c r="A7779" s="8"/>
      <c r="C7779" s="5"/>
      <c r="M7779" s="9"/>
    </row>
    <row r="7780" spans="1:13" x14ac:dyDescent="0.25">
      <c r="A7780" s="8"/>
      <c r="C7780" s="5"/>
      <c r="M7780" s="9"/>
    </row>
    <row r="7781" spans="1:13" x14ac:dyDescent="0.25">
      <c r="A7781" s="8"/>
      <c r="C7781" s="5"/>
      <c r="M7781" s="9"/>
    </row>
    <row r="7782" spans="1:13" x14ac:dyDescent="0.25">
      <c r="A7782" s="8"/>
      <c r="C7782" s="5"/>
      <c r="M7782" s="9"/>
    </row>
    <row r="7783" spans="1:13" x14ac:dyDescent="0.25">
      <c r="A7783" s="8"/>
      <c r="C7783" s="5"/>
      <c r="M7783" s="9"/>
    </row>
    <row r="7784" spans="1:13" x14ac:dyDescent="0.25">
      <c r="A7784" s="8"/>
      <c r="C7784" s="5"/>
      <c r="M7784" s="9"/>
    </row>
    <row r="7785" spans="1:13" x14ac:dyDescent="0.25">
      <c r="A7785" s="8"/>
      <c r="C7785" s="5"/>
      <c r="M7785" s="9"/>
    </row>
    <row r="7786" spans="1:13" x14ac:dyDescent="0.25">
      <c r="A7786" s="8"/>
      <c r="C7786" s="5"/>
      <c r="M7786" s="9"/>
    </row>
    <row r="7787" spans="1:13" x14ac:dyDescent="0.25">
      <c r="A7787" s="8"/>
      <c r="C7787" s="5"/>
      <c r="M7787" s="9"/>
    </row>
    <row r="7788" spans="1:13" x14ac:dyDescent="0.25">
      <c r="A7788" s="8"/>
      <c r="C7788" s="5"/>
      <c r="M7788" s="9"/>
    </row>
    <row r="7789" spans="1:13" x14ac:dyDescent="0.25">
      <c r="A7789" s="8"/>
      <c r="C7789" s="5"/>
      <c r="M7789" s="9"/>
    </row>
    <row r="7790" spans="1:13" x14ac:dyDescent="0.25">
      <c r="A7790" s="8"/>
      <c r="C7790" s="5"/>
      <c r="M7790" s="9"/>
    </row>
    <row r="7791" spans="1:13" x14ac:dyDescent="0.25">
      <c r="A7791" s="8"/>
      <c r="C7791" s="5"/>
      <c r="M7791" s="9"/>
    </row>
    <row r="7792" spans="1:13" x14ac:dyDescent="0.25">
      <c r="A7792" s="8"/>
      <c r="C7792" s="5"/>
      <c r="M7792" s="9"/>
    </row>
    <row r="7793" spans="1:13" x14ac:dyDescent="0.25">
      <c r="A7793" s="8"/>
      <c r="C7793" s="5"/>
      <c r="M7793" s="9"/>
    </row>
    <row r="7794" spans="1:13" x14ac:dyDescent="0.25">
      <c r="A7794" s="8"/>
      <c r="C7794" s="5"/>
      <c r="M7794" s="9"/>
    </row>
    <row r="7795" spans="1:13" x14ac:dyDescent="0.25">
      <c r="A7795" s="8"/>
      <c r="C7795" s="5"/>
      <c r="M7795" s="9"/>
    </row>
    <row r="7796" spans="1:13" x14ac:dyDescent="0.25">
      <c r="A7796" s="8"/>
      <c r="C7796" s="5"/>
      <c r="M7796" s="9"/>
    </row>
    <row r="7797" spans="1:13" x14ac:dyDescent="0.25">
      <c r="A7797" s="8"/>
      <c r="C7797" s="5"/>
      <c r="M7797" s="9"/>
    </row>
    <row r="7798" spans="1:13" x14ac:dyDescent="0.25">
      <c r="A7798" s="8"/>
      <c r="C7798" s="5"/>
      <c r="M7798" s="9"/>
    </row>
    <row r="7799" spans="1:13" x14ac:dyDescent="0.25">
      <c r="A7799" s="8"/>
      <c r="C7799" s="5"/>
      <c r="M7799" s="9"/>
    </row>
    <row r="7800" spans="1:13" x14ac:dyDescent="0.25">
      <c r="A7800" s="8"/>
      <c r="C7800" s="5"/>
      <c r="M7800" s="9"/>
    </row>
    <row r="7801" spans="1:13" x14ac:dyDescent="0.25">
      <c r="A7801" s="8"/>
      <c r="C7801" s="5"/>
      <c r="M7801" s="9"/>
    </row>
    <row r="7802" spans="1:13" x14ac:dyDescent="0.25">
      <c r="A7802" s="8"/>
      <c r="C7802" s="5"/>
      <c r="M7802" s="9"/>
    </row>
    <row r="7803" spans="1:13" x14ac:dyDescent="0.25">
      <c r="A7803" s="8"/>
      <c r="C7803" s="5"/>
      <c r="M7803" s="9"/>
    </row>
    <row r="7804" spans="1:13" x14ac:dyDescent="0.25">
      <c r="A7804" s="8"/>
      <c r="C7804" s="5"/>
      <c r="M7804" s="9"/>
    </row>
    <row r="7805" spans="1:13" x14ac:dyDescent="0.25">
      <c r="A7805" s="8"/>
      <c r="C7805" s="5"/>
      <c r="M7805" s="9"/>
    </row>
    <row r="7806" spans="1:13" x14ac:dyDescent="0.25">
      <c r="A7806" s="8"/>
      <c r="C7806" s="5"/>
      <c r="M7806" s="9"/>
    </row>
    <row r="7807" spans="1:13" x14ac:dyDescent="0.25">
      <c r="A7807" s="8"/>
      <c r="C7807" s="5"/>
      <c r="M7807" s="9"/>
    </row>
    <row r="7808" spans="1:13" x14ac:dyDescent="0.25">
      <c r="A7808" s="8"/>
      <c r="C7808" s="5"/>
      <c r="M7808" s="9"/>
    </row>
    <row r="7809" spans="1:13" x14ac:dyDescent="0.25">
      <c r="A7809" s="8"/>
      <c r="C7809" s="5"/>
      <c r="M7809" s="9"/>
    </row>
    <row r="7810" spans="1:13" x14ac:dyDescent="0.25">
      <c r="A7810" s="8"/>
      <c r="C7810" s="5"/>
      <c r="M7810" s="9"/>
    </row>
    <row r="7811" spans="1:13" x14ac:dyDescent="0.25">
      <c r="A7811" s="8"/>
      <c r="C7811" s="5"/>
      <c r="M7811" s="9"/>
    </row>
    <row r="7812" spans="1:13" x14ac:dyDescent="0.25">
      <c r="A7812" s="8"/>
      <c r="C7812" s="5"/>
      <c r="M7812" s="9"/>
    </row>
    <row r="7813" spans="1:13" x14ac:dyDescent="0.25">
      <c r="A7813" s="8"/>
      <c r="C7813" s="5"/>
      <c r="M7813" s="9"/>
    </row>
    <row r="7814" spans="1:13" x14ac:dyDescent="0.25">
      <c r="A7814" s="8"/>
      <c r="C7814" s="5"/>
      <c r="M7814" s="9"/>
    </row>
    <row r="7815" spans="1:13" x14ac:dyDescent="0.25">
      <c r="A7815" s="8"/>
      <c r="C7815" s="5"/>
      <c r="M7815" s="9"/>
    </row>
    <row r="7816" spans="1:13" x14ac:dyDescent="0.25">
      <c r="A7816" s="8"/>
      <c r="C7816" s="5"/>
      <c r="M7816" s="9"/>
    </row>
    <row r="7817" spans="1:13" x14ac:dyDescent="0.25">
      <c r="A7817" s="8"/>
      <c r="C7817" s="5"/>
      <c r="M7817" s="9"/>
    </row>
    <row r="7818" spans="1:13" x14ac:dyDescent="0.25">
      <c r="A7818" s="8"/>
      <c r="C7818" s="5"/>
      <c r="M7818" s="9"/>
    </row>
    <row r="7819" spans="1:13" x14ac:dyDescent="0.25">
      <c r="A7819" s="8"/>
      <c r="C7819" s="5"/>
      <c r="M7819" s="9"/>
    </row>
    <row r="7820" spans="1:13" x14ac:dyDescent="0.25">
      <c r="A7820" s="8"/>
      <c r="C7820" s="5"/>
      <c r="M7820" s="9"/>
    </row>
    <row r="7821" spans="1:13" x14ac:dyDescent="0.25">
      <c r="A7821" s="8"/>
      <c r="C7821" s="5"/>
      <c r="M7821" s="9"/>
    </row>
    <row r="7822" spans="1:13" x14ac:dyDescent="0.25">
      <c r="A7822" s="8"/>
      <c r="C7822" s="5"/>
      <c r="M7822" s="9"/>
    </row>
    <row r="7823" spans="1:13" x14ac:dyDescent="0.25">
      <c r="A7823" s="8"/>
      <c r="C7823" s="5"/>
      <c r="M7823" s="9"/>
    </row>
    <row r="7824" spans="1:13" x14ac:dyDescent="0.25">
      <c r="A7824" s="8"/>
      <c r="C7824" s="5"/>
      <c r="M7824" s="9"/>
    </row>
    <row r="7825" spans="1:13" x14ac:dyDescent="0.25">
      <c r="A7825" s="8"/>
      <c r="C7825" s="5"/>
      <c r="M7825" s="9"/>
    </row>
    <row r="7826" spans="1:13" x14ac:dyDescent="0.25">
      <c r="A7826" s="8"/>
      <c r="C7826" s="5"/>
      <c r="M7826" s="9"/>
    </row>
    <row r="7827" spans="1:13" x14ac:dyDescent="0.25">
      <c r="A7827" s="8"/>
      <c r="C7827" s="5"/>
      <c r="M7827" s="9"/>
    </row>
    <row r="7828" spans="1:13" x14ac:dyDescent="0.25">
      <c r="A7828" s="8"/>
      <c r="C7828" s="5"/>
      <c r="M7828" s="9"/>
    </row>
    <row r="7829" spans="1:13" x14ac:dyDescent="0.25">
      <c r="A7829" s="8"/>
      <c r="C7829" s="5"/>
      <c r="M7829" s="9"/>
    </row>
    <row r="7830" spans="1:13" x14ac:dyDescent="0.25">
      <c r="A7830" s="8"/>
      <c r="C7830" s="5"/>
      <c r="M7830" s="9"/>
    </row>
    <row r="7831" spans="1:13" x14ac:dyDescent="0.25">
      <c r="A7831" s="8"/>
      <c r="C7831" s="5"/>
      <c r="M7831" s="9"/>
    </row>
    <row r="7832" spans="1:13" x14ac:dyDescent="0.25">
      <c r="A7832" s="8"/>
      <c r="C7832" s="5"/>
      <c r="M7832" s="9"/>
    </row>
    <row r="7833" spans="1:13" x14ac:dyDescent="0.25">
      <c r="A7833" s="8"/>
      <c r="C7833" s="5"/>
      <c r="M7833" s="9"/>
    </row>
    <row r="7834" spans="1:13" x14ac:dyDescent="0.25">
      <c r="A7834" s="8"/>
      <c r="C7834" s="5"/>
      <c r="M7834" s="9"/>
    </row>
    <row r="7835" spans="1:13" x14ac:dyDescent="0.25">
      <c r="A7835" s="8"/>
      <c r="C7835" s="5"/>
      <c r="M7835" s="9"/>
    </row>
    <row r="7836" spans="1:13" x14ac:dyDescent="0.25">
      <c r="A7836" s="8"/>
      <c r="C7836" s="5"/>
      <c r="M7836" s="9"/>
    </row>
    <row r="7837" spans="1:13" x14ac:dyDescent="0.25">
      <c r="A7837" s="8"/>
      <c r="C7837" s="5"/>
      <c r="M7837" s="9"/>
    </row>
    <row r="7838" spans="1:13" x14ac:dyDescent="0.25">
      <c r="A7838" s="8"/>
      <c r="C7838" s="5"/>
      <c r="M7838" s="9"/>
    </row>
    <row r="7839" spans="1:13" x14ac:dyDescent="0.25">
      <c r="A7839" s="8"/>
      <c r="C7839" s="5"/>
      <c r="M7839" s="9"/>
    </row>
    <row r="7840" spans="1:13" x14ac:dyDescent="0.25">
      <c r="A7840" s="8"/>
      <c r="C7840" s="5"/>
      <c r="M7840" s="9"/>
    </row>
    <row r="7841" spans="1:13" x14ac:dyDescent="0.25">
      <c r="A7841" s="8"/>
      <c r="C7841" s="5"/>
      <c r="M7841" s="9"/>
    </row>
    <row r="7842" spans="1:13" x14ac:dyDescent="0.25">
      <c r="A7842" s="8"/>
      <c r="C7842" s="5"/>
      <c r="M7842" s="9"/>
    </row>
    <row r="7843" spans="1:13" x14ac:dyDescent="0.25">
      <c r="A7843" s="8"/>
      <c r="C7843" s="5"/>
      <c r="M7843" s="9"/>
    </row>
    <row r="7844" spans="1:13" x14ac:dyDescent="0.25">
      <c r="A7844" s="8"/>
      <c r="C7844" s="5"/>
      <c r="M7844" s="9"/>
    </row>
    <row r="7845" spans="1:13" x14ac:dyDescent="0.25">
      <c r="A7845" s="8"/>
      <c r="C7845" s="5"/>
      <c r="M7845" s="9"/>
    </row>
    <row r="7846" spans="1:13" x14ac:dyDescent="0.25">
      <c r="A7846" s="8"/>
      <c r="C7846" s="5"/>
      <c r="M7846" s="9"/>
    </row>
    <row r="7847" spans="1:13" x14ac:dyDescent="0.25">
      <c r="A7847" s="8"/>
      <c r="C7847" s="5"/>
      <c r="M7847" s="9"/>
    </row>
    <row r="7848" spans="1:13" x14ac:dyDescent="0.25">
      <c r="A7848" s="8"/>
      <c r="C7848" s="5"/>
      <c r="M7848" s="9"/>
    </row>
    <row r="7849" spans="1:13" x14ac:dyDescent="0.25">
      <c r="A7849" s="8"/>
      <c r="C7849" s="5"/>
      <c r="M7849" s="9"/>
    </row>
    <row r="7850" spans="1:13" x14ac:dyDescent="0.25">
      <c r="A7850" s="8"/>
      <c r="C7850" s="5"/>
      <c r="M7850" s="9"/>
    </row>
    <row r="7851" spans="1:13" x14ac:dyDescent="0.25">
      <c r="A7851" s="8"/>
      <c r="C7851" s="5"/>
      <c r="M7851" s="9"/>
    </row>
    <row r="7852" spans="1:13" x14ac:dyDescent="0.25">
      <c r="A7852" s="8"/>
      <c r="C7852" s="5"/>
      <c r="M7852" s="9"/>
    </row>
    <row r="7853" spans="1:13" x14ac:dyDescent="0.25">
      <c r="A7853" s="8"/>
      <c r="C7853" s="5"/>
      <c r="M7853" s="9"/>
    </row>
    <row r="7854" spans="1:13" x14ac:dyDescent="0.25">
      <c r="A7854" s="8"/>
      <c r="C7854" s="5"/>
      <c r="M7854" s="9"/>
    </row>
    <row r="7855" spans="1:13" x14ac:dyDescent="0.25">
      <c r="A7855" s="8"/>
      <c r="C7855" s="5"/>
      <c r="M7855" s="9"/>
    </row>
    <row r="7856" spans="1:13" x14ac:dyDescent="0.25">
      <c r="A7856" s="8"/>
      <c r="C7856" s="5"/>
      <c r="M7856" s="9"/>
    </row>
    <row r="7857" spans="1:13" x14ac:dyDescent="0.25">
      <c r="A7857" s="8"/>
      <c r="C7857" s="5"/>
      <c r="M7857" s="9"/>
    </row>
    <row r="7858" spans="1:13" x14ac:dyDescent="0.25">
      <c r="A7858" s="8"/>
      <c r="C7858" s="5"/>
      <c r="M7858" s="9"/>
    </row>
    <row r="7859" spans="1:13" x14ac:dyDescent="0.25">
      <c r="A7859" s="8"/>
      <c r="C7859" s="5"/>
      <c r="M7859" s="9"/>
    </row>
    <row r="7860" spans="1:13" x14ac:dyDescent="0.25">
      <c r="A7860" s="8"/>
      <c r="C7860" s="5"/>
      <c r="M7860" s="9"/>
    </row>
    <row r="7861" spans="1:13" x14ac:dyDescent="0.25">
      <c r="A7861" s="8"/>
      <c r="C7861" s="5"/>
      <c r="M7861" s="9"/>
    </row>
    <row r="7862" spans="1:13" x14ac:dyDescent="0.25">
      <c r="A7862" s="8"/>
      <c r="C7862" s="5"/>
      <c r="M7862" s="9"/>
    </row>
    <row r="7863" spans="1:13" x14ac:dyDescent="0.25">
      <c r="A7863" s="8"/>
      <c r="C7863" s="5"/>
      <c r="M7863" s="9"/>
    </row>
    <row r="7864" spans="1:13" x14ac:dyDescent="0.25">
      <c r="A7864" s="8"/>
      <c r="C7864" s="5"/>
      <c r="M7864" s="9"/>
    </row>
    <row r="7865" spans="1:13" x14ac:dyDescent="0.25">
      <c r="A7865" s="8"/>
      <c r="C7865" s="5"/>
      <c r="M7865" s="9"/>
    </row>
    <row r="7866" spans="1:13" x14ac:dyDescent="0.25">
      <c r="A7866" s="8"/>
      <c r="C7866" s="5"/>
      <c r="M7866" s="9"/>
    </row>
    <row r="7867" spans="1:13" x14ac:dyDescent="0.25">
      <c r="A7867" s="8"/>
      <c r="C7867" s="5"/>
      <c r="M7867" s="9"/>
    </row>
    <row r="7868" spans="1:13" x14ac:dyDescent="0.25">
      <c r="A7868" s="8"/>
      <c r="C7868" s="5"/>
      <c r="M7868" s="9"/>
    </row>
    <row r="7869" spans="1:13" x14ac:dyDescent="0.25">
      <c r="A7869" s="8"/>
      <c r="C7869" s="5"/>
      <c r="M7869" s="9"/>
    </row>
    <row r="7870" spans="1:13" x14ac:dyDescent="0.25">
      <c r="A7870" s="8"/>
      <c r="C7870" s="5"/>
      <c r="M7870" s="9"/>
    </row>
    <row r="7871" spans="1:13" x14ac:dyDescent="0.25">
      <c r="A7871" s="8"/>
      <c r="C7871" s="5"/>
      <c r="M7871" s="9"/>
    </row>
    <row r="7872" spans="1:13" x14ac:dyDescent="0.25">
      <c r="A7872" s="8"/>
      <c r="C7872" s="5"/>
      <c r="M7872" s="9"/>
    </row>
    <row r="7873" spans="1:13" x14ac:dyDescent="0.25">
      <c r="A7873" s="8"/>
      <c r="C7873" s="5"/>
      <c r="M7873" s="9"/>
    </row>
    <row r="7874" spans="1:13" x14ac:dyDescent="0.25">
      <c r="A7874" s="8"/>
      <c r="C7874" s="5"/>
      <c r="M7874" s="9"/>
    </row>
    <row r="7875" spans="1:13" x14ac:dyDescent="0.25">
      <c r="A7875" s="8"/>
      <c r="C7875" s="5"/>
      <c r="M7875" s="9"/>
    </row>
    <row r="7876" spans="1:13" x14ac:dyDescent="0.25">
      <c r="A7876" s="8"/>
      <c r="C7876" s="5"/>
      <c r="M7876" s="9"/>
    </row>
    <row r="7877" spans="1:13" x14ac:dyDescent="0.25">
      <c r="A7877" s="8"/>
      <c r="C7877" s="5"/>
      <c r="M7877" s="9"/>
    </row>
    <row r="7878" spans="1:13" x14ac:dyDescent="0.25">
      <c r="A7878" s="8"/>
      <c r="C7878" s="5"/>
      <c r="M7878" s="9"/>
    </row>
    <row r="7879" spans="1:13" x14ac:dyDescent="0.25">
      <c r="A7879" s="8"/>
      <c r="C7879" s="5"/>
      <c r="M7879" s="9"/>
    </row>
    <row r="7880" spans="1:13" x14ac:dyDescent="0.25">
      <c r="A7880" s="8"/>
      <c r="C7880" s="5"/>
      <c r="M7880" s="9"/>
    </row>
    <row r="7881" spans="1:13" x14ac:dyDescent="0.25">
      <c r="A7881" s="8"/>
      <c r="C7881" s="5"/>
      <c r="M7881" s="9"/>
    </row>
    <row r="7882" spans="1:13" x14ac:dyDescent="0.25">
      <c r="A7882" s="8"/>
      <c r="C7882" s="5"/>
      <c r="M7882" s="9"/>
    </row>
    <row r="7883" spans="1:13" x14ac:dyDescent="0.25">
      <c r="A7883" s="8"/>
      <c r="C7883" s="5"/>
      <c r="M7883" s="9"/>
    </row>
    <row r="7884" spans="1:13" x14ac:dyDescent="0.25">
      <c r="A7884" s="8"/>
      <c r="C7884" s="5"/>
      <c r="M7884" s="9"/>
    </row>
    <row r="7885" spans="1:13" x14ac:dyDescent="0.25">
      <c r="A7885" s="8"/>
      <c r="C7885" s="5"/>
      <c r="M7885" s="9"/>
    </row>
    <row r="7886" spans="1:13" x14ac:dyDescent="0.25">
      <c r="A7886" s="8"/>
      <c r="C7886" s="5"/>
      <c r="M7886" s="9"/>
    </row>
    <row r="7887" spans="1:13" x14ac:dyDescent="0.25">
      <c r="A7887" s="8"/>
      <c r="C7887" s="5"/>
      <c r="M7887" s="9"/>
    </row>
    <row r="7888" spans="1:13" x14ac:dyDescent="0.25">
      <c r="A7888" s="8"/>
      <c r="C7888" s="5"/>
      <c r="M7888" s="9"/>
    </row>
    <row r="7889" spans="1:13" x14ac:dyDescent="0.25">
      <c r="A7889" s="8"/>
      <c r="C7889" s="5"/>
      <c r="M7889" s="9"/>
    </row>
    <row r="7890" spans="1:13" x14ac:dyDescent="0.25">
      <c r="A7890" s="8"/>
      <c r="C7890" s="5"/>
      <c r="M7890" s="9"/>
    </row>
    <row r="7891" spans="1:13" x14ac:dyDescent="0.25">
      <c r="A7891" s="8"/>
      <c r="C7891" s="5"/>
      <c r="M7891" s="9"/>
    </row>
    <row r="7892" spans="1:13" x14ac:dyDescent="0.25">
      <c r="A7892" s="8"/>
      <c r="C7892" s="5"/>
      <c r="M7892" s="9"/>
    </row>
    <row r="7893" spans="1:13" x14ac:dyDescent="0.25">
      <c r="A7893" s="8"/>
      <c r="C7893" s="5"/>
      <c r="M7893" s="9"/>
    </row>
    <row r="7894" spans="1:13" x14ac:dyDescent="0.25">
      <c r="A7894" s="8"/>
      <c r="C7894" s="5"/>
      <c r="M7894" s="9"/>
    </row>
    <row r="7895" spans="1:13" x14ac:dyDescent="0.25">
      <c r="A7895" s="8"/>
      <c r="C7895" s="5"/>
      <c r="M7895" s="9"/>
    </row>
    <row r="7896" spans="1:13" x14ac:dyDescent="0.25">
      <c r="A7896" s="8"/>
      <c r="C7896" s="5"/>
      <c r="M7896" s="9"/>
    </row>
    <row r="7897" spans="1:13" x14ac:dyDescent="0.25">
      <c r="A7897" s="8"/>
      <c r="C7897" s="5"/>
      <c r="M7897" s="9"/>
    </row>
    <row r="7898" spans="1:13" x14ac:dyDescent="0.25">
      <c r="A7898" s="8"/>
      <c r="C7898" s="5"/>
      <c r="M7898" s="9"/>
    </row>
    <row r="7899" spans="1:13" x14ac:dyDescent="0.25">
      <c r="A7899" s="8"/>
      <c r="C7899" s="5"/>
      <c r="M7899" s="9"/>
    </row>
    <row r="7900" spans="1:13" x14ac:dyDescent="0.25">
      <c r="A7900" s="8"/>
      <c r="C7900" s="5"/>
      <c r="M7900" s="9"/>
    </row>
    <row r="7901" spans="1:13" x14ac:dyDescent="0.25">
      <c r="A7901" s="8"/>
      <c r="C7901" s="5"/>
      <c r="M7901" s="9"/>
    </row>
    <row r="7902" spans="1:13" x14ac:dyDescent="0.25">
      <c r="A7902" s="8"/>
      <c r="C7902" s="5"/>
      <c r="M7902" s="9"/>
    </row>
    <row r="7903" spans="1:13" x14ac:dyDescent="0.25">
      <c r="A7903" s="8"/>
      <c r="C7903" s="5"/>
      <c r="M7903" s="9"/>
    </row>
    <row r="7904" spans="1:13" x14ac:dyDescent="0.25">
      <c r="A7904" s="8"/>
      <c r="C7904" s="5"/>
      <c r="M7904" s="9"/>
    </row>
    <row r="7905" spans="1:13" x14ac:dyDescent="0.25">
      <c r="A7905" s="8"/>
      <c r="C7905" s="5"/>
      <c r="M7905" s="9"/>
    </row>
    <row r="7906" spans="1:13" x14ac:dyDescent="0.25">
      <c r="A7906" s="8"/>
      <c r="C7906" s="5"/>
      <c r="M7906" s="9"/>
    </row>
    <row r="7907" spans="1:13" x14ac:dyDescent="0.25">
      <c r="A7907" s="8"/>
      <c r="C7907" s="5"/>
      <c r="M7907" s="9"/>
    </row>
    <row r="7908" spans="1:13" x14ac:dyDescent="0.25">
      <c r="A7908" s="8"/>
      <c r="C7908" s="5"/>
      <c r="M7908" s="9"/>
    </row>
    <row r="7909" spans="1:13" x14ac:dyDescent="0.25">
      <c r="A7909" s="8"/>
      <c r="C7909" s="5"/>
      <c r="M7909" s="9"/>
    </row>
    <row r="7910" spans="1:13" x14ac:dyDescent="0.25">
      <c r="A7910" s="8"/>
      <c r="C7910" s="5"/>
      <c r="M7910" s="9"/>
    </row>
    <row r="7911" spans="1:13" x14ac:dyDescent="0.25">
      <c r="A7911" s="8"/>
      <c r="C7911" s="5"/>
      <c r="M7911" s="9"/>
    </row>
    <row r="7912" spans="1:13" x14ac:dyDescent="0.25">
      <c r="A7912" s="8"/>
      <c r="C7912" s="5"/>
      <c r="M7912" s="9"/>
    </row>
    <row r="7913" spans="1:13" x14ac:dyDescent="0.25">
      <c r="A7913" s="8"/>
      <c r="C7913" s="5"/>
      <c r="M7913" s="9"/>
    </row>
    <row r="7914" spans="1:13" x14ac:dyDescent="0.25">
      <c r="A7914" s="8"/>
      <c r="C7914" s="5"/>
      <c r="M7914" s="9"/>
    </row>
    <row r="7915" spans="1:13" x14ac:dyDescent="0.25">
      <c r="A7915" s="8"/>
      <c r="C7915" s="5"/>
      <c r="M7915" s="9"/>
    </row>
    <row r="7916" spans="1:13" x14ac:dyDescent="0.25">
      <c r="A7916" s="8"/>
      <c r="C7916" s="5"/>
      <c r="M7916" s="9"/>
    </row>
    <row r="7917" spans="1:13" x14ac:dyDescent="0.25">
      <c r="A7917" s="8"/>
      <c r="C7917" s="5"/>
      <c r="M7917" s="9"/>
    </row>
    <row r="7918" spans="1:13" x14ac:dyDescent="0.25">
      <c r="A7918" s="8"/>
      <c r="C7918" s="5"/>
      <c r="M7918" s="9"/>
    </row>
    <row r="7919" spans="1:13" x14ac:dyDescent="0.25">
      <c r="A7919" s="8"/>
      <c r="C7919" s="5"/>
      <c r="M7919" s="9"/>
    </row>
    <row r="7920" spans="1:13" x14ac:dyDescent="0.25">
      <c r="A7920" s="8"/>
      <c r="C7920" s="5"/>
      <c r="M7920" s="9"/>
    </row>
    <row r="7921" spans="1:13" x14ac:dyDescent="0.25">
      <c r="A7921" s="8"/>
      <c r="C7921" s="5"/>
      <c r="M7921" s="9"/>
    </row>
    <row r="7922" spans="1:13" x14ac:dyDescent="0.25">
      <c r="A7922" s="8"/>
      <c r="C7922" s="5"/>
      <c r="M7922" s="9"/>
    </row>
    <row r="7923" spans="1:13" x14ac:dyDescent="0.25">
      <c r="A7923" s="8"/>
      <c r="C7923" s="5"/>
      <c r="M7923" s="9"/>
    </row>
    <row r="7924" spans="1:13" x14ac:dyDescent="0.25">
      <c r="A7924" s="8"/>
      <c r="C7924" s="5"/>
      <c r="M7924" s="9"/>
    </row>
    <row r="7925" spans="1:13" x14ac:dyDescent="0.25">
      <c r="A7925" s="8"/>
      <c r="C7925" s="5"/>
      <c r="M7925" s="9"/>
    </row>
    <row r="7926" spans="1:13" x14ac:dyDescent="0.25">
      <c r="A7926" s="8"/>
      <c r="C7926" s="5"/>
      <c r="M7926" s="9"/>
    </row>
    <row r="7927" spans="1:13" x14ac:dyDescent="0.25">
      <c r="A7927" s="8"/>
      <c r="C7927" s="5"/>
      <c r="M7927" s="9"/>
    </row>
    <row r="7928" spans="1:13" x14ac:dyDescent="0.25">
      <c r="A7928" s="8"/>
      <c r="C7928" s="5"/>
      <c r="M7928" s="9"/>
    </row>
    <row r="7929" spans="1:13" x14ac:dyDescent="0.25">
      <c r="A7929" s="8"/>
      <c r="C7929" s="5"/>
      <c r="M7929" s="9"/>
    </row>
    <row r="7930" spans="1:13" x14ac:dyDescent="0.25">
      <c r="A7930" s="8"/>
      <c r="C7930" s="5"/>
      <c r="M7930" s="9"/>
    </row>
    <row r="7931" spans="1:13" x14ac:dyDescent="0.25">
      <c r="A7931" s="8"/>
      <c r="C7931" s="5"/>
      <c r="M7931" s="9"/>
    </row>
    <row r="7932" spans="1:13" x14ac:dyDescent="0.25">
      <c r="A7932" s="8"/>
      <c r="C7932" s="5"/>
      <c r="M7932" s="9"/>
    </row>
    <row r="7933" spans="1:13" x14ac:dyDescent="0.25">
      <c r="A7933" s="8"/>
      <c r="C7933" s="5"/>
      <c r="M7933" s="9"/>
    </row>
    <row r="7934" spans="1:13" x14ac:dyDescent="0.25">
      <c r="A7934" s="8"/>
      <c r="C7934" s="5"/>
      <c r="M7934" s="9"/>
    </row>
    <row r="7935" spans="1:13" x14ac:dyDescent="0.25">
      <c r="A7935" s="8"/>
      <c r="C7935" s="5"/>
      <c r="M7935" s="9"/>
    </row>
    <row r="7936" spans="1:13" x14ac:dyDescent="0.25">
      <c r="A7936" s="8"/>
      <c r="C7936" s="5"/>
      <c r="M7936" s="9"/>
    </row>
    <row r="7937" spans="1:13" x14ac:dyDescent="0.25">
      <c r="A7937" s="8"/>
      <c r="C7937" s="5"/>
      <c r="M7937" s="9"/>
    </row>
    <row r="7938" spans="1:13" x14ac:dyDescent="0.25">
      <c r="A7938" s="8"/>
      <c r="C7938" s="5"/>
      <c r="M7938" s="9"/>
    </row>
    <row r="7939" spans="1:13" x14ac:dyDescent="0.25">
      <c r="A7939" s="8"/>
      <c r="C7939" s="5"/>
      <c r="M7939" s="9"/>
    </row>
    <row r="7940" spans="1:13" x14ac:dyDescent="0.25">
      <c r="A7940" s="8"/>
      <c r="C7940" s="5"/>
      <c r="M7940" s="9"/>
    </row>
    <row r="7941" spans="1:13" x14ac:dyDescent="0.25">
      <c r="A7941" s="8"/>
      <c r="C7941" s="5"/>
      <c r="M7941" s="9"/>
    </row>
    <row r="7942" spans="1:13" x14ac:dyDescent="0.25">
      <c r="A7942" s="8"/>
      <c r="C7942" s="5"/>
      <c r="M7942" s="9"/>
    </row>
    <row r="7943" spans="1:13" x14ac:dyDescent="0.25">
      <c r="A7943" s="8"/>
      <c r="C7943" s="5"/>
      <c r="M7943" s="9"/>
    </row>
    <row r="7944" spans="1:13" x14ac:dyDescent="0.25">
      <c r="A7944" s="8"/>
      <c r="C7944" s="5"/>
      <c r="M7944" s="9"/>
    </row>
    <row r="7945" spans="1:13" x14ac:dyDescent="0.25">
      <c r="A7945" s="8"/>
      <c r="C7945" s="5"/>
      <c r="M7945" s="9"/>
    </row>
    <row r="7946" spans="1:13" x14ac:dyDescent="0.25">
      <c r="A7946" s="8"/>
      <c r="C7946" s="5"/>
      <c r="M7946" s="9"/>
    </row>
    <row r="7947" spans="1:13" x14ac:dyDescent="0.25">
      <c r="A7947" s="8"/>
      <c r="C7947" s="5"/>
      <c r="M7947" s="9"/>
    </row>
    <row r="7948" spans="1:13" x14ac:dyDescent="0.25">
      <c r="A7948" s="8"/>
      <c r="C7948" s="5"/>
      <c r="M7948" s="9"/>
    </row>
    <row r="7949" spans="1:13" x14ac:dyDescent="0.25">
      <c r="A7949" s="8"/>
      <c r="C7949" s="5"/>
      <c r="M7949" s="9"/>
    </row>
    <row r="7950" spans="1:13" x14ac:dyDescent="0.25">
      <c r="A7950" s="8"/>
      <c r="C7950" s="5"/>
      <c r="M7950" s="9"/>
    </row>
    <row r="7951" spans="1:13" x14ac:dyDescent="0.25">
      <c r="A7951" s="8"/>
      <c r="C7951" s="5"/>
      <c r="M7951" s="9"/>
    </row>
    <row r="7952" spans="1:13" x14ac:dyDescent="0.25">
      <c r="A7952" s="8"/>
      <c r="C7952" s="5"/>
      <c r="M7952" s="9"/>
    </row>
    <row r="7953" spans="1:13" x14ac:dyDescent="0.25">
      <c r="A7953" s="8"/>
      <c r="C7953" s="5"/>
      <c r="M7953" s="9"/>
    </row>
    <row r="7954" spans="1:13" x14ac:dyDescent="0.25">
      <c r="A7954" s="8"/>
      <c r="C7954" s="5"/>
      <c r="M7954" s="9"/>
    </row>
    <row r="7955" spans="1:13" x14ac:dyDescent="0.25">
      <c r="A7955" s="8"/>
      <c r="C7955" s="5"/>
      <c r="M7955" s="9"/>
    </row>
    <row r="7956" spans="1:13" x14ac:dyDescent="0.25">
      <c r="A7956" s="8"/>
      <c r="C7956" s="5"/>
      <c r="M7956" s="9"/>
    </row>
    <row r="7957" spans="1:13" x14ac:dyDescent="0.25">
      <c r="A7957" s="8"/>
      <c r="C7957" s="5"/>
      <c r="M7957" s="9"/>
    </row>
    <row r="7958" spans="1:13" x14ac:dyDescent="0.25">
      <c r="A7958" s="8"/>
      <c r="C7958" s="5"/>
      <c r="M7958" s="9"/>
    </row>
    <row r="7959" spans="1:13" x14ac:dyDescent="0.25">
      <c r="A7959" s="8"/>
      <c r="C7959" s="5"/>
      <c r="M7959" s="9"/>
    </row>
    <row r="7960" spans="1:13" x14ac:dyDescent="0.25">
      <c r="A7960" s="8"/>
      <c r="C7960" s="5"/>
      <c r="M7960" s="9"/>
    </row>
    <row r="7961" spans="1:13" x14ac:dyDescent="0.25">
      <c r="A7961" s="8"/>
      <c r="C7961" s="5"/>
      <c r="M7961" s="9"/>
    </row>
    <row r="7962" spans="1:13" x14ac:dyDescent="0.25">
      <c r="A7962" s="8"/>
      <c r="C7962" s="5"/>
      <c r="M7962" s="9"/>
    </row>
    <row r="7963" spans="1:13" x14ac:dyDescent="0.25">
      <c r="A7963" s="8"/>
      <c r="C7963" s="5"/>
      <c r="M7963" s="9"/>
    </row>
    <row r="7964" spans="1:13" x14ac:dyDescent="0.25">
      <c r="A7964" s="8"/>
      <c r="C7964" s="5"/>
      <c r="M7964" s="9"/>
    </row>
    <row r="7965" spans="1:13" x14ac:dyDescent="0.25">
      <c r="A7965" s="8"/>
      <c r="C7965" s="5"/>
      <c r="M7965" s="9"/>
    </row>
    <row r="7966" spans="1:13" x14ac:dyDescent="0.25">
      <c r="A7966" s="8"/>
      <c r="C7966" s="5"/>
      <c r="M7966" s="9"/>
    </row>
    <row r="7967" spans="1:13" x14ac:dyDescent="0.25">
      <c r="A7967" s="8"/>
      <c r="C7967" s="5"/>
      <c r="M7967" s="9"/>
    </row>
    <row r="7968" spans="1:13" x14ac:dyDescent="0.25">
      <c r="A7968" s="8"/>
      <c r="C7968" s="5"/>
      <c r="M7968" s="9"/>
    </row>
    <row r="7969" spans="1:13" x14ac:dyDescent="0.25">
      <c r="A7969" s="8"/>
      <c r="C7969" s="5"/>
      <c r="M7969" s="9"/>
    </row>
    <row r="7970" spans="1:13" x14ac:dyDescent="0.25">
      <c r="A7970" s="8"/>
      <c r="C7970" s="5"/>
      <c r="M7970" s="9"/>
    </row>
    <row r="7971" spans="1:13" x14ac:dyDescent="0.25">
      <c r="A7971" s="8"/>
      <c r="C7971" s="5"/>
      <c r="M7971" s="9"/>
    </row>
    <row r="7972" spans="1:13" x14ac:dyDescent="0.25">
      <c r="A7972" s="8"/>
      <c r="C7972" s="5"/>
      <c r="M7972" s="9"/>
    </row>
    <row r="7973" spans="1:13" x14ac:dyDescent="0.25">
      <c r="A7973" s="8"/>
      <c r="C7973" s="5"/>
      <c r="M7973" s="9"/>
    </row>
    <row r="7974" spans="1:13" x14ac:dyDescent="0.25">
      <c r="A7974" s="8"/>
      <c r="C7974" s="5"/>
      <c r="M7974" s="9"/>
    </row>
    <row r="7975" spans="1:13" x14ac:dyDescent="0.25">
      <c r="A7975" s="8"/>
      <c r="C7975" s="5"/>
      <c r="M7975" s="9"/>
    </row>
    <row r="7976" spans="1:13" x14ac:dyDescent="0.25">
      <c r="A7976" s="8"/>
      <c r="C7976" s="5"/>
      <c r="M7976" s="9"/>
    </row>
    <row r="7977" spans="1:13" x14ac:dyDescent="0.25">
      <c r="A7977" s="8"/>
      <c r="C7977" s="5"/>
      <c r="M7977" s="9"/>
    </row>
    <row r="7978" spans="1:13" x14ac:dyDescent="0.25">
      <c r="A7978" s="8"/>
      <c r="C7978" s="5"/>
      <c r="M7978" s="9"/>
    </row>
    <row r="7979" spans="1:13" x14ac:dyDescent="0.25">
      <c r="A7979" s="8"/>
      <c r="C7979" s="5"/>
      <c r="M7979" s="9"/>
    </row>
    <row r="7980" spans="1:13" x14ac:dyDescent="0.25">
      <c r="A7980" s="8"/>
      <c r="C7980" s="5"/>
      <c r="M7980" s="9"/>
    </row>
    <row r="7981" spans="1:13" x14ac:dyDescent="0.25">
      <c r="A7981" s="8"/>
      <c r="C7981" s="5"/>
      <c r="M7981" s="9"/>
    </row>
    <row r="7982" spans="1:13" x14ac:dyDescent="0.25">
      <c r="A7982" s="8"/>
      <c r="C7982" s="5"/>
      <c r="M7982" s="9"/>
    </row>
    <row r="7983" spans="1:13" x14ac:dyDescent="0.25">
      <c r="A7983" s="8"/>
      <c r="C7983" s="5"/>
      <c r="M7983" s="9"/>
    </row>
    <row r="7984" spans="1:13" x14ac:dyDescent="0.25">
      <c r="A7984" s="8"/>
      <c r="C7984" s="5"/>
      <c r="M7984" s="9"/>
    </row>
    <row r="7985" spans="1:13" x14ac:dyDescent="0.25">
      <c r="A7985" s="8"/>
      <c r="C7985" s="5"/>
      <c r="M7985" s="9"/>
    </row>
    <row r="7986" spans="1:13" x14ac:dyDescent="0.25">
      <c r="A7986" s="8"/>
      <c r="C7986" s="5"/>
      <c r="M7986" s="9"/>
    </row>
    <row r="7987" spans="1:13" x14ac:dyDescent="0.25">
      <c r="A7987" s="8"/>
      <c r="C7987" s="5"/>
      <c r="M7987" s="9"/>
    </row>
    <row r="7988" spans="1:13" x14ac:dyDescent="0.25">
      <c r="A7988" s="8"/>
      <c r="C7988" s="5"/>
      <c r="M7988" s="9"/>
    </row>
    <row r="7989" spans="1:13" x14ac:dyDescent="0.25">
      <c r="A7989" s="8"/>
      <c r="C7989" s="5"/>
      <c r="M7989" s="9"/>
    </row>
    <row r="7990" spans="1:13" x14ac:dyDescent="0.25">
      <c r="A7990" s="8"/>
      <c r="C7990" s="5"/>
      <c r="M7990" s="9"/>
    </row>
    <row r="7991" spans="1:13" x14ac:dyDescent="0.25">
      <c r="A7991" s="8"/>
      <c r="C7991" s="5"/>
      <c r="M7991" s="9"/>
    </row>
    <row r="7992" spans="1:13" x14ac:dyDescent="0.25">
      <c r="A7992" s="8"/>
      <c r="C7992" s="5"/>
      <c r="M7992" s="9"/>
    </row>
    <row r="7993" spans="1:13" x14ac:dyDescent="0.25">
      <c r="A7993" s="8"/>
      <c r="C7993" s="5"/>
      <c r="M7993" s="9"/>
    </row>
    <row r="7994" spans="1:13" x14ac:dyDescent="0.25">
      <c r="A7994" s="8"/>
      <c r="C7994" s="5"/>
      <c r="M7994" s="9"/>
    </row>
    <row r="7995" spans="1:13" x14ac:dyDescent="0.25">
      <c r="A7995" s="8"/>
      <c r="C7995" s="5"/>
      <c r="M7995" s="9"/>
    </row>
    <row r="7996" spans="1:13" x14ac:dyDescent="0.25">
      <c r="A7996" s="8"/>
      <c r="C7996" s="5"/>
      <c r="M7996" s="9"/>
    </row>
    <row r="7997" spans="1:13" x14ac:dyDescent="0.25">
      <c r="A7997" s="8"/>
      <c r="C7997" s="5"/>
      <c r="M7997" s="9"/>
    </row>
    <row r="7998" spans="1:13" x14ac:dyDescent="0.25">
      <c r="A7998" s="8"/>
      <c r="C7998" s="5"/>
      <c r="M7998" s="9"/>
    </row>
    <row r="7999" spans="1:13" x14ac:dyDescent="0.25">
      <c r="A7999" s="8"/>
      <c r="C7999" s="5"/>
      <c r="M7999" s="9"/>
    </row>
    <row r="8000" spans="1:13" x14ac:dyDescent="0.25">
      <c r="A8000" s="8"/>
      <c r="C8000" s="5"/>
      <c r="M8000" s="9"/>
    </row>
    <row r="8001" spans="1:13" x14ac:dyDescent="0.25">
      <c r="A8001" s="8"/>
      <c r="C8001" s="5"/>
      <c r="M8001" s="9"/>
    </row>
    <row r="8002" spans="1:13" x14ac:dyDescent="0.25">
      <c r="A8002" s="8"/>
      <c r="C8002" s="5"/>
      <c r="M8002" s="9"/>
    </row>
    <row r="8003" spans="1:13" x14ac:dyDescent="0.25">
      <c r="A8003" s="8"/>
      <c r="C8003" s="5"/>
      <c r="M8003" s="9"/>
    </row>
    <row r="8004" spans="1:13" x14ac:dyDescent="0.25">
      <c r="A8004" s="8"/>
      <c r="C8004" s="5"/>
      <c r="M8004" s="9"/>
    </row>
    <row r="8005" spans="1:13" x14ac:dyDescent="0.25">
      <c r="A8005" s="8"/>
      <c r="C8005" s="5"/>
      <c r="M8005" s="9"/>
    </row>
    <row r="8006" spans="1:13" x14ac:dyDescent="0.25">
      <c r="A8006" s="8"/>
      <c r="C8006" s="5"/>
      <c r="M8006" s="9"/>
    </row>
    <row r="8007" spans="1:13" x14ac:dyDescent="0.25">
      <c r="A8007" s="8"/>
      <c r="C8007" s="5"/>
      <c r="M8007" s="9"/>
    </row>
    <row r="8008" spans="1:13" x14ac:dyDescent="0.25">
      <c r="A8008" s="8"/>
      <c r="C8008" s="5"/>
      <c r="M8008" s="9"/>
    </row>
    <row r="8009" spans="1:13" x14ac:dyDescent="0.25">
      <c r="A8009" s="8"/>
      <c r="C8009" s="5"/>
      <c r="M8009" s="9"/>
    </row>
    <row r="8010" spans="1:13" x14ac:dyDescent="0.25">
      <c r="A8010" s="8"/>
      <c r="C8010" s="5"/>
      <c r="M8010" s="9"/>
    </row>
    <row r="8011" spans="1:13" x14ac:dyDescent="0.25">
      <c r="A8011" s="8"/>
      <c r="C8011" s="5"/>
      <c r="M8011" s="9"/>
    </row>
    <row r="8012" spans="1:13" x14ac:dyDescent="0.25">
      <c r="A8012" s="8"/>
      <c r="C8012" s="5"/>
      <c r="M8012" s="9"/>
    </row>
    <row r="8013" spans="1:13" x14ac:dyDescent="0.25">
      <c r="A8013" s="8"/>
      <c r="C8013" s="5"/>
      <c r="M8013" s="9"/>
    </row>
    <row r="8014" spans="1:13" x14ac:dyDescent="0.25">
      <c r="A8014" s="8"/>
      <c r="C8014" s="5"/>
      <c r="M8014" s="9"/>
    </row>
    <row r="8015" spans="1:13" x14ac:dyDescent="0.25">
      <c r="A8015" s="8"/>
      <c r="C8015" s="5"/>
      <c r="M8015" s="9"/>
    </row>
    <row r="8016" spans="1:13" x14ac:dyDescent="0.25">
      <c r="A8016" s="8"/>
      <c r="C8016" s="5"/>
      <c r="M8016" s="9"/>
    </row>
    <row r="8017" spans="1:13" x14ac:dyDescent="0.25">
      <c r="A8017" s="8"/>
      <c r="C8017" s="5"/>
      <c r="M8017" s="9"/>
    </row>
    <row r="8018" spans="1:13" x14ac:dyDescent="0.25">
      <c r="A8018" s="8"/>
      <c r="C8018" s="5"/>
      <c r="M8018" s="9"/>
    </row>
    <row r="8019" spans="1:13" x14ac:dyDescent="0.25">
      <c r="A8019" s="8"/>
      <c r="C8019" s="5"/>
      <c r="M8019" s="9"/>
    </row>
    <row r="8020" spans="1:13" x14ac:dyDescent="0.25">
      <c r="A8020" s="8"/>
      <c r="C8020" s="5"/>
      <c r="M8020" s="9"/>
    </row>
    <row r="8021" spans="1:13" x14ac:dyDescent="0.25">
      <c r="A8021" s="8"/>
      <c r="C8021" s="5"/>
      <c r="M8021" s="9"/>
    </row>
    <row r="8022" spans="1:13" x14ac:dyDescent="0.25">
      <c r="A8022" s="8"/>
      <c r="C8022" s="5"/>
      <c r="M8022" s="9"/>
    </row>
    <row r="8023" spans="1:13" x14ac:dyDescent="0.25">
      <c r="A8023" s="8"/>
      <c r="C8023" s="5"/>
      <c r="M8023" s="9"/>
    </row>
    <row r="8024" spans="1:13" x14ac:dyDescent="0.25">
      <c r="A8024" s="8"/>
      <c r="C8024" s="5"/>
      <c r="M8024" s="9"/>
    </row>
    <row r="8025" spans="1:13" x14ac:dyDescent="0.25">
      <c r="A8025" s="8"/>
      <c r="C8025" s="5"/>
      <c r="M8025" s="9"/>
    </row>
    <row r="8026" spans="1:13" x14ac:dyDescent="0.25">
      <c r="A8026" s="8"/>
      <c r="C8026" s="5"/>
      <c r="M8026" s="9"/>
    </row>
    <row r="8027" spans="1:13" x14ac:dyDescent="0.25">
      <c r="A8027" s="8"/>
      <c r="C8027" s="5"/>
      <c r="M8027" s="9"/>
    </row>
    <row r="8028" spans="1:13" x14ac:dyDescent="0.25">
      <c r="A8028" s="8"/>
      <c r="C8028" s="5"/>
      <c r="M8028" s="9"/>
    </row>
    <row r="8029" spans="1:13" x14ac:dyDescent="0.25">
      <c r="A8029" s="8"/>
      <c r="C8029" s="5"/>
      <c r="M8029" s="9"/>
    </row>
    <row r="8030" spans="1:13" x14ac:dyDescent="0.25">
      <c r="A8030" s="8"/>
      <c r="C8030" s="5"/>
      <c r="M8030" s="9"/>
    </row>
    <row r="8031" spans="1:13" x14ac:dyDescent="0.25">
      <c r="A8031" s="8"/>
      <c r="C8031" s="5"/>
      <c r="M8031" s="9"/>
    </row>
    <row r="8032" spans="1:13" x14ac:dyDescent="0.25">
      <c r="A8032" s="8"/>
      <c r="C8032" s="5"/>
      <c r="M8032" s="9"/>
    </row>
    <row r="8033" spans="1:13" x14ac:dyDescent="0.25">
      <c r="A8033" s="8"/>
      <c r="C8033" s="5"/>
      <c r="M8033" s="9"/>
    </row>
    <row r="8034" spans="1:13" x14ac:dyDescent="0.25">
      <c r="A8034" s="8"/>
      <c r="C8034" s="5"/>
      <c r="M8034" s="9"/>
    </row>
    <row r="8035" spans="1:13" x14ac:dyDescent="0.25">
      <c r="A8035" s="8"/>
      <c r="C8035" s="5"/>
      <c r="M8035" s="9"/>
    </row>
    <row r="8036" spans="1:13" x14ac:dyDescent="0.25">
      <c r="A8036" s="8"/>
      <c r="C8036" s="5"/>
      <c r="M8036" s="9"/>
    </row>
    <row r="8037" spans="1:13" x14ac:dyDescent="0.25">
      <c r="A8037" s="8"/>
      <c r="C8037" s="5"/>
      <c r="M8037" s="9"/>
    </row>
    <row r="8038" spans="1:13" x14ac:dyDescent="0.25">
      <c r="A8038" s="8"/>
      <c r="C8038" s="5"/>
      <c r="M8038" s="9"/>
    </row>
    <row r="8039" spans="1:13" x14ac:dyDescent="0.25">
      <c r="A8039" s="8"/>
      <c r="C8039" s="5"/>
      <c r="M8039" s="9"/>
    </row>
    <row r="8040" spans="1:13" x14ac:dyDescent="0.25">
      <c r="A8040" s="8"/>
      <c r="C8040" s="5"/>
      <c r="M8040" s="9"/>
    </row>
    <row r="8041" spans="1:13" x14ac:dyDescent="0.25">
      <c r="A8041" s="8"/>
      <c r="C8041" s="5"/>
      <c r="M8041" s="9"/>
    </row>
    <row r="8042" spans="1:13" x14ac:dyDescent="0.25">
      <c r="A8042" s="8"/>
      <c r="C8042" s="5"/>
      <c r="M8042" s="9"/>
    </row>
    <row r="8043" spans="1:13" x14ac:dyDescent="0.25">
      <c r="A8043" s="8"/>
      <c r="C8043" s="5"/>
      <c r="M8043" s="9"/>
    </row>
    <row r="8044" spans="1:13" x14ac:dyDescent="0.25">
      <c r="A8044" s="8"/>
      <c r="C8044" s="5"/>
      <c r="M8044" s="9"/>
    </row>
    <row r="8045" spans="1:13" x14ac:dyDescent="0.25">
      <c r="A8045" s="8"/>
      <c r="C8045" s="5"/>
      <c r="M8045" s="9"/>
    </row>
    <row r="8046" spans="1:13" x14ac:dyDescent="0.25">
      <c r="A8046" s="8"/>
      <c r="C8046" s="5"/>
      <c r="M8046" s="9"/>
    </row>
    <row r="8047" spans="1:13" x14ac:dyDescent="0.25">
      <c r="A8047" s="8"/>
      <c r="C8047" s="5"/>
      <c r="M8047" s="9"/>
    </row>
    <row r="8048" spans="1:13" x14ac:dyDescent="0.25">
      <c r="A8048" s="8"/>
      <c r="C8048" s="5"/>
      <c r="M8048" s="9"/>
    </row>
    <row r="8049" spans="1:13" x14ac:dyDescent="0.25">
      <c r="A8049" s="8"/>
      <c r="C8049" s="5"/>
      <c r="M8049" s="9"/>
    </row>
    <row r="8050" spans="1:13" x14ac:dyDescent="0.25">
      <c r="A8050" s="8"/>
      <c r="C8050" s="5"/>
      <c r="M8050" s="9"/>
    </row>
    <row r="8051" spans="1:13" x14ac:dyDescent="0.25">
      <c r="A8051" s="8"/>
      <c r="C8051" s="5"/>
      <c r="M8051" s="9"/>
    </row>
    <row r="8052" spans="1:13" x14ac:dyDescent="0.25">
      <c r="A8052" s="8"/>
      <c r="C8052" s="5"/>
      <c r="M8052" s="9"/>
    </row>
    <row r="8053" spans="1:13" x14ac:dyDescent="0.25">
      <c r="A8053" s="8"/>
      <c r="C8053" s="5"/>
      <c r="M8053" s="9"/>
    </row>
    <row r="8054" spans="1:13" x14ac:dyDescent="0.25">
      <c r="A8054" s="8"/>
      <c r="C8054" s="5"/>
      <c r="M8054" s="9"/>
    </row>
    <row r="8055" spans="1:13" x14ac:dyDescent="0.25">
      <c r="A8055" s="8"/>
      <c r="C8055" s="5"/>
      <c r="M8055" s="9"/>
    </row>
    <row r="8056" spans="1:13" x14ac:dyDescent="0.25">
      <c r="A8056" s="8"/>
      <c r="C8056" s="5"/>
      <c r="M8056" s="9"/>
    </row>
    <row r="8057" spans="1:13" x14ac:dyDescent="0.25">
      <c r="A8057" s="8"/>
      <c r="C8057" s="5"/>
      <c r="M8057" s="9"/>
    </row>
    <row r="8058" spans="1:13" x14ac:dyDescent="0.25">
      <c r="A8058" s="8"/>
      <c r="C8058" s="5"/>
      <c r="M8058" s="9"/>
    </row>
    <row r="8059" spans="1:13" x14ac:dyDescent="0.25">
      <c r="A8059" s="8"/>
      <c r="C8059" s="5"/>
      <c r="M8059" s="9"/>
    </row>
    <row r="8060" spans="1:13" x14ac:dyDescent="0.25">
      <c r="A8060" s="8"/>
      <c r="C8060" s="5"/>
      <c r="M8060" s="9"/>
    </row>
    <row r="8061" spans="1:13" x14ac:dyDescent="0.25">
      <c r="A8061" s="8"/>
      <c r="C8061" s="5"/>
      <c r="M8061" s="9"/>
    </row>
    <row r="8062" spans="1:13" x14ac:dyDescent="0.25">
      <c r="A8062" s="8"/>
      <c r="C8062" s="5"/>
      <c r="M8062" s="9"/>
    </row>
    <row r="8063" spans="1:13" x14ac:dyDescent="0.25">
      <c r="A8063" s="8"/>
      <c r="C8063" s="5"/>
      <c r="M8063" s="9"/>
    </row>
    <row r="8064" spans="1:13" x14ac:dyDescent="0.25">
      <c r="A8064" s="8"/>
      <c r="C8064" s="5"/>
      <c r="M8064" s="9"/>
    </row>
    <row r="8065" spans="1:13" x14ac:dyDescent="0.25">
      <c r="A8065" s="8"/>
      <c r="C8065" s="5"/>
      <c r="M8065" s="9"/>
    </row>
    <row r="8066" spans="1:13" x14ac:dyDescent="0.25">
      <c r="A8066" s="8"/>
      <c r="C8066" s="5"/>
      <c r="M8066" s="9"/>
    </row>
    <row r="8067" spans="1:13" x14ac:dyDescent="0.25">
      <c r="A8067" s="8"/>
      <c r="C8067" s="5"/>
      <c r="M8067" s="9"/>
    </row>
    <row r="8068" spans="1:13" x14ac:dyDescent="0.25">
      <c r="A8068" s="8"/>
      <c r="C8068" s="5"/>
      <c r="M8068" s="9"/>
    </row>
    <row r="8069" spans="1:13" x14ac:dyDescent="0.25">
      <c r="A8069" s="8"/>
      <c r="C8069" s="5"/>
      <c r="M8069" s="9"/>
    </row>
    <row r="8070" spans="1:13" x14ac:dyDescent="0.25">
      <c r="A8070" s="8"/>
      <c r="C8070" s="5"/>
      <c r="M8070" s="9"/>
    </row>
    <row r="8071" spans="1:13" x14ac:dyDescent="0.25">
      <c r="A8071" s="8"/>
      <c r="C8071" s="5"/>
      <c r="M8071" s="9"/>
    </row>
    <row r="8072" spans="1:13" x14ac:dyDescent="0.25">
      <c r="A8072" s="8"/>
      <c r="C8072" s="5"/>
      <c r="M8072" s="9"/>
    </row>
    <row r="8073" spans="1:13" x14ac:dyDescent="0.25">
      <c r="A8073" s="8"/>
      <c r="C8073" s="5"/>
      <c r="M8073" s="9"/>
    </row>
    <row r="8074" spans="1:13" x14ac:dyDescent="0.25">
      <c r="A8074" s="8"/>
      <c r="C8074" s="5"/>
      <c r="M8074" s="9"/>
    </row>
    <row r="8075" spans="1:13" x14ac:dyDescent="0.25">
      <c r="A8075" s="8"/>
      <c r="C8075" s="5"/>
      <c r="M8075" s="9"/>
    </row>
    <row r="8076" spans="1:13" x14ac:dyDescent="0.25">
      <c r="A8076" s="8"/>
      <c r="C8076" s="5"/>
      <c r="M8076" s="9"/>
    </row>
    <row r="8077" spans="1:13" x14ac:dyDescent="0.25">
      <c r="A8077" s="8"/>
      <c r="C8077" s="5"/>
      <c r="M8077" s="9"/>
    </row>
    <row r="8078" spans="1:13" x14ac:dyDescent="0.25">
      <c r="A8078" s="8"/>
      <c r="C8078" s="5"/>
      <c r="M8078" s="9"/>
    </row>
    <row r="8079" spans="1:13" x14ac:dyDescent="0.25">
      <c r="A8079" s="8"/>
      <c r="C8079" s="5"/>
      <c r="M8079" s="9"/>
    </row>
    <row r="8080" spans="1:13" x14ac:dyDescent="0.25">
      <c r="A8080" s="8"/>
      <c r="C8080" s="5"/>
      <c r="M8080" s="9"/>
    </row>
    <row r="8081" spans="1:13" x14ac:dyDescent="0.25">
      <c r="A8081" s="8"/>
      <c r="C8081" s="5"/>
      <c r="M8081" s="9"/>
    </row>
    <row r="8082" spans="1:13" x14ac:dyDescent="0.25">
      <c r="A8082" s="8"/>
      <c r="C8082" s="5"/>
      <c r="M8082" s="9"/>
    </row>
    <row r="8083" spans="1:13" x14ac:dyDescent="0.25">
      <c r="A8083" s="8"/>
      <c r="C8083" s="5"/>
      <c r="M8083" s="9"/>
    </row>
    <row r="8084" spans="1:13" x14ac:dyDescent="0.25">
      <c r="A8084" s="8"/>
      <c r="C8084" s="5"/>
      <c r="M8084" s="9"/>
    </row>
    <row r="8085" spans="1:13" x14ac:dyDescent="0.25">
      <c r="A8085" s="8"/>
      <c r="C8085" s="5"/>
      <c r="M8085" s="9"/>
    </row>
    <row r="8086" spans="1:13" x14ac:dyDescent="0.25">
      <c r="A8086" s="8"/>
      <c r="C8086" s="5"/>
      <c r="M8086" s="9"/>
    </row>
    <row r="8087" spans="1:13" x14ac:dyDescent="0.25">
      <c r="A8087" s="8"/>
      <c r="C8087" s="5"/>
      <c r="M8087" s="9"/>
    </row>
    <row r="8088" spans="1:13" x14ac:dyDescent="0.25">
      <c r="A8088" s="8"/>
      <c r="C8088" s="5"/>
      <c r="M8088" s="9"/>
    </row>
    <row r="8089" spans="1:13" x14ac:dyDescent="0.25">
      <c r="A8089" s="8"/>
      <c r="C8089" s="5"/>
      <c r="M8089" s="9"/>
    </row>
    <row r="8090" spans="1:13" x14ac:dyDescent="0.25">
      <c r="A8090" s="8"/>
      <c r="C8090" s="5"/>
      <c r="M8090" s="9"/>
    </row>
    <row r="8091" spans="1:13" x14ac:dyDescent="0.25">
      <c r="A8091" s="8"/>
      <c r="C8091" s="5"/>
      <c r="M8091" s="9"/>
    </row>
    <row r="8092" spans="1:13" x14ac:dyDescent="0.25">
      <c r="A8092" s="8"/>
      <c r="C8092" s="5"/>
      <c r="M8092" s="9"/>
    </row>
    <row r="8093" spans="1:13" x14ac:dyDescent="0.25">
      <c r="A8093" s="8"/>
      <c r="C8093" s="5"/>
      <c r="M8093" s="9"/>
    </row>
    <row r="8094" spans="1:13" x14ac:dyDescent="0.25">
      <c r="A8094" s="8"/>
      <c r="C8094" s="5"/>
      <c r="M8094" s="9"/>
    </row>
    <row r="8095" spans="1:13" x14ac:dyDescent="0.25">
      <c r="A8095" s="8"/>
      <c r="C8095" s="5"/>
      <c r="M8095" s="9"/>
    </row>
    <row r="8096" spans="1:13" x14ac:dyDescent="0.25">
      <c r="A8096" s="8"/>
      <c r="C8096" s="5"/>
      <c r="M8096" s="9"/>
    </row>
    <row r="8097" spans="1:13" x14ac:dyDescent="0.25">
      <c r="A8097" s="8"/>
      <c r="C8097" s="5"/>
      <c r="M8097" s="9"/>
    </row>
    <row r="8098" spans="1:13" x14ac:dyDescent="0.25">
      <c r="A8098" s="8"/>
      <c r="C8098" s="5"/>
      <c r="M8098" s="9"/>
    </row>
    <row r="8099" spans="1:13" x14ac:dyDescent="0.25">
      <c r="A8099" s="8"/>
      <c r="C8099" s="5"/>
      <c r="M8099" s="9"/>
    </row>
    <row r="8100" spans="1:13" x14ac:dyDescent="0.25">
      <c r="A8100" s="8"/>
      <c r="C8100" s="5"/>
      <c r="M8100" s="9"/>
    </row>
    <row r="8101" spans="1:13" x14ac:dyDescent="0.25">
      <c r="A8101" s="8"/>
      <c r="C8101" s="5"/>
      <c r="M8101" s="9"/>
    </row>
    <row r="8102" spans="1:13" x14ac:dyDescent="0.25">
      <c r="A8102" s="8"/>
      <c r="C8102" s="5"/>
      <c r="M8102" s="9"/>
    </row>
    <row r="8103" spans="1:13" x14ac:dyDescent="0.25">
      <c r="A8103" s="8"/>
      <c r="C8103" s="5"/>
      <c r="M8103" s="9"/>
    </row>
    <row r="8104" spans="1:13" x14ac:dyDescent="0.25">
      <c r="A8104" s="8"/>
      <c r="C8104" s="5"/>
      <c r="M8104" s="9"/>
    </row>
    <row r="8105" spans="1:13" x14ac:dyDescent="0.25">
      <c r="A8105" s="8"/>
      <c r="C8105" s="5"/>
      <c r="M8105" s="9"/>
    </row>
    <row r="8106" spans="1:13" x14ac:dyDescent="0.25">
      <c r="A8106" s="8"/>
      <c r="C8106" s="5"/>
      <c r="M8106" s="9"/>
    </row>
    <row r="8107" spans="1:13" x14ac:dyDescent="0.25">
      <c r="A8107" s="8"/>
      <c r="C8107" s="5"/>
      <c r="M8107" s="9"/>
    </row>
    <row r="8108" spans="1:13" x14ac:dyDescent="0.25">
      <c r="A8108" s="8"/>
      <c r="C8108" s="5"/>
      <c r="M8108" s="9"/>
    </row>
    <row r="8109" spans="1:13" x14ac:dyDescent="0.25">
      <c r="A8109" s="8"/>
      <c r="C8109" s="5"/>
      <c r="M8109" s="9"/>
    </row>
    <row r="8110" spans="1:13" x14ac:dyDescent="0.25">
      <c r="A8110" s="8"/>
      <c r="C8110" s="5"/>
      <c r="M8110" s="9"/>
    </row>
    <row r="8111" spans="1:13" x14ac:dyDescent="0.25">
      <c r="A8111" s="8"/>
      <c r="C8111" s="5"/>
      <c r="M8111" s="9"/>
    </row>
    <row r="8112" spans="1:13" x14ac:dyDescent="0.25">
      <c r="A8112" s="8"/>
      <c r="C8112" s="5"/>
      <c r="M8112" s="9"/>
    </row>
    <row r="8113" spans="1:13" x14ac:dyDescent="0.25">
      <c r="A8113" s="8"/>
      <c r="C8113" s="5"/>
      <c r="M8113" s="9"/>
    </row>
    <row r="8114" spans="1:13" x14ac:dyDescent="0.25">
      <c r="A8114" s="8"/>
      <c r="C8114" s="5"/>
      <c r="M8114" s="9"/>
    </row>
    <row r="8115" spans="1:13" x14ac:dyDescent="0.25">
      <c r="A8115" s="8"/>
      <c r="C8115" s="5"/>
      <c r="M8115" s="9"/>
    </row>
    <row r="8116" spans="1:13" x14ac:dyDescent="0.25">
      <c r="A8116" s="8"/>
      <c r="C8116" s="5"/>
      <c r="M8116" s="9"/>
    </row>
    <row r="8117" spans="1:13" x14ac:dyDescent="0.25">
      <c r="A8117" s="8"/>
      <c r="C8117" s="5"/>
      <c r="M8117" s="9"/>
    </row>
    <row r="8118" spans="1:13" x14ac:dyDescent="0.25">
      <c r="A8118" s="8"/>
      <c r="C8118" s="5"/>
      <c r="M8118" s="9"/>
    </row>
    <row r="8119" spans="1:13" x14ac:dyDescent="0.25">
      <c r="A8119" s="8"/>
      <c r="C8119" s="5"/>
      <c r="M8119" s="9"/>
    </row>
    <row r="8120" spans="1:13" x14ac:dyDescent="0.25">
      <c r="A8120" s="8"/>
      <c r="C8120" s="5"/>
      <c r="M8120" s="9"/>
    </row>
    <row r="8121" spans="1:13" x14ac:dyDescent="0.25">
      <c r="A8121" s="8"/>
      <c r="C8121" s="5"/>
      <c r="M8121" s="9"/>
    </row>
    <row r="8122" spans="1:13" x14ac:dyDescent="0.25">
      <c r="A8122" s="8"/>
      <c r="C8122" s="5"/>
      <c r="M8122" s="9"/>
    </row>
    <row r="8123" spans="1:13" x14ac:dyDescent="0.25">
      <c r="A8123" s="8"/>
      <c r="C8123" s="5"/>
      <c r="M8123" s="9"/>
    </row>
    <row r="8124" spans="1:13" x14ac:dyDescent="0.25">
      <c r="A8124" s="8"/>
      <c r="C8124" s="5"/>
      <c r="M8124" s="9"/>
    </row>
    <row r="8125" spans="1:13" x14ac:dyDescent="0.25">
      <c r="A8125" s="8"/>
      <c r="C8125" s="5"/>
      <c r="M8125" s="9"/>
    </row>
    <row r="8126" spans="1:13" x14ac:dyDescent="0.25">
      <c r="A8126" s="8"/>
      <c r="C8126" s="5"/>
      <c r="M8126" s="9"/>
    </row>
    <row r="8127" spans="1:13" x14ac:dyDescent="0.25">
      <c r="A8127" s="8"/>
      <c r="C8127" s="5"/>
      <c r="M8127" s="9"/>
    </row>
    <row r="8128" spans="1:13" x14ac:dyDescent="0.25">
      <c r="A8128" s="8"/>
      <c r="C8128" s="5"/>
      <c r="M8128" s="9"/>
    </row>
    <row r="8129" spans="1:13" x14ac:dyDescent="0.25">
      <c r="A8129" s="8"/>
      <c r="C8129" s="5"/>
      <c r="M8129" s="9"/>
    </row>
    <row r="8130" spans="1:13" x14ac:dyDescent="0.25">
      <c r="A8130" s="8"/>
      <c r="C8130" s="5"/>
      <c r="M8130" s="9"/>
    </row>
    <row r="8131" spans="1:13" x14ac:dyDescent="0.25">
      <c r="A8131" s="8"/>
      <c r="C8131" s="5"/>
      <c r="M8131" s="9"/>
    </row>
    <row r="8132" spans="1:13" x14ac:dyDescent="0.25">
      <c r="A8132" s="8"/>
      <c r="C8132" s="5"/>
      <c r="M8132" s="9"/>
    </row>
    <row r="8133" spans="1:13" x14ac:dyDescent="0.25">
      <c r="A8133" s="8"/>
      <c r="C8133" s="5"/>
      <c r="M8133" s="9"/>
    </row>
    <row r="8134" spans="1:13" x14ac:dyDescent="0.25">
      <c r="A8134" s="8"/>
      <c r="C8134" s="5"/>
      <c r="M8134" s="9"/>
    </row>
    <row r="8135" spans="1:13" x14ac:dyDescent="0.25">
      <c r="A8135" s="8"/>
      <c r="C8135" s="5"/>
      <c r="M8135" s="9"/>
    </row>
    <row r="8136" spans="1:13" x14ac:dyDescent="0.25">
      <c r="A8136" s="8"/>
      <c r="C8136" s="5"/>
      <c r="M8136" s="9"/>
    </row>
    <row r="8137" spans="1:13" x14ac:dyDescent="0.25">
      <c r="A8137" s="8"/>
      <c r="C8137" s="5"/>
      <c r="M8137" s="9"/>
    </row>
    <row r="8138" spans="1:13" x14ac:dyDescent="0.25">
      <c r="A8138" s="8"/>
      <c r="C8138" s="5"/>
      <c r="M8138" s="9"/>
    </row>
    <row r="8139" spans="1:13" x14ac:dyDescent="0.25">
      <c r="A8139" s="8"/>
      <c r="C8139" s="5"/>
      <c r="M8139" s="9"/>
    </row>
    <row r="8140" spans="1:13" x14ac:dyDescent="0.25">
      <c r="A8140" s="8"/>
      <c r="C8140" s="5"/>
      <c r="M8140" s="9"/>
    </row>
    <row r="8141" spans="1:13" x14ac:dyDescent="0.25">
      <c r="A8141" s="8"/>
      <c r="C8141" s="5"/>
      <c r="M8141" s="9"/>
    </row>
    <row r="8142" spans="1:13" x14ac:dyDescent="0.25">
      <c r="A8142" s="8"/>
      <c r="C8142" s="5"/>
      <c r="M8142" s="9"/>
    </row>
    <row r="8143" spans="1:13" x14ac:dyDescent="0.25">
      <c r="A8143" s="8"/>
      <c r="C8143" s="5"/>
      <c r="M8143" s="9"/>
    </row>
    <row r="8144" spans="1:13" x14ac:dyDescent="0.25">
      <c r="A8144" s="8"/>
      <c r="C8144" s="5"/>
      <c r="M8144" s="9"/>
    </row>
    <row r="8145" spans="1:13" x14ac:dyDescent="0.25">
      <c r="A8145" s="8"/>
      <c r="C8145" s="5"/>
      <c r="M8145" s="9"/>
    </row>
    <row r="8146" spans="1:13" x14ac:dyDescent="0.25">
      <c r="A8146" s="8"/>
      <c r="C8146" s="5"/>
      <c r="M8146" s="9"/>
    </row>
    <row r="8147" spans="1:13" x14ac:dyDescent="0.25">
      <c r="A8147" s="8"/>
      <c r="C8147" s="5"/>
      <c r="M8147" s="9"/>
    </row>
    <row r="8148" spans="1:13" x14ac:dyDescent="0.25">
      <c r="A8148" s="8"/>
      <c r="C8148" s="5"/>
      <c r="M8148" s="9"/>
    </row>
    <row r="8149" spans="1:13" x14ac:dyDescent="0.25">
      <c r="A8149" s="8"/>
      <c r="C8149" s="5"/>
      <c r="M8149" s="9"/>
    </row>
    <row r="8150" spans="1:13" x14ac:dyDescent="0.25">
      <c r="A8150" s="8"/>
      <c r="C8150" s="5"/>
      <c r="M8150" s="9"/>
    </row>
    <row r="8151" spans="1:13" x14ac:dyDescent="0.25">
      <c r="A8151" s="8"/>
      <c r="C8151" s="5"/>
      <c r="M8151" s="9"/>
    </row>
    <row r="8152" spans="1:13" x14ac:dyDescent="0.25">
      <c r="A8152" s="8"/>
      <c r="C8152" s="5"/>
      <c r="M8152" s="9"/>
    </row>
    <row r="8153" spans="1:13" x14ac:dyDescent="0.25">
      <c r="A8153" s="8"/>
      <c r="C8153" s="5"/>
      <c r="M8153" s="9"/>
    </row>
    <row r="8154" spans="1:13" x14ac:dyDescent="0.25">
      <c r="A8154" s="8"/>
      <c r="C8154" s="5"/>
      <c r="M8154" s="9"/>
    </row>
    <row r="8155" spans="1:13" x14ac:dyDescent="0.25">
      <c r="A8155" s="8"/>
      <c r="C8155" s="5"/>
      <c r="M8155" s="9"/>
    </row>
    <row r="8156" spans="1:13" x14ac:dyDescent="0.25">
      <c r="A8156" s="8"/>
      <c r="C8156" s="5"/>
      <c r="M8156" s="9"/>
    </row>
    <row r="8157" spans="1:13" x14ac:dyDescent="0.25">
      <c r="A8157" s="8"/>
      <c r="C8157" s="5"/>
      <c r="M8157" s="9"/>
    </row>
    <row r="8158" spans="1:13" x14ac:dyDescent="0.25">
      <c r="A8158" s="8"/>
      <c r="C8158" s="5"/>
      <c r="M8158" s="9"/>
    </row>
    <row r="8159" spans="1:13" x14ac:dyDescent="0.25">
      <c r="A8159" s="8"/>
      <c r="C8159" s="5"/>
      <c r="M8159" s="9"/>
    </row>
    <row r="8160" spans="1:13" x14ac:dyDescent="0.25">
      <c r="A8160" s="8"/>
      <c r="C8160" s="5"/>
      <c r="M8160" s="9"/>
    </row>
    <row r="8161" spans="1:13" x14ac:dyDescent="0.25">
      <c r="A8161" s="8"/>
      <c r="C8161" s="5"/>
      <c r="M8161" s="9"/>
    </row>
    <row r="8162" spans="1:13" x14ac:dyDescent="0.25">
      <c r="A8162" s="8"/>
      <c r="C8162" s="5"/>
      <c r="M8162" s="9"/>
    </row>
    <row r="8163" spans="1:13" x14ac:dyDescent="0.25">
      <c r="A8163" s="8"/>
      <c r="C8163" s="5"/>
      <c r="M8163" s="9"/>
    </row>
    <row r="8164" spans="1:13" x14ac:dyDescent="0.25">
      <c r="A8164" s="8"/>
      <c r="C8164" s="5"/>
      <c r="M8164" s="9"/>
    </row>
    <row r="8165" spans="1:13" x14ac:dyDescent="0.25">
      <c r="A8165" s="8"/>
      <c r="C8165" s="5"/>
      <c r="M8165" s="9"/>
    </row>
    <row r="8166" spans="1:13" x14ac:dyDescent="0.25">
      <c r="A8166" s="8"/>
      <c r="C8166" s="5"/>
      <c r="M8166" s="9"/>
    </row>
    <row r="8167" spans="1:13" x14ac:dyDescent="0.25">
      <c r="A8167" s="8"/>
      <c r="C8167" s="5"/>
      <c r="M8167" s="9"/>
    </row>
    <row r="8168" spans="1:13" x14ac:dyDescent="0.25">
      <c r="A8168" s="8"/>
      <c r="C8168" s="5"/>
      <c r="M8168" s="9"/>
    </row>
    <row r="8169" spans="1:13" x14ac:dyDescent="0.25">
      <c r="A8169" s="8"/>
      <c r="C8169" s="5"/>
      <c r="M8169" s="9"/>
    </row>
    <row r="8170" spans="1:13" x14ac:dyDescent="0.25">
      <c r="A8170" s="8"/>
      <c r="C8170" s="5"/>
      <c r="M8170" s="9"/>
    </row>
    <row r="8171" spans="1:13" x14ac:dyDescent="0.25">
      <c r="A8171" s="8"/>
      <c r="C8171" s="5"/>
      <c r="M8171" s="9"/>
    </row>
    <row r="8172" spans="1:13" x14ac:dyDescent="0.25">
      <c r="A8172" s="8"/>
      <c r="C8172" s="5"/>
      <c r="M8172" s="9"/>
    </row>
    <row r="8173" spans="1:13" x14ac:dyDescent="0.25">
      <c r="A8173" s="8"/>
      <c r="C8173" s="5"/>
      <c r="M8173" s="9"/>
    </row>
    <row r="8174" spans="1:13" x14ac:dyDescent="0.25">
      <c r="A8174" s="8"/>
      <c r="C8174" s="5"/>
      <c r="M8174" s="9"/>
    </row>
    <row r="8175" spans="1:13" x14ac:dyDescent="0.25">
      <c r="A8175" s="8"/>
      <c r="C8175" s="5"/>
      <c r="M8175" s="9"/>
    </row>
    <row r="8176" spans="1:13" x14ac:dyDescent="0.25">
      <c r="A8176" s="8"/>
      <c r="C8176" s="5"/>
      <c r="M8176" s="9"/>
    </row>
    <row r="8177" spans="1:13" x14ac:dyDescent="0.25">
      <c r="A8177" s="8"/>
      <c r="C8177" s="5"/>
      <c r="M8177" s="9"/>
    </row>
    <row r="8178" spans="1:13" x14ac:dyDescent="0.25">
      <c r="A8178" s="8"/>
      <c r="C8178" s="5"/>
      <c r="M8178" s="9"/>
    </row>
    <row r="8179" spans="1:13" x14ac:dyDescent="0.25">
      <c r="A8179" s="8"/>
      <c r="C8179" s="5"/>
      <c r="M8179" s="9"/>
    </row>
    <row r="8180" spans="1:13" x14ac:dyDescent="0.25">
      <c r="A8180" s="8"/>
      <c r="C8180" s="5"/>
      <c r="M8180" s="9"/>
    </row>
    <row r="8181" spans="1:13" x14ac:dyDescent="0.25">
      <c r="A8181" s="8"/>
      <c r="C8181" s="5"/>
      <c r="M8181" s="9"/>
    </row>
    <row r="8182" spans="1:13" x14ac:dyDescent="0.25">
      <c r="A8182" s="8"/>
      <c r="C8182" s="5"/>
      <c r="M8182" s="9"/>
    </row>
    <row r="8183" spans="1:13" x14ac:dyDescent="0.25">
      <c r="A8183" s="8"/>
      <c r="C8183" s="5"/>
      <c r="M8183" s="9"/>
    </row>
    <row r="8184" spans="1:13" x14ac:dyDescent="0.25">
      <c r="A8184" s="8"/>
      <c r="C8184" s="5"/>
      <c r="M8184" s="9"/>
    </row>
    <row r="8185" spans="1:13" x14ac:dyDescent="0.25">
      <c r="A8185" s="8"/>
      <c r="C8185" s="5"/>
      <c r="M8185" s="9"/>
    </row>
    <row r="8186" spans="1:13" x14ac:dyDescent="0.25">
      <c r="A8186" s="8"/>
      <c r="C8186" s="5"/>
      <c r="M8186" s="9"/>
    </row>
    <row r="8187" spans="1:13" x14ac:dyDescent="0.25">
      <c r="A8187" s="8"/>
      <c r="C8187" s="5"/>
      <c r="M8187" s="9"/>
    </row>
    <row r="8188" spans="1:13" x14ac:dyDescent="0.25">
      <c r="A8188" s="8"/>
      <c r="C8188" s="5"/>
      <c r="M8188" s="9"/>
    </row>
    <row r="8189" spans="1:13" x14ac:dyDescent="0.25">
      <c r="A8189" s="8"/>
      <c r="C8189" s="5"/>
      <c r="M8189" s="9"/>
    </row>
    <row r="8190" spans="1:13" x14ac:dyDescent="0.25">
      <c r="A8190" s="8"/>
      <c r="C8190" s="5"/>
      <c r="M8190" s="9"/>
    </row>
    <row r="8191" spans="1:13" x14ac:dyDescent="0.25">
      <c r="A8191" s="8"/>
      <c r="C8191" s="5"/>
      <c r="M8191" s="9"/>
    </row>
    <row r="8192" spans="1:13" x14ac:dyDescent="0.25">
      <c r="A8192" s="8"/>
      <c r="C8192" s="5"/>
      <c r="M8192" s="9"/>
    </row>
    <row r="8193" spans="1:13" x14ac:dyDescent="0.25">
      <c r="A8193" s="8"/>
      <c r="C8193" s="5"/>
      <c r="M8193" s="9"/>
    </row>
    <row r="8194" spans="1:13" x14ac:dyDescent="0.25">
      <c r="A8194" s="8"/>
      <c r="C8194" s="5"/>
      <c r="M8194" s="9"/>
    </row>
    <row r="8195" spans="1:13" x14ac:dyDescent="0.25">
      <c r="A8195" s="8"/>
      <c r="C8195" s="5"/>
      <c r="M8195" s="9"/>
    </row>
    <row r="8196" spans="1:13" x14ac:dyDescent="0.25">
      <c r="A8196" s="8"/>
      <c r="C8196" s="5"/>
      <c r="M8196" s="9"/>
    </row>
    <row r="8197" spans="1:13" x14ac:dyDescent="0.25">
      <c r="A8197" s="8"/>
      <c r="C8197" s="5"/>
      <c r="M8197" s="9"/>
    </row>
    <row r="8198" spans="1:13" x14ac:dyDescent="0.25">
      <c r="A8198" s="8"/>
      <c r="C8198" s="5"/>
      <c r="M8198" s="9"/>
    </row>
    <row r="8199" spans="1:13" x14ac:dyDescent="0.25">
      <c r="A8199" s="8"/>
      <c r="C8199" s="5"/>
      <c r="M8199" s="9"/>
    </row>
    <row r="8200" spans="1:13" x14ac:dyDescent="0.25">
      <c r="A8200" s="8"/>
      <c r="C8200" s="5"/>
      <c r="M8200" s="9"/>
    </row>
    <row r="8201" spans="1:13" x14ac:dyDescent="0.25">
      <c r="A8201" s="8"/>
      <c r="C8201" s="5"/>
      <c r="M8201" s="9"/>
    </row>
    <row r="8202" spans="1:13" x14ac:dyDescent="0.25">
      <c r="A8202" s="8"/>
      <c r="C8202" s="5"/>
      <c r="M8202" s="9"/>
    </row>
    <row r="8203" spans="1:13" x14ac:dyDescent="0.25">
      <c r="A8203" s="8"/>
      <c r="C8203" s="5"/>
      <c r="M8203" s="9"/>
    </row>
    <row r="8204" spans="1:13" x14ac:dyDescent="0.25">
      <c r="A8204" s="8"/>
      <c r="C8204" s="5"/>
      <c r="M8204" s="9"/>
    </row>
    <row r="8205" spans="1:13" x14ac:dyDescent="0.25">
      <c r="A8205" s="8"/>
      <c r="C8205" s="5"/>
      <c r="M8205" s="9"/>
    </row>
    <row r="8206" spans="1:13" x14ac:dyDescent="0.25">
      <c r="A8206" s="8"/>
      <c r="C8206" s="5"/>
      <c r="M8206" s="9"/>
    </row>
    <row r="8207" spans="1:13" x14ac:dyDescent="0.25">
      <c r="A8207" s="8"/>
      <c r="C8207" s="5"/>
      <c r="M8207" s="9"/>
    </row>
    <row r="8208" spans="1:13" x14ac:dyDescent="0.25">
      <c r="A8208" s="8"/>
      <c r="C8208" s="5"/>
      <c r="M8208" s="9"/>
    </row>
    <row r="8209" spans="1:13" x14ac:dyDescent="0.25">
      <c r="A8209" s="8"/>
      <c r="C8209" s="5"/>
      <c r="M8209" s="9"/>
    </row>
    <row r="8210" spans="1:13" x14ac:dyDescent="0.25">
      <c r="A8210" s="8"/>
      <c r="C8210" s="5"/>
      <c r="M8210" s="9"/>
    </row>
    <row r="8211" spans="1:13" x14ac:dyDescent="0.25">
      <c r="A8211" s="8"/>
      <c r="C8211" s="5"/>
      <c r="M8211" s="9"/>
    </row>
    <row r="8212" spans="1:13" x14ac:dyDescent="0.25">
      <c r="A8212" s="8"/>
      <c r="C8212" s="5"/>
      <c r="M8212" s="9"/>
    </row>
    <row r="8213" spans="1:13" x14ac:dyDescent="0.25">
      <c r="A8213" s="8"/>
      <c r="C8213" s="5"/>
      <c r="M8213" s="9"/>
    </row>
    <row r="8214" spans="1:13" x14ac:dyDescent="0.25">
      <c r="A8214" s="8"/>
      <c r="C8214" s="5"/>
      <c r="M8214" s="9"/>
    </row>
    <row r="8215" spans="1:13" x14ac:dyDescent="0.25">
      <c r="A8215" s="8"/>
      <c r="C8215" s="5"/>
      <c r="M8215" s="9"/>
    </row>
    <row r="8216" spans="1:13" x14ac:dyDescent="0.25">
      <c r="A8216" s="8"/>
      <c r="C8216" s="5"/>
      <c r="M8216" s="9"/>
    </row>
    <row r="8217" spans="1:13" x14ac:dyDescent="0.25">
      <c r="A8217" s="8"/>
      <c r="C8217" s="5"/>
      <c r="M8217" s="9"/>
    </row>
    <row r="8218" spans="1:13" x14ac:dyDescent="0.25">
      <c r="A8218" s="8"/>
      <c r="C8218" s="5"/>
      <c r="M8218" s="9"/>
    </row>
    <row r="8219" spans="1:13" x14ac:dyDescent="0.25">
      <c r="A8219" s="8"/>
      <c r="C8219" s="5"/>
      <c r="M8219" s="9"/>
    </row>
    <row r="8220" spans="1:13" x14ac:dyDescent="0.25">
      <c r="A8220" s="8"/>
      <c r="C8220" s="5"/>
      <c r="M8220" s="9"/>
    </row>
    <row r="8221" spans="1:13" x14ac:dyDescent="0.25">
      <c r="A8221" s="8"/>
      <c r="C8221" s="5"/>
      <c r="M8221" s="9"/>
    </row>
    <row r="8222" spans="1:13" x14ac:dyDescent="0.25">
      <c r="A8222" s="8"/>
      <c r="C8222" s="5"/>
      <c r="M8222" s="9"/>
    </row>
    <row r="8223" spans="1:13" x14ac:dyDescent="0.25">
      <c r="A8223" s="8"/>
      <c r="C8223" s="5"/>
      <c r="M8223" s="9"/>
    </row>
    <row r="8224" spans="1:13" x14ac:dyDescent="0.25">
      <c r="A8224" s="8"/>
      <c r="C8224" s="5"/>
      <c r="M8224" s="9"/>
    </row>
    <row r="8225" spans="1:13" x14ac:dyDescent="0.25">
      <c r="A8225" s="8"/>
      <c r="C8225" s="5"/>
      <c r="M8225" s="9"/>
    </row>
    <row r="8226" spans="1:13" x14ac:dyDescent="0.25">
      <c r="A8226" s="8"/>
      <c r="C8226" s="5"/>
      <c r="M8226" s="9"/>
    </row>
    <row r="8227" spans="1:13" x14ac:dyDescent="0.25">
      <c r="A8227" s="8"/>
      <c r="C8227" s="5"/>
      <c r="M8227" s="9"/>
    </row>
    <row r="8228" spans="1:13" x14ac:dyDescent="0.25">
      <c r="A8228" s="8"/>
      <c r="C8228" s="5"/>
      <c r="M8228" s="9"/>
    </row>
    <row r="8229" spans="1:13" x14ac:dyDescent="0.25">
      <c r="A8229" s="8"/>
      <c r="C8229" s="5"/>
      <c r="M8229" s="9"/>
    </row>
    <row r="8230" spans="1:13" x14ac:dyDescent="0.25">
      <c r="A8230" s="8"/>
      <c r="C8230" s="5"/>
      <c r="M8230" s="9"/>
    </row>
    <row r="8231" spans="1:13" x14ac:dyDescent="0.25">
      <c r="A8231" s="8"/>
      <c r="C8231" s="5"/>
      <c r="M8231" s="9"/>
    </row>
    <row r="8232" spans="1:13" x14ac:dyDescent="0.25">
      <c r="A8232" s="8"/>
      <c r="C8232" s="5"/>
      <c r="M8232" s="9"/>
    </row>
    <row r="8233" spans="1:13" x14ac:dyDescent="0.25">
      <c r="A8233" s="8"/>
      <c r="C8233" s="5"/>
      <c r="M8233" s="9"/>
    </row>
    <row r="8234" spans="1:13" x14ac:dyDescent="0.25">
      <c r="A8234" s="8"/>
      <c r="C8234" s="5"/>
      <c r="M8234" s="9"/>
    </row>
    <row r="8235" spans="1:13" x14ac:dyDescent="0.25">
      <c r="A8235" s="8"/>
      <c r="C8235" s="5"/>
      <c r="M8235" s="9"/>
    </row>
    <row r="8236" spans="1:13" x14ac:dyDescent="0.25">
      <c r="A8236" s="8"/>
      <c r="C8236" s="5"/>
      <c r="M8236" s="9"/>
    </row>
    <row r="8237" spans="1:13" x14ac:dyDescent="0.25">
      <c r="A8237" s="8"/>
      <c r="C8237" s="5"/>
      <c r="M8237" s="9"/>
    </row>
    <row r="8238" spans="1:13" x14ac:dyDescent="0.25">
      <c r="A8238" s="8"/>
      <c r="C8238" s="5"/>
      <c r="M8238" s="9"/>
    </row>
    <row r="8239" spans="1:13" x14ac:dyDescent="0.25">
      <c r="A8239" s="8"/>
      <c r="C8239" s="5"/>
      <c r="M8239" s="9"/>
    </row>
    <row r="8240" spans="1:13" x14ac:dyDescent="0.25">
      <c r="A8240" s="8"/>
      <c r="C8240" s="5"/>
      <c r="M8240" s="9"/>
    </row>
    <row r="8241" spans="1:13" x14ac:dyDescent="0.25">
      <c r="A8241" s="8"/>
      <c r="C8241" s="5"/>
      <c r="M8241" s="9"/>
    </row>
    <row r="8242" spans="1:13" x14ac:dyDescent="0.25">
      <c r="A8242" s="8"/>
      <c r="C8242" s="5"/>
      <c r="M8242" s="9"/>
    </row>
    <row r="8243" spans="1:13" x14ac:dyDescent="0.25">
      <c r="A8243" s="8"/>
      <c r="C8243" s="5"/>
      <c r="M8243" s="9"/>
    </row>
    <row r="8244" spans="1:13" x14ac:dyDescent="0.25">
      <c r="A8244" s="8"/>
      <c r="C8244" s="5"/>
      <c r="M8244" s="9"/>
    </row>
    <row r="8245" spans="1:13" x14ac:dyDescent="0.25">
      <c r="A8245" s="8"/>
      <c r="C8245" s="5"/>
      <c r="M8245" s="9"/>
    </row>
    <row r="8246" spans="1:13" x14ac:dyDescent="0.25">
      <c r="A8246" s="8"/>
      <c r="C8246" s="5"/>
      <c r="M8246" s="9"/>
    </row>
    <row r="8247" spans="1:13" x14ac:dyDescent="0.25">
      <c r="A8247" s="8"/>
      <c r="C8247" s="5"/>
      <c r="M8247" s="9"/>
    </row>
    <row r="8248" spans="1:13" x14ac:dyDescent="0.25">
      <c r="A8248" s="8"/>
      <c r="C8248" s="5"/>
      <c r="M8248" s="9"/>
    </row>
    <row r="8249" spans="1:13" x14ac:dyDescent="0.25">
      <c r="A8249" s="8"/>
      <c r="C8249" s="5"/>
      <c r="M8249" s="9"/>
    </row>
    <row r="8250" spans="1:13" x14ac:dyDescent="0.25">
      <c r="A8250" s="8"/>
      <c r="C8250" s="5"/>
      <c r="M8250" s="9"/>
    </row>
    <row r="8251" spans="1:13" x14ac:dyDescent="0.25">
      <c r="A8251" s="8"/>
      <c r="C8251" s="5"/>
      <c r="M8251" s="9"/>
    </row>
    <row r="8252" spans="1:13" x14ac:dyDescent="0.25">
      <c r="A8252" s="8"/>
      <c r="C8252" s="5"/>
      <c r="M8252" s="9"/>
    </row>
    <row r="8253" spans="1:13" x14ac:dyDescent="0.25">
      <c r="A8253" s="8"/>
      <c r="C8253" s="5"/>
      <c r="M8253" s="9"/>
    </row>
    <row r="8254" spans="1:13" x14ac:dyDescent="0.25">
      <c r="A8254" s="8"/>
      <c r="C8254" s="5"/>
      <c r="M8254" s="9"/>
    </row>
    <row r="8255" spans="1:13" x14ac:dyDescent="0.25">
      <c r="A8255" s="8"/>
      <c r="C8255" s="5"/>
      <c r="M8255" s="9"/>
    </row>
    <row r="8256" spans="1:13" x14ac:dyDescent="0.25">
      <c r="A8256" s="8"/>
      <c r="C8256" s="5"/>
      <c r="M8256" s="9"/>
    </row>
    <row r="8257" spans="1:13" x14ac:dyDescent="0.25">
      <c r="A8257" s="8"/>
      <c r="C8257" s="5"/>
      <c r="M8257" s="9"/>
    </row>
    <row r="8258" spans="1:13" x14ac:dyDescent="0.25">
      <c r="A8258" s="8"/>
      <c r="C8258" s="5"/>
      <c r="M8258" s="9"/>
    </row>
    <row r="8259" spans="1:13" x14ac:dyDescent="0.25">
      <c r="A8259" s="8"/>
      <c r="C8259" s="5"/>
      <c r="M8259" s="9"/>
    </row>
    <row r="8260" spans="1:13" x14ac:dyDescent="0.25">
      <c r="A8260" s="8"/>
      <c r="C8260" s="5"/>
      <c r="M8260" s="9"/>
    </row>
    <row r="8261" spans="1:13" x14ac:dyDescent="0.25">
      <c r="A8261" s="8"/>
      <c r="C8261" s="5"/>
      <c r="M8261" s="9"/>
    </row>
    <row r="8262" spans="1:13" x14ac:dyDescent="0.25">
      <c r="A8262" s="8"/>
      <c r="C8262" s="5"/>
      <c r="M8262" s="9"/>
    </row>
    <row r="8263" spans="1:13" x14ac:dyDescent="0.25">
      <c r="A8263" s="8"/>
      <c r="C8263" s="5"/>
      <c r="M8263" s="9"/>
    </row>
    <row r="8264" spans="1:13" x14ac:dyDescent="0.25">
      <c r="A8264" s="8"/>
      <c r="C8264" s="5"/>
      <c r="M8264" s="9"/>
    </row>
    <row r="8265" spans="1:13" x14ac:dyDescent="0.25">
      <c r="A8265" s="8"/>
      <c r="C8265" s="5"/>
      <c r="M8265" s="9"/>
    </row>
    <row r="8266" spans="1:13" x14ac:dyDescent="0.25">
      <c r="A8266" s="8"/>
      <c r="C8266" s="5"/>
      <c r="M8266" s="9"/>
    </row>
    <row r="8267" spans="1:13" x14ac:dyDescent="0.25">
      <c r="A8267" s="8"/>
      <c r="C8267" s="5"/>
      <c r="M8267" s="9"/>
    </row>
    <row r="8268" spans="1:13" x14ac:dyDescent="0.25">
      <c r="A8268" s="8"/>
      <c r="C8268" s="5"/>
      <c r="M8268" s="9"/>
    </row>
    <row r="8269" spans="1:13" x14ac:dyDescent="0.25">
      <c r="A8269" s="8"/>
      <c r="C8269" s="5"/>
      <c r="M8269" s="9"/>
    </row>
    <row r="8270" spans="1:13" x14ac:dyDescent="0.25">
      <c r="A8270" s="8"/>
      <c r="C8270" s="5"/>
      <c r="M8270" s="9"/>
    </row>
    <row r="8271" spans="1:13" x14ac:dyDescent="0.25">
      <c r="A8271" s="8"/>
      <c r="C8271" s="5"/>
      <c r="M8271" s="9"/>
    </row>
    <row r="8272" spans="1:13" x14ac:dyDescent="0.25">
      <c r="A8272" s="8"/>
      <c r="C8272" s="5"/>
      <c r="M8272" s="9"/>
    </row>
    <row r="8273" spans="1:13" x14ac:dyDescent="0.25">
      <c r="A8273" s="8"/>
      <c r="C8273" s="5"/>
      <c r="M8273" s="9"/>
    </row>
    <row r="8274" spans="1:13" x14ac:dyDescent="0.25">
      <c r="A8274" s="8"/>
      <c r="C8274" s="5"/>
      <c r="M8274" s="9"/>
    </row>
    <row r="8275" spans="1:13" x14ac:dyDescent="0.25">
      <c r="A8275" s="8"/>
      <c r="C8275" s="5"/>
      <c r="M8275" s="9"/>
    </row>
    <row r="8276" spans="1:13" x14ac:dyDescent="0.25">
      <c r="A8276" s="8"/>
      <c r="C8276" s="5"/>
      <c r="M8276" s="9"/>
    </row>
    <row r="8277" spans="1:13" x14ac:dyDescent="0.25">
      <c r="A8277" s="8"/>
      <c r="C8277" s="5"/>
      <c r="M8277" s="9"/>
    </row>
    <row r="8278" spans="1:13" x14ac:dyDescent="0.25">
      <c r="A8278" s="8"/>
      <c r="C8278" s="5"/>
      <c r="M8278" s="9"/>
    </row>
    <row r="8279" spans="1:13" x14ac:dyDescent="0.25">
      <c r="A8279" s="8"/>
      <c r="C8279" s="5"/>
      <c r="M8279" s="9"/>
    </row>
    <row r="8280" spans="1:13" x14ac:dyDescent="0.25">
      <c r="A8280" s="8"/>
      <c r="C8280" s="5"/>
      <c r="M8280" s="9"/>
    </row>
    <row r="8281" spans="1:13" x14ac:dyDescent="0.25">
      <c r="A8281" s="8"/>
      <c r="C8281" s="5"/>
      <c r="M8281" s="9"/>
    </row>
    <row r="8282" spans="1:13" x14ac:dyDescent="0.25">
      <c r="A8282" s="8"/>
      <c r="C8282" s="5"/>
      <c r="M8282" s="9"/>
    </row>
    <row r="8283" spans="1:13" x14ac:dyDescent="0.25">
      <c r="A8283" s="8"/>
      <c r="C8283" s="5"/>
      <c r="M8283" s="9"/>
    </row>
    <row r="8284" spans="1:13" x14ac:dyDescent="0.25">
      <c r="A8284" s="8"/>
      <c r="C8284" s="5"/>
      <c r="M8284" s="9"/>
    </row>
    <row r="8285" spans="1:13" x14ac:dyDescent="0.25">
      <c r="A8285" s="8"/>
      <c r="C8285" s="5"/>
      <c r="M8285" s="9"/>
    </row>
    <row r="8286" spans="1:13" x14ac:dyDescent="0.25">
      <c r="A8286" s="8"/>
      <c r="C8286" s="5"/>
      <c r="M8286" s="9"/>
    </row>
    <row r="8287" spans="1:13" x14ac:dyDescent="0.25">
      <c r="A8287" s="8"/>
      <c r="C8287" s="5"/>
      <c r="M8287" s="9"/>
    </row>
    <row r="8288" spans="1:13" x14ac:dyDescent="0.25">
      <c r="A8288" s="8"/>
      <c r="C8288" s="5"/>
      <c r="M8288" s="9"/>
    </row>
    <row r="8289" spans="1:13" x14ac:dyDescent="0.25">
      <c r="A8289" s="8"/>
      <c r="C8289" s="5"/>
      <c r="M8289" s="9"/>
    </row>
    <row r="8290" spans="1:13" x14ac:dyDescent="0.25">
      <c r="A8290" s="8"/>
      <c r="C8290" s="5"/>
      <c r="M8290" s="9"/>
    </row>
    <row r="8291" spans="1:13" x14ac:dyDescent="0.25">
      <c r="A8291" s="8"/>
      <c r="C8291" s="5"/>
      <c r="M8291" s="9"/>
    </row>
    <row r="8292" spans="1:13" x14ac:dyDescent="0.25">
      <c r="A8292" s="8"/>
      <c r="C8292" s="5"/>
      <c r="M8292" s="9"/>
    </row>
    <row r="8293" spans="1:13" x14ac:dyDescent="0.25">
      <c r="A8293" s="8"/>
      <c r="C8293" s="5"/>
      <c r="M8293" s="9"/>
    </row>
    <row r="8294" spans="1:13" x14ac:dyDescent="0.25">
      <c r="A8294" s="8"/>
      <c r="C8294" s="5"/>
      <c r="M8294" s="9"/>
    </row>
    <row r="8295" spans="1:13" x14ac:dyDescent="0.25">
      <c r="A8295" s="8"/>
      <c r="C8295" s="5"/>
      <c r="M8295" s="9"/>
    </row>
    <row r="8296" spans="1:13" x14ac:dyDescent="0.25">
      <c r="A8296" s="8"/>
      <c r="C8296" s="5"/>
      <c r="M8296" s="9"/>
    </row>
    <row r="8297" spans="1:13" x14ac:dyDescent="0.25">
      <c r="A8297" s="8"/>
      <c r="C8297" s="5"/>
      <c r="M8297" s="9"/>
    </row>
    <row r="8298" spans="1:13" x14ac:dyDescent="0.25">
      <c r="A8298" s="8"/>
      <c r="C8298" s="5"/>
      <c r="M8298" s="9"/>
    </row>
    <row r="8299" spans="1:13" x14ac:dyDescent="0.25">
      <c r="A8299" s="8"/>
      <c r="C8299" s="5"/>
      <c r="M8299" s="9"/>
    </row>
    <row r="8300" spans="1:13" x14ac:dyDescent="0.25">
      <c r="A8300" s="8"/>
      <c r="C8300" s="5"/>
      <c r="M8300" s="9"/>
    </row>
    <row r="8301" spans="1:13" x14ac:dyDescent="0.25">
      <c r="A8301" s="8"/>
      <c r="C8301" s="5"/>
      <c r="M8301" s="9"/>
    </row>
    <row r="8302" spans="1:13" x14ac:dyDescent="0.25">
      <c r="A8302" s="8"/>
      <c r="C8302" s="5"/>
      <c r="M8302" s="9"/>
    </row>
    <row r="8303" spans="1:13" x14ac:dyDescent="0.25">
      <c r="A8303" s="8"/>
      <c r="C8303" s="5"/>
      <c r="M8303" s="9"/>
    </row>
    <row r="8304" spans="1:13" x14ac:dyDescent="0.25">
      <c r="A8304" s="8"/>
      <c r="C8304" s="5"/>
      <c r="M8304" s="9"/>
    </row>
    <row r="8305" spans="1:13" x14ac:dyDescent="0.25">
      <c r="A8305" s="8"/>
      <c r="C8305" s="5"/>
      <c r="M8305" s="9"/>
    </row>
    <row r="8306" spans="1:13" x14ac:dyDescent="0.25">
      <c r="A8306" s="8"/>
      <c r="C8306" s="5"/>
      <c r="M8306" s="9"/>
    </row>
    <row r="8307" spans="1:13" x14ac:dyDescent="0.25">
      <c r="A8307" s="8"/>
      <c r="C8307" s="5"/>
      <c r="M8307" s="9"/>
    </row>
    <row r="8308" spans="1:13" x14ac:dyDescent="0.25">
      <c r="A8308" s="8"/>
      <c r="C8308" s="5"/>
      <c r="M8308" s="9"/>
    </row>
    <row r="8309" spans="1:13" x14ac:dyDescent="0.25">
      <c r="A8309" s="8"/>
      <c r="C8309" s="5"/>
      <c r="M8309" s="9"/>
    </row>
    <row r="8310" spans="1:13" x14ac:dyDescent="0.25">
      <c r="A8310" s="8"/>
      <c r="C8310" s="5"/>
      <c r="M8310" s="9"/>
    </row>
    <row r="8311" spans="1:13" x14ac:dyDescent="0.25">
      <c r="A8311" s="8"/>
      <c r="C8311" s="5"/>
      <c r="M8311" s="9"/>
    </row>
    <row r="8312" spans="1:13" x14ac:dyDescent="0.25">
      <c r="A8312" s="8"/>
      <c r="C8312" s="5"/>
      <c r="M8312" s="9"/>
    </row>
    <row r="8313" spans="1:13" x14ac:dyDescent="0.25">
      <c r="A8313" s="8"/>
      <c r="C8313" s="5"/>
      <c r="M8313" s="9"/>
    </row>
    <row r="8314" spans="1:13" x14ac:dyDescent="0.25">
      <c r="A8314" s="8"/>
      <c r="C8314" s="5"/>
      <c r="M8314" s="9"/>
    </row>
    <row r="8315" spans="1:13" x14ac:dyDescent="0.25">
      <c r="A8315" s="8"/>
      <c r="C8315" s="5"/>
      <c r="M8315" s="9"/>
    </row>
    <row r="8316" spans="1:13" x14ac:dyDescent="0.25">
      <c r="A8316" s="8"/>
      <c r="C8316" s="5"/>
      <c r="M8316" s="9"/>
    </row>
    <row r="8317" spans="1:13" x14ac:dyDescent="0.25">
      <c r="A8317" s="8"/>
      <c r="C8317" s="5"/>
      <c r="M8317" s="9"/>
    </row>
    <row r="8318" spans="1:13" x14ac:dyDescent="0.25">
      <c r="A8318" s="8"/>
      <c r="C8318" s="5"/>
      <c r="M8318" s="9"/>
    </row>
    <row r="8319" spans="1:13" x14ac:dyDescent="0.25">
      <c r="A8319" s="8"/>
      <c r="C8319" s="5"/>
      <c r="M8319" s="9"/>
    </row>
    <row r="8320" spans="1:13" x14ac:dyDescent="0.25">
      <c r="A8320" s="8"/>
      <c r="C8320" s="5"/>
      <c r="M8320" s="9"/>
    </row>
    <row r="8321" spans="1:13" x14ac:dyDescent="0.25">
      <c r="A8321" s="8"/>
      <c r="C8321" s="5"/>
      <c r="M8321" s="9"/>
    </row>
    <row r="8322" spans="1:13" x14ac:dyDescent="0.25">
      <c r="A8322" s="8"/>
      <c r="C8322" s="5"/>
      <c r="M8322" s="9"/>
    </row>
    <row r="8323" spans="1:13" x14ac:dyDescent="0.25">
      <c r="A8323" s="8"/>
      <c r="C8323" s="5"/>
      <c r="M8323" s="9"/>
    </row>
    <row r="8324" spans="1:13" x14ac:dyDescent="0.25">
      <c r="A8324" s="8"/>
      <c r="C8324" s="5"/>
      <c r="M8324" s="9"/>
    </row>
    <row r="8325" spans="1:13" x14ac:dyDescent="0.25">
      <c r="A8325" s="8"/>
      <c r="C8325" s="5"/>
      <c r="M8325" s="9"/>
    </row>
    <row r="8326" spans="1:13" x14ac:dyDescent="0.25">
      <c r="A8326" s="8"/>
      <c r="C8326" s="5"/>
      <c r="M8326" s="9"/>
    </row>
    <row r="8327" spans="1:13" x14ac:dyDescent="0.25">
      <c r="A8327" s="8"/>
      <c r="C8327" s="5"/>
      <c r="M8327" s="9"/>
    </row>
    <row r="8328" spans="1:13" x14ac:dyDescent="0.25">
      <c r="A8328" s="8"/>
      <c r="C8328" s="5"/>
      <c r="M8328" s="9"/>
    </row>
    <row r="8329" spans="1:13" x14ac:dyDescent="0.25">
      <c r="A8329" s="8"/>
      <c r="C8329" s="5"/>
      <c r="M8329" s="9"/>
    </row>
    <row r="8330" spans="1:13" x14ac:dyDescent="0.25">
      <c r="A8330" s="8"/>
      <c r="C8330" s="5"/>
      <c r="M8330" s="9"/>
    </row>
    <row r="8331" spans="1:13" x14ac:dyDescent="0.25">
      <c r="A8331" s="8"/>
      <c r="C8331" s="5"/>
      <c r="M8331" s="9"/>
    </row>
    <row r="8332" spans="1:13" x14ac:dyDescent="0.25">
      <c r="A8332" s="8"/>
      <c r="C8332" s="5"/>
      <c r="M8332" s="9"/>
    </row>
    <row r="8333" spans="1:13" x14ac:dyDescent="0.25">
      <c r="A8333" s="8"/>
      <c r="C8333" s="5"/>
      <c r="M8333" s="9"/>
    </row>
    <row r="8334" spans="1:13" x14ac:dyDescent="0.25">
      <c r="A8334" s="8"/>
      <c r="C8334" s="5"/>
      <c r="M8334" s="9"/>
    </row>
    <row r="8335" spans="1:13" x14ac:dyDescent="0.25">
      <c r="A8335" s="8"/>
      <c r="C8335" s="5"/>
      <c r="M8335" s="9"/>
    </row>
    <row r="8336" spans="1:13" x14ac:dyDescent="0.25">
      <c r="A8336" s="8"/>
      <c r="C8336" s="5"/>
      <c r="M8336" s="9"/>
    </row>
    <row r="8337" spans="1:13" x14ac:dyDescent="0.25">
      <c r="A8337" s="8"/>
      <c r="C8337" s="5"/>
      <c r="M8337" s="9"/>
    </row>
    <row r="8338" spans="1:13" x14ac:dyDescent="0.25">
      <c r="A8338" s="8"/>
      <c r="C8338" s="5"/>
      <c r="M8338" s="9"/>
    </row>
    <row r="8339" spans="1:13" x14ac:dyDescent="0.25">
      <c r="A8339" s="8"/>
      <c r="C8339" s="5"/>
      <c r="M8339" s="9"/>
    </row>
    <row r="8340" spans="1:13" x14ac:dyDescent="0.25">
      <c r="A8340" s="8"/>
      <c r="C8340" s="5"/>
      <c r="M8340" s="9"/>
    </row>
    <row r="8341" spans="1:13" x14ac:dyDescent="0.25">
      <c r="A8341" s="8"/>
      <c r="C8341" s="5"/>
      <c r="M8341" s="9"/>
    </row>
    <row r="8342" spans="1:13" x14ac:dyDescent="0.25">
      <c r="A8342" s="8"/>
      <c r="C8342" s="5"/>
      <c r="M8342" s="9"/>
    </row>
    <row r="8343" spans="1:13" x14ac:dyDescent="0.25">
      <c r="A8343" s="8"/>
      <c r="C8343" s="5"/>
      <c r="M8343" s="9"/>
    </row>
    <row r="8344" spans="1:13" x14ac:dyDescent="0.25">
      <c r="A8344" s="8"/>
      <c r="C8344" s="5"/>
      <c r="M8344" s="9"/>
    </row>
    <row r="8345" spans="1:13" x14ac:dyDescent="0.25">
      <c r="A8345" s="8"/>
      <c r="C8345" s="5"/>
      <c r="M8345" s="9"/>
    </row>
    <row r="8346" spans="1:13" x14ac:dyDescent="0.25">
      <c r="A8346" s="8"/>
      <c r="C8346" s="5"/>
      <c r="M8346" s="9"/>
    </row>
    <row r="8347" spans="1:13" x14ac:dyDescent="0.25">
      <c r="A8347" s="8"/>
      <c r="C8347" s="5"/>
      <c r="M8347" s="9"/>
    </row>
    <row r="8348" spans="1:13" x14ac:dyDescent="0.25">
      <c r="A8348" s="8"/>
      <c r="C8348" s="5"/>
      <c r="M8348" s="9"/>
    </row>
    <row r="8349" spans="1:13" x14ac:dyDescent="0.25">
      <c r="A8349" s="8"/>
      <c r="C8349" s="5"/>
      <c r="M8349" s="9"/>
    </row>
    <row r="8350" spans="1:13" x14ac:dyDescent="0.25">
      <c r="A8350" s="8"/>
      <c r="C8350" s="5"/>
      <c r="M8350" s="9"/>
    </row>
    <row r="8351" spans="1:13" x14ac:dyDescent="0.25">
      <c r="A8351" s="8"/>
      <c r="C8351" s="5"/>
      <c r="M8351" s="9"/>
    </row>
    <row r="8352" spans="1:13" x14ac:dyDescent="0.25">
      <c r="A8352" s="8"/>
      <c r="C8352" s="5"/>
      <c r="M8352" s="9"/>
    </row>
    <row r="8353" spans="1:13" x14ac:dyDescent="0.25">
      <c r="A8353" s="8"/>
      <c r="C8353" s="5"/>
      <c r="M8353" s="9"/>
    </row>
    <row r="8354" spans="1:13" x14ac:dyDescent="0.25">
      <c r="A8354" s="8"/>
      <c r="C8354" s="5"/>
      <c r="M8354" s="9"/>
    </row>
    <row r="8355" spans="1:13" x14ac:dyDescent="0.25">
      <c r="A8355" s="8"/>
      <c r="C8355" s="5"/>
      <c r="M8355" s="9"/>
    </row>
    <row r="8356" spans="1:13" x14ac:dyDescent="0.25">
      <c r="A8356" s="8"/>
      <c r="C8356" s="5"/>
      <c r="M8356" s="9"/>
    </row>
    <row r="8357" spans="1:13" x14ac:dyDescent="0.25">
      <c r="A8357" s="8"/>
      <c r="C8357" s="5"/>
      <c r="M8357" s="9"/>
    </row>
    <row r="8358" spans="1:13" x14ac:dyDescent="0.25">
      <c r="A8358" s="8"/>
      <c r="C8358" s="5"/>
      <c r="M8358" s="9"/>
    </row>
    <row r="8359" spans="1:13" x14ac:dyDescent="0.25">
      <c r="A8359" s="8"/>
      <c r="C8359" s="5"/>
      <c r="M8359" s="9"/>
    </row>
    <row r="8360" spans="1:13" x14ac:dyDescent="0.25">
      <c r="A8360" s="8"/>
      <c r="C8360" s="5"/>
      <c r="M8360" s="9"/>
    </row>
    <row r="8361" spans="1:13" x14ac:dyDescent="0.25">
      <c r="A8361" s="8"/>
      <c r="C8361" s="5"/>
      <c r="M8361" s="9"/>
    </row>
    <row r="8362" spans="1:13" x14ac:dyDescent="0.25">
      <c r="A8362" s="8"/>
      <c r="C8362" s="5"/>
      <c r="M8362" s="9"/>
    </row>
    <row r="8363" spans="1:13" x14ac:dyDescent="0.25">
      <c r="A8363" s="8"/>
      <c r="C8363" s="5"/>
      <c r="M8363" s="9"/>
    </row>
    <row r="8364" spans="1:13" x14ac:dyDescent="0.25">
      <c r="A8364" s="8"/>
      <c r="C8364" s="5"/>
      <c r="M8364" s="9"/>
    </row>
    <row r="8365" spans="1:13" x14ac:dyDescent="0.25">
      <c r="A8365" s="8"/>
      <c r="C8365" s="5"/>
      <c r="M8365" s="9"/>
    </row>
    <row r="8366" spans="1:13" x14ac:dyDescent="0.25">
      <c r="A8366" s="8"/>
      <c r="C8366" s="5"/>
      <c r="M8366" s="9"/>
    </row>
    <row r="8367" spans="1:13" x14ac:dyDescent="0.25">
      <c r="A8367" s="8"/>
      <c r="C8367" s="5"/>
      <c r="M8367" s="9"/>
    </row>
    <row r="8368" spans="1:13" x14ac:dyDescent="0.25">
      <c r="A8368" s="8"/>
      <c r="C8368" s="5"/>
      <c r="M8368" s="9"/>
    </row>
    <row r="8369" spans="1:13" x14ac:dyDescent="0.25">
      <c r="A8369" s="8"/>
      <c r="C8369" s="5"/>
      <c r="M8369" s="9"/>
    </row>
    <row r="8370" spans="1:13" x14ac:dyDescent="0.25">
      <c r="A8370" s="8"/>
      <c r="C8370" s="5"/>
      <c r="M8370" s="9"/>
    </row>
    <row r="8371" spans="1:13" x14ac:dyDescent="0.25">
      <c r="A8371" s="8"/>
      <c r="C8371" s="5"/>
      <c r="M8371" s="9"/>
    </row>
    <row r="8372" spans="1:13" x14ac:dyDescent="0.25">
      <c r="A8372" s="8"/>
      <c r="C8372" s="5"/>
      <c r="M8372" s="9"/>
    </row>
    <row r="8373" spans="1:13" x14ac:dyDescent="0.25">
      <c r="A8373" s="8"/>
      <c r="C8373" s="5"/>
      <c r="M8373" s="9"/>
    </row>
    <row r="8374" spans="1:13" x14ac:dyDescent="0.25">
      <c r="A8374" s="8"/>
      <c r="C8374" s="5"/>
      <c r="M8374" s="9"/>
    </row>
    <row r="8375" spans="1:13" x14ac:dyDescent="0.25">
      <c r="A8375" s="8"/>
      <c r="C8375" s="5"/>
      <c r="M8375" s="9"/>
    </row>
    <row r="8376" spans="1:13" x14ac:dyDescent="0.25">
      <c r="A8376" s="8"/>
      <c r="C8376" s="5"/>
      <c r="M8376" s="9"/>
    </row>
    <row r="8377" spans="1:13" x14ac:dyDescent="0.25">
      <c r="A8377" s="8"/>
      <c r="C8377" s="5"/>
      <c r="M8377" s="9"/>
    </row>
    <row r="8378" spans="1:13" x14ac:dyDescent="0.25">
      <c r="A8378" s="8"/>
      <c r="C8378" s="5"/>
      <c r="M8378" s="9"/>
    </row>
    <row r="8379" spans="1:13" x14ac:dyDescent="0.25">
      <c r="A8379" s="8"/>
      <c r="C8379" s="5"/>
      <c r="M8379" s="9"/>
    </row>
    <row r="8380" spans="1:13" x14ac:dyDescent="0.25">
      <c r="A8380" s="8"/>
      <c r="C8380" s="5"/>
      <c r="M8380" s="9"/>
    </row>
    <row r="8381" spans="1:13" x14ac:dyDescent="0.25">
      <c r="A8381" s="8"/>
      <c r="C8381" s="5"/>
      <c r="M8381" s="9"/>
    </row>
    <row r="8382" spans="1:13" x14ac:dyDescent="0.25">
      <c r="A8382" s="8"/>
      <c r="C8382" s="5"/>
      <c r="M8382" s="9"/>
    </row>
    <row r="8383" spans="1:13" x14ac:dyDescent="0.25">
      <c r="A8383" s="8"/>
      <c r="C8383" s="5"/>
      <c r="M8383" s="9"/>
    </row>
    <row r="8384" spans="1:13" x14ac:dyDescent="0.25">
      <c r="A8384" s="8"/>
      <c r="C8384" s="5"/>
      <c r="M8384" s="9"/>
    </row>
    <row r="8385" spans="1:13" x14ac:dyDescent="0.25">
      <c r="A8385" s="8"/>
      <c r="C8385" s="5"/>
      <c r="M8385" s="9"/>
    </row>
    <row r="8386" spans="1:13" x14ac:dyDescent="0.25">
      <c r="A8386" s="8"/>
      <c r="C8386" s="5"/>
      <c r="M8386" s="9"/>
    </row>
    <row r="8387" spans="1:13" x14ac:dyDescent="0.25">
      <c r="A8387" s="8"/>
      <c r="C8387" s="5"/>
      <c r="M8387" s="9"/>
    </row>
    <row r="8388" spans="1:13" x14ac:dyDescent="0.25">
      <c r="A8388" s="8"/>
      <c r="C8388" s="5"/>
      <c r="M8388" s="9"/>
    </row>
    <row r="8389" spans="1:13" x14ac:dyDescent="0.25">
      <c r="A8389" s="8"/>
      <c r="C8389" s="5"/>
      <c r="M8389" s="9"/>
    </row>
    <row r="8390" spans="1:13" x14ac:dyDescent="0.25">
      <c r="A8390" s="8"/>
      <c r="C8390" s="5"/>
      <c r="M8390" s="9"/>
    </row>
    <row r="8391" spans="1:13" x14ac:dyDescent="0.25">
      <c r="A8391" s="8"/>
      <c r="C8391" s="5"/>
      <c r="M8391" s="9"/>
    </row>
    <row r="8392" spans="1:13" x14ac:dyDescent="0.25">
      <c r="A8392" s="8"/>
      <c r="C8392" s="5"/>
      <c r="M8392" s="9"/>
    </row>
    <row r="8393" spans="1:13" x14ac:dyDescent="0.25">
      <c r="A8393" s="8"/>
      <c r="C8393" s="5"/>
      <c r="M8393" s="9"/>
    </row>
    <row r="8394" spans="1:13" x14ac:dyDescent="0.25">
      <c r="A8394" s="8"/>
      <c r="C8394" s="5"/>
      <c r="M8394" s="9"/>
    </row>
    <row r="8395" spans="1:13" x14ac:dyDescent="0.25">
      <c r="A8395" s="8"/>
      <c r="C8395" s="5"/>
      <c r="M8395" s="9"/>
    </row>
    <row r="8396" spans="1:13" x14ac:dyDescent="0.25">
      <c r="A8396" s="8"/>
      <c r="C8396" s="5"/>
      <c r="M8396" s="9"/>
    </row>
    <row r="8397" spans="1:13" x14ac:dyDescent="0.25">
      <c r="A8397" s="8"/>
      <c r="C8397" s="5"/>
      <c r="M8397" s="9"/>
    </row>
    <row r="8398" spans="1:13" x14ac:dyDescent="0.25">
      <c r="A8398" s="8"/>
      <c r="C8398" s="5"/>
      <c r="M8398" s="9"/>
    </row>
    <row r="8399" spans="1:13" x14ac:dyDescent="0.25">
      <c r="A8399" s="8"/>
      <c r="C8399" s="5"/>
      <c r="M8399" s="9"/>
    </row>
    <row r="8400" spans="1:13" x14ac:dyDescent="0.25">
      <c r="A8400" s="8"/>
      <c r="C8400" s="5"/>
      <c r="M8400" s="9"/>
    </row>
    <row r="8401" spans="1:13" x14ac:dyDescent="0.25">
      <c r="A8401" s="8"/>
      <c r="C8401" s="5"/>
      <c r="M8401" s="9"/>
    </row>
    <row r="8402" spans="1:13" x14ac:dyDescent="0.25">
      <c r="A8402" s="8"/>
      <c r="C8402" s="5"/>
      <c r="M8402" s="9"/>
    </row>
    <row r="8403" spans="1:13" x14ac:dyDescent="0.25">
      <c r="A8403" s="8"/>
      <c r="C8403" s="5"/>
      <c r="M8403" s="9"/>
    </row>
    <row r="8404" spans="1:13" x14ac:dyDescent="0.25">
      <c r="A8404" s="8"/>
      <c r="C8404" s="5"/>
      <c r="M8404" s="9"/>
    </row>
    <row r="8405" spans="1:13" x14ac:dyDescent="0.25">
      <c r="A8405" s="8"/>
      <c r="C8405" s="5"/>
      <c r="M8405" s="9"/>
    </row>
    <row r="8406" spans="1:13" x14ac:dyDescent="0.25">
      <c r="A8406" s="8"/>
      <c r="C8406" s="5"/>
      <c r="M8406" s="9"/>
    </row>
    <row r="8407" spans="1:13" x14ac:dyDescent="0.25">
      <c r="A8407" s="8"/>
      <c r="C8407" s="5"/>
      <c r="M8407" s="9"/>
    </row>
    <row r="8408" spans="1:13" x14ac:dyDescent="0.25">
      <c r="A8408" s="8"/>
      <c r="C8408" s="5"/>
      <c r="M8408" s="9"/>
    </row>
    <row r="8409" spans="1:13" x14ac:dyDescent="0.25">
      <c r="A8409" s="8"/>
      <c r="C8409" s="5"/>
      <c r="M8409" s="9"/>
    </row>
    <row r="8410" spans="1:13" x14ac:dyDescent="0.25">
      <c r="A8410" s="8"/>
      <c r="C8410" s="5"/>
      <c r="M8410" s="9"/>
    </row>
    <row r="8411" spans="1:13" x14ac:dyDescent="0.25">
      <c r="A8411" s="8"/>
      <c r="C8411" s="5"/>
      <c r="M8411" s="9"/>
    </row>
    <row r="8412" spans="1:13" x14ac:dyDescent="0.25">
      <c r="A8412" s="8"/>
      <c r="C8412" s="5"/>
      <c r="M8412" s="9"/>
    </row>
    <row r="8413" spans="1:13" x14ac:dyDescent="0.25">
      <c r="A8413" s="8"/>
      <c r="C8413" s="5"/>
      <c r="M8413" s="9"/>
    </row>
    <row r="8414" spans="1:13" x14ac:dyDescent="0.25">
      <c r="A8414" s="8"/>
      <c r="C8414" s="5"/>
      <c r="M8414" s="9"/>
    </row>
    <row r="8415" spans="1:13" x14ac:dyDescent="0.25">
      <c r="A8415" s="8"/>
      <c r="C8415" s="5"/>
      <c r="M8415" s="9"/>
    </row>
    <row r="8416" spans="1:13" x14ac:dyDescent="0.25">
      <c r="A8416" s="8"/>
      <c r="C8416" s="5"/>
      <c r="M8416" s="9"/>
    </row>
    <row r="8417" spans="1:13" x14ac:dyDescent="0.25">
      <c r="A8417" s="8"/>
      <c r="C8417" s="5"/>
      <c r="M8417" s="9"/>
    </row>
    <row r="8418" spans="1:13" x14ac:dyDescent="0.25">
      <c r="A8418" s="8"/>
      <c r="C8418" s="5"/>
      <c r="M8418" s="9"/>
    </row>
    <row r="8419" spans="1:13" x14ac:dyDescent="0.25">
      <c r="A8419" s="8"/>
      <c r="C8419" s="5"/>
      <c r="M8419" s="9"/>
    </row>
    <row r="8420" spans="1:13" x14ac:dyDescent="0.25">
      <c r="A8420" s="8"/>
      <c r="C8420" s="5"/>
      <c r="M8420" s="9"/>
    </row>
    <row r="8421" spans="1:13" x14ac:dyDescent="0.25">
      <c r="A8421" s="8"/>
      <c r="C8421" s="5"/>
      <c r="M8421" s="9"/>
    </row>
    <row r="8422" spans="1:13" x14ac:dyDescent="0.25">
      <c r="A8422" s="8"/>
      <c r="C8422" s="5"/>
      <c r="M8422" s="9"/>
    </row>
    <row r="8423" spans="1:13" x14ac:dyDescent="0.25">
      <c r="A8423" s="8"/>
      <c r="C8423" s="5"/>
      <c r="M8423" s="9"/>
    </row>
    <row r="8424" spans="1:13" x14ac:dyDescent="0.25">
      <c r="A8424" s="8"/>
      <c r="C8424" s="5"/>
      <c r="M8424" s="9"/>
    </row>
    <row r="8425" spans="1:13" x14ac:dyDescent="0.25">
      <c r="A8425" s="8"/>
      <c r="C8425" s="5"/>
      <c r="M8425" s="9"/>
    </row>
    <row r="8426" spans="1:13" x14ac:dyDescent="0.25">
      <c r="A8426" s="8"/>
      <c r="C8426" s="5"/>
      <c r="M8426" s="9"/>
    </row>
    <row r="8427" spans="1:13" x14ac:dyDescent="0.25">
      <c r="A8427" s="8"/>
      <c r="C8427" s="5"/>
      <c r="M8427" s="9"/>
    </row>
    <row r="8428" spans="1:13" x14ac:dyDescent="0.25">
      <c r="A8428" s="8"/>
      <c r="C8428" s="5"/>
      <c r="M8428" s="9"/>
    </row>
    <row r="8429" spans="1:13" x14ac:dyDescent="0.25">
      <c r="A8429" s="8"/>
      <c r="C8429" s="5"/>
      <c r="M8429" s="9"/>
    </row>
    <row r="8430" spans="1:13" x14ac:dyDescent="0.25">
      <c r="A8430" s="8"/>
      <c r="C8430" s="5"/>
      <c r="M8430" s="9"/>
    </row>
    <row r="8431" spans="1:13" x14ac:dyDescent="0.25">
      <c r="A8431" s="8"/>
      <c r="C8431" s="5"/>
      <c r="M8431" s="9"/>
    </row>
    <row r="8432" spans="1:13" x14ac:dyDescent="0.25">
      <c r="A8432" s="8"/>
      <c r="C8432" s="5"/>
      <c r="M8432" s="9"/>
    </row>
    <row r="8433" spans="1:13" x14ac:dyDescent="0.25">
      <c r="A8433" s="8"/>
      <c r="C8433" s="5"/>
      <c r="M8433" s="9"/>
    </row>
    <row r="8434" spans="1:13" x14ac:dyDescent="0.25">
      <c r="A8434" s="8"/>
      <c r="C8434" s="5"/>
      <c r="M8434" s="9"/>
    </row>
    <row r="8435" spans="1:13" x14ac:dyDescent="0.25">
      <c r="A8435" s="8"/>
      <c r="C8435" s="5"/>
      <c r="M8435" s="9"/>
    </row>
    <row r="8436" spans="1:13" x14ac:dyDescent="0.25">
      <c r="A8436" s="8"/>
      <c r="C8436" s="5"/>
      <c r="M8436" s="9"/>
    </row>
    <row r="8437" spans="1:13" x14ac:dyDescent="0.25">
      <c r="A8437" s="8"/>
      <c r="C8437" s="5"/>
      <c r="M8437" s="9"/>
    </row>
    <row r="8438" spans="1:13" x14ac:dyDescent="0.25">
      <c r="A8438" s="8"/>
      <c r="C8438" s="5"/>
      <c r="M8438" s="9"/>
    </row>
    <row r="8439" spans="1:13" x14ac:dyDescent="0.25">
      <c r="A8439" s="8"/>
      <c r="C8439" s="5"/>
      <c r="M8439" s="9"/>
    </row>
    <row r="8440" spans="1:13" x14ac:dyDescent="0.25">
      <c r="A8440" s="8"/>
      <c r="C8440" s="5"/>
      <c r="M8440" s="9"/>
    </row>
    <row r="8441" spans="1:13" x14ac:dyDescent="0.25">
      <c r="A8441" s="8"/>
      <c r="C8441" s="5"/>
      <c r="M8441" s="9"/>
    </row>
    <row r="8442" spans="1:13" x14ac:dyDescent="0.25">
      <c r="A8442" s="8"/>
      <c r="C8442" s="5"/>
      <c r="M8442" s="9"/>
    </row>
    <row r="8443" spans="1:13" x14ac:dyDescent="0.25">
      <c r="A8443" s="8"/>
      <c r="C8443" s="5"/>
      <c r="M8443" s="9"/>
    </row>
    <row r="8444" spans="1:13" x14ac:dyDescent="0.25">
      <c r="A8444" s="8"/>
      <c r="C8444" s="5"/>
      <c r="M8444" s="9"/>
    </row>
    <row r="8445" spans="1:13" x14ac:dyDescent="0.25">
      <c r="A8445" s="8"/>
      <c r="C8445" s="5"/>
      <c r="M8445" s="9"/>
    </row>
    <row r="8446" spans="1:13" x14ac:dyDescent="0.25">
      <c r="A8446" s="8"/>
      <c r="C8446" s="5"/>
      <c r="M8446" s="9"/>
    </row>
    <row r="8447" spans="1:13" x14ac:dyDescent="0.25">
      <c r="A8447" s="8"/>
      <c r="C8447" s="5"/>
      <c r="M8447" s="9"/>
    </row>
    <row r="8448" spans="1:13" x14ac:dyDescent="0.25">
      <c r="A8448" s="8"/>
      <c r="C8448" s="5"/>
      <c r="M8448" s="9"/>
    </row>
    <row r="8449" spans="1:13" x14ac:dyDescent="0.25">
      <c r="A8449" s="8"/>
      <c r="C8449" s="5"/>
      <c r="M8449" s="9"/>
    </row>
    <row r="8450" spans="1:13" x14ac:dyDescent="0.25">
      <c r="A8450" s="8"/>
      <c r="C8450" s="5"/>
      <c r="M8450" s="9"/>
    </row>
    <row r="8451" spans="1:13" x14ac:dyDescent="0.25">
      <c r="A8451" s="8"/>
      <c r="C8451" s="5"/>
      <c r="M8451" s="9"/>
    </row>
    <row r="8452" spans="1:13" x14ac:dyDescent="0.25">
      <c r="A8452" s="8"/>
      <c r="C8452" s="5"/>
      <c r="M8452" s="9"/>
    </row>
    <row r="8453" spans="1:13" x14ac:dyDescent="0.25">
      <c r="A8453" s="8"/>
      <c r="C8453" s="5"/>
      <c r="M8453" s="9"/>
    </row>
    <row r="8454" spans="1:13" x14ac:dyDescent="0.25">
      <c r="A8454" s="8"/>
      <c r="C8454" s="5"/>
      <c r="M8454" s="9"/>
    </row>
    <row r="8455" spans="1:13" x14ac:dyDescent="0.25">
      <c r="A8455" s="8"/>
      <c r="C8455" s="5"/>
      <c r="M8455" s="9"/>
    </row>
    <row r="8456" spans="1:13" x14ac:dyDescent="0.25">
      <c r="A8456" s="8"/>
      <c r="C8456" s="5"/>
      <c r="M8456" s="9"/>
    </row>
    <row r="8457" spans="1:13" x14ac:dyDescent="0.25">
      <c r="A8457" s="8"/>
      <c r="C8457" s="5"/>
      <c r="M8457" s="9"/>
    </row>
    <row r="8458" spans="1:13" x14ac:dyDescent="0.25">
      <c r="A8458" s="8"/>
      <c r="C8458" s="5"/>
      <c r="M8458" s="9"/>
    </row>
    <row r="8459" spans="1:13" x14ac:dyDescent="0.25">
      <c r="A8459" s="8"/>
      <c r="C8459" s="5"/>
      <c r="M8459" s="9"/>
    </row>
    <row r="8460" spans="1:13" x14ac:dyDescent="0.25">
      <c r="A8460" s="8"/>
      <c r="C8460" s="5"/>
      <c r="M8460" s="9"/>
    </row>
    <row r="8461" spans="1:13" x14ac:dyDescent="0.25">
      <c r="A8461" s="8"/>
      <c r="C8461" s="5"/>
      <c r="M8461" s="9"/>
    </row>
    <row r="8462" spans="1:13" x14ac:dyDescent="0.25">
      <c r="A8462" s="8"/>
      <c r="C8462" s="5"/>
      <c r="M8462" s="9"/>
    </row>
    <row r="8463" spans="1:13" x14ac:dyDescent="0.25">
      <c r="A8463" s="8"/>
      <c r="C8463" s="5"/>
      <c r="M8463" s="9"/>
    </row>
    <row r="8464" spans="1:13" x14ac:dyDescent="0.25">
      <c r="A8464" s="8"/>
      <c r="C8464" s="5"/>
      <c r="M8464" s="9"/>
    </row>
    <row r="8465" spans="1:13" x14ac:dyDescent="0.25">
      <c r="A8465" s="8"/>
      <c r="C8465" s="5"/>
      <c r="M8465" s="9"/>
    </row>
    <row r="8466" spans="1:13" x14ac:dyDescent="0.25">
      <c r="A8466" s="8"/>
      <c r="C8466" s="5"/>
      <c r="M8466" s="9"/>
    </row>
    <row r="8467" spans="1:13" x14ac:dyDescent="0.25">
      <c r="A8467" s="8"/>
      <c r="C8467" s="5"/>
      <c r="M8467" s="9"/>
    </row>
    <row r="8468" spans="1:13" x14ac:dyDescent="0.25">
      <c r="A8468" s="8"/>
      <c r="C8468" s="5"/>
      <c r="M8468" s="9"/>
    </row>
    <row r="8469" spans="1:13" x14ac:dyDescent="0.25">
      <c r="A8469" s="8"/>
      <c r="C8469" s="5"/>
      <c r="M8469" s="9"/>
    </row>
    <row r="8470" spans="1:13" x14ac:dyDescent="0.25">
      <c r="A8470" s="8"/>
      <c r="C8470" s="5"/>
      <c r="M8470" s="9"/>
    </row>
    <row r="8471" spans="1:13" x14ac:dyDescent="0.25">
      <c r="A8471" s="8"/>
      <c r="C8471" s="5"/>
      <c r="M8471" s="9"/>
    </row>
    <row r="8472" spans="1:13" x14ac:dyDescent="0.25">
      <c r="A8472" s="8"/>
      <c r="C8472" s="5"/>
      <c r="M8472" s="9"/>
    </row>
    <row r="8473" spans="1:13" x14ac:dyDescent="0.25">
      <c r="A8473" s="8"/>
      <c r="C8473" s="5"/>
      <c r="M8473" s="9"/>
    </row>
    <row r="8474" spans="1:13" x14ac:dyDescent="0.25">
      <c r="A8474" s="8"/>
      <c r="C8474" s="5"/>
      <c r="M8474" s="9"/>
    </row>
    <row r="8475" spans="1:13" x14ac:dyDescent="0.25">
      <c r="A8475" s="8"/>
      <c r="C8475" s="5"/>
      <c r="M8475" s="9"/>
    </row>
    <row r="8476" spans="1:13" x14ac:dyDescent="0.25">
      <c r="A8476" s="8"/>
      <c r="C8476" s="5"/>
      <c r="M8476" s="9"/>
    </row>
    <row r="8477" spans="1:13" x14ac:dyDescent="0.25">
      <c r="A8477" s="8"/>
      <c r="C8477" s="5"/>
      <c r="M8477" s="9"/>
    </row>
    <row r="8478" spans="1:13" x14ac:dyDescent="0.25">
      <c r="A8478" s="8"/>
      <c r="C8478" s="5"/>
      <c r="M8478" s="9"/>
    </row>
    <row r="8479" spans="1:13" x14ac:dyDescent="0.25">
      <c r="A8479" s="8"/>
      <c r="C8479" s="5"/>
      <c r="M8479" s="9"/>
    </row>
    <row r="8480" spans="1:13" x14ac:dyDescent="0.25">
      <c r="A8480" s="8"/>
      <c r="C8480" s="5"/>
      <c r="M8480" s="9"/>
    </row>
    <row r="8481" spans="1:13" x14ac:dyDescent="0.25">
      <c r="A8481" s="8"/>
      <c r="C8481" s="5"/>
      <c r="M8481" s="9"/>
    </row>
    <row r="8482" spans="1:13" x14ac:dyDescent="0.25">
      <c r="A8482" s="8"/>
      <c r="C8482" s="5"/>
      <c r="M8482" s="9"/>
    </row>
    <row r="8483" spans="1:13" x14ac:dyDescent="0.25">
      <c r="A8483" s="8"/>
      <c r="C8483" s="5"/>
      <c r="M8483" s="9"/>
    </row>
    <row r="8484" spans="1:13" x14ac:dyDescent="0.25">
      <c r="A8484" s="8"/>
      <c r="C8484" s="5"/>
      <c r="M8484" s="9"/>
    </row>
    <row r="8485" spans="1:13" x14ac:dyDescent="0.25">
      <c r="A8485" s="8"/>
      <c r="C8485" s="5"/>
      <c r="M8485" s="9"/>
    </row>
    <row r="8486" spans="1:13" x14ac:dyDescent="0.25">
      <c r="A8486" s="8"/>
      <c r="C8486" s="5"/>
      <c r="M8486" s="9"/>
    </row>
    <row r="8487" spans="1:13" x14ac:dyDescent="0.25">
      <c r="A8487" s="8"/>
      <c r="C8487" s="5"/>
      <c r="M8487" s="9"/>
    </row>
    <row r="8488" spans="1:13" x14ac:dyDescent="0.25">
      <c r="A8488" s="8"/>
      <c r="C8488" s="5"/>
      <c r="M8488" s="9"/>
    </row>
    <row r="8489" spans="1:13" x14ac:dyDescent="0.25">
      <c r="A8489" s="8"/>
      <c r="C8489" s="5"/>
      <c r="M8489" s="9"/>
    </row>
    <row r="8490" spans="1:13" x14ac:dyDescent="0.25">
      <c r="A8490" s="8"/>
      <c r="C8490" s="5"/>
      <c r="M8490" s="9"/>
    </row>
    <row r="8491" spans="1:13" x14ac:dyDescent="0.25">
      <c r="A8491" s="8"/>
      <c r="C8491" s="5"/>
      <c r="M8491" s="9"/>
    </row>
    <row r="8492" spans="1:13" x14ac:dyDescent="0.25">
      <c r="A8492" s="8"/>
      <c r="C8492" s="5"/>
      <c r="M8492" s="9"/>
    </row>
    <row r="8493" spans="1:13" x14ac:dyDescent="0.25">
      <c r="A8493" s="8"/>
      <c r="C8493" s="5"/>
      <c r="M8493" s="9"/>
    </row>
    <row r="8494" spans="1:13" x14ac:dyDescent="0.25">
      <c r="A8494" s="8"/>
      <c r="C8494" s="5"/>
      <c r="M8494" s="9"/>
    </row>
    <row r="8495" spans="1:13" x14ac:dyDescent="0.25">
      <c r="A8495" s="8"/>
      <c r="C8495" s="5"/>
      <c r="M8495" s="9"/>
    </row>
    <row r="8496" spans="1:13" x14ac:dyDescent="0.25">
      <c r="A8496" s="8"/>
      <c r="C8496" s="5"/>
      <c r="M8496" s="9"/>
    </row>
    <row r="8497" spans="1:13" x14ac:dyDescent="0.25">
      <c r="A8497" s="8"/>
      <c r="C8497" s="5"/>
      <c r="M8497" s="9"/>
    </row>
    <row r="8498" spans="1:13" x14ac:dyDescent="0.25">
      <c r="A8498" s="8"/>
      <c r="C8498" s="5"/>
      <c r="M8498" s="9"/>
    </row>
    <row r="8499" spans="1:13" x14ac:dyDescent="0.25">
      <c r="A8499" s="8"/>
      <c r="C8499" s="5"/>
      <c r="M8499" s="9"/>
    </row>
    <row r="8500" spans="1:13" x14ac:dyDescent="0.25">
      <c r="A8500" s="8"/>
      <c r="C8500" s="5"/>
      <c r="M8500" s="9"/>
    </row>
    <row r="8501" spans="1:13" x14ac:dyDescent="0.25">
      <c r="A8501" s="8"/>
      <c r="C8501" s="5"/>
      <c r="M8501" s="9"/>
    </row>
    <row r="8502" spans="1:13" x14ac:dyDescent="0.25">
      <c r="A8502" s="8"/>
      <c r="C8502" s="5"/>
      <c r="M8502" s="9"/>
    </row>
    <row r="8503" spans="1:13" x14ac:dyDescent="0.25">
      <c r="A8503" s="8"/>
      <c r="C8503" s="5"/>
      <c r="M8503" s="9"/>
    </row>
    <row r="8504" spans="1:13" x14ac:dyDescent="0.25">
      <c r="A8504" s="8"/>
      <c r="C8504" s="5"/>
      <c r="M8504" s="9"/>
    </row>
    <row r="8505" spans="1:13" x14ac:dyDescent="0.25">
      <c r="A8505" s="8"/>
      <c r="C8505" s="5"/>
      <c r="M8505" s="9"/>
    </row>
    <row r="8506" spans="1:13" x14ac:dyDescent="0.25">
      <c r="A8506" s="8"/>
      <c r="C8506" s="5"/>
      <c r="M8506" s="9"/>
    </row>
    <row r="8507" spans="1:13" x14ac:dyDescent="0.25">
      <c r="A8507" s="8"/>
      <c r="C8507" s="5"/>
      <c r="M8507" s="9"/>
    </row>
    <row r="8508" spans="1:13" x14ac:dyDescent="0.25">
      <c r="A8508" s="8"/>
      <c r="C8508" s="5"/>
      <c r="M8508" s="9"/>
    </row>
    <row r="8509" spans="1:13" x14ac:dyDescent="0.25">
      <c r="A8509" s="8"/>
      <c r="C8509" s="5"/>
      <c r="M8509" s="9"/>
    </row>
    <row r="8510" spans="1:13" x14ac:dyDescent="0.25">
      <c r="A8510" s="8"/>
      <c r="C8510" s="5"/>
      <c r="M8510" s="9"/>
    </row>
    <row r="8511" spans="1:13" x14ac:dyDescent="0.25">
      <c r="A8511" s="8"/>
      <c r="C8511" s="5"/>
      <c r="M8511" s="9"/>
    </row>
    <row r="8512" spans="1:13" x14ac:dyDescent="0.25">
      <c r="A8512" s="8"/>
      <c r="C8512" s="5"/>
      <c r="M8512" s="9"/>
    </row>
    <row r="8513" spans="1:13" x14ac:dyDescent="0.25">
      <c r="A8513" s="8"/>
      <c r="C8513" s="5"/>
      <c r="M8513" s="9"/>
    </row>
    <row r="8514" spans="1:13" x14ac:dyDescent="0.25">
      <c r="A8514" s="8"/>
      <c r="C8514" s="5"/>
      <c r="M8514" s="9"/>
    </row>
    <row r="8515" spans="1:13" x14ac:dyDescent="0.25">
      <c r="A8515" s="8"/>
      <c r="C8515" s="5"/>
      <c r="M8515" s="9"/>
    </row>
    <row r="8516" spans="1:13" x14ac:dyDescent="0.25">
      <c r="A8516" s="8"/>
      <c r="C8516" s="5"/>
      <c r="M8516" s="9"/>
    </row>
    <row r="8517" spans="1:13" x14ac:dyDescent="0.25">
      <c r="A8517" s="8"/>
      <c r="C8517" s="5"/>
      <c r="M8517" s="9"/>
    </row>
    <row r="8518" spans="1:13" x14ac:dyDescent="0.25">
      <c r="A8518" s="8"/>
      <c r="C8518" s="5"/>
      <c r="M8518" s="9"/>
    </row>
    <row r="8519" spans="1:13" x14ac:dyDescent="0.25">
      <c r="A8519" s="8"/>
      <c r="C8519" s="5"/>
      <c r="M8519" s="9"/>
    </row>
    <row r="8520" spans="1:13" x14ac:dyDescent="0.25">
      <c r="A8520" s="8"/>
      <c r="C8520" s="5"/>
      <c r="M8520" s="9"/>
    </row>
    <row r="8521" spans="1:13" x14ac:dyDescent="0.25">
      <c r="A8521" s="8"/>
      <c r="C8521" s="5"/>
      <c r="M8521" s="9"/>
    </row>
    <row r="8522" spans="1:13" x14ac:dyDescent="0.25">
      <c r="A8522" s="8"/>
      <c r="C8522" s="5"/>
      <c r="M8522" s="9"/>
    </row>
    <row r="8523" spans="1:13" x14ac:dyDescent="0.25">
      <c r="A8523" s="8"/>
      <c r="C8523" s="5"/>
      <c r="M8523" s="9"/>
    </row>
    <row r="8524" spans="1:13" x14ac:dyDescent="0.25">
      <c r="A8524" s="8"/>
      <c r="C8524" s="5"/>
      <c r="M8524" s="9"/>
    </row>
    <row r="8525" spans="1:13" x14ac:dyDescent="0.25">
      <c r="A8525" s="8"/>
      <c r="C8525" s="5"/>
      <c r="M8525" s="9"/>
    </row>
    <row r="8526" spans="1:13" x14ac:dyDescent="0.25">
      <c r="A8526" s="8"/>
      <c r="C8526" s="5"/>
      <c r="M8526" s="9"/>
    </row>
    <row r="8527" spans="1:13" x14ac:dyDescent="0.25">
      <c r="A8527" s="8"/>
      <c r="C8527" s="5"/>
      <c r="M8527" s="9"/>
    </row>
    <row r="8528" spans="1:13" x14ac:dyDescent="0.25">
      <c r="A8528" s="8"/>
      <c r="C8528" s="5"/>
      <c r="M8528" s="9"/>
    </row>
    <row r="8529" spans="1:13" x14ac:dyDescent="0.25">
      <c r="A8529" s="8"/>
      <c r="C8529" s="5"/>
      <c r="M8529" s="9"/>
    </row>
    <row r="8530" spans="1:13" x14ac:dyDescent="0.25">
      <c r="A8530" s="8"/>
      <c r="C8530" s="5"/>
      <c r="M8530" s="9"/>
    </row>
    <row r="8531" spans="1:13" x14ac:dyDescent="0.25">
      <c r="A8531" s="8"/>
      <c r="C8531" s="5"/>
      <c r="M8531" s="9"/>
    </row>
    <row r="8532" spans="1:13" x14ac:dyDescent="0.25">
      <c r="A8532" s="8"/>
      <c r="C8532" s="5"/>
      <c r="M8532" s="9"/>
    </row>
    <row r="8533" spans="1:13" x14ac:dyDescent="0.25">
      <c r="A8533" s="8"/>
      <c r="C8533" s="5"/>
      <c r="M8533" s="9"/>
    </row>
    <row r="8534" spans="1:13" x14ac:dyDescent="0.25">
      <c r="A8534" s="8"/>
      <c r="C8534" s="5"/>
      <c r="M8534" s="9"/>
    </row>
    <row r="8535" spans="1:13" x14ac:dyDescent="0.25">
      <c r="A8535" s="8"/>
      <c r="C8535" s="5"/>
      <c r="M8535" s="9"/>
    </row>
    <row r="8536" spans="1:13" x14ac:dyDescent="0.25">
      <c r="A8536" s="8"/>
      <c r="C8536" s="5"/>
      <c r="M8536" s="9"/>
    </row>
    <row r="8537" spans="1:13" x14ac:dyDescent="0.25">
      <c r="A8537" s="8"/>
      <c r="C8537" s="5"/>
      <c r="M8537" s="9"/>
    </row>
    <row r="8538" spans="1:13" x14ac:dyDescent="0.25">
      <c r="A8538" s="8"/>
      <c r="C8538" s="5"/>
      <c r="M8538" s="9"/>
    </row>
    <row r="8539" spans="1:13" x14ac:dyDescent="0.25">
      <c r="A8539" s="8"/>
      <c r="C8539" s="5"/>
      <c r="M8539" s="9"/>
    </row>
    <row r="8540" spans="1:13" x14ac:dyDescent="0.25">
      <c r="A8540" s="8"/>
      <c r="C8540" s="5"/>
      <c r="M8540" s="9"/>
    </row>
    <row r="8541" spans="1:13" x14ac:dyDescent="0.25">
      <c r="A8541" s="8"/>
      <c r="C8541" s="5"/>
      <c r="M8541" s="9"/>
    </row>
    <row r="8542" spans="1:13" x14ac:dyDescent="0.25">
      <c r="A8542" s="8"/>
      <c r="C8542" s="5"/>
      <c r="M8542" s="9"/>
    </row>
    <row r="8543" spans="1:13" x14ac:dyDescent="0.25">
      <c r="A8543" s="8"/>
      <c r="C8543" s="5"/>
      <c r="M8543" s="9"/>
    </row>
    <row r="8544" spans="1:13" x14ac:dyDescent="0.25">
      <c r="A8544" s="8"/>
      <c r="C8544" s="5"/>
      <c r="M8544" s="9"/>
    </row>
    <row r="8545" spans="1:13" x14ac:dyDescent="0.25">
      <c r="A8545" s="8"/>
      <c r="C8545" s="5"/>
      <c r="M8545" s="9"/>
    </row>
    <row r="8546" spans="1:13" x14ac:dyDescent="0.25">
      <c r="A8546" s="8"/>
      <c r="C8546" s="5"/>
      <c r="M8546" s="9"/>
    </row>
    <row r="8547" spans="1:13" x14ac:dyDescent="0.25">
      <c r="A8547" s="8"/>
      <c r="C8547" s="5"/>
      <c r="M8547" s="9"/>
    </row>
    <row r="8548" spans="1:13" x14ac:dyDescent="0.25">
      <c r="A8548" s="8"/>
      <c r="C8548" s="5"/>
      <c r="M8548" s="9"/>
    </row>
    <row r="8549" spans="1:13" x14ac:dyDescent="0.25">
      <c r="A8549" s="8"/>
      <c r="C8549" s="5"/>
      <c r="M8549" s="9"/>
    </row>
    <row r="8550" spans="1:13" x14ac:dyDescent="0.25">
      <c r="A8550" s="8"/>
      <c r="C8550" s="5"/>
      <c r="M8550" s="9"/>
    </row>
    <row r="8551" spans="1:13" x14ac:dyDescent="0.25">
      <c r="A8551" s="8"/>
      <c r="C8551" s="5"/>
      <c r="M8551" s="9"/>
    </row>
    <row r="8552" spans="1:13" x14ac:dyDescent="0.25">
      <c r="A8552" s="8"/>
      <c r="C8552" s="5"/>
      <c r="M8552" s="9"/>
    </row>
    <row r="8553" spans="1:13" x14ac:dyDescent="0.25">
      <c r="A8553" s="8"/>
      <c r="C8553" s="5"/>
      <c r="M8553" s="9"/>
    </row>
    <row r="8554" spans="1:13" x14ac:dyDescent="0.25">
      <c r="A8554" s="8"/>
      <c r="C8554" s="5"/>
      <c r="M8554" s="9"/>
    </row>
    <row r="8555" spans="1:13" x14ac:dyDescent="0.25">
      <c r="A8555" s="8"/>
      <c r="C8555" s="5"/>
      <c r="M8555" s="9"/>
    </row>
    <row r="8556" spans="1:13" x14ac:dyDescent="0.25">
      <c r="A8556" s="8"/>
      <c r="C8556" s="5"/>
      <c r="M8556" s="9"/>
    </row>
    <row r="8557" spans="1:13" x14ac:dyDescent="0.25">
      <c r="A8557" s="8"/>
      <c r="C8557" s="5"/>
      <c r="M8557" s="9"/>
    </row>
    <row r="8558" spans="1:13" x14ac:dyDescent="0.25">
      <c r="A8558" s="8"/>
      <c r="C8558" s="5"/>
      <c r="M8558" s="9"/>
    </row>
    <row r="8559" spans="1:13" x14ac:dyDescent="0.25">
      <c r="A8559" s="8"/>
      <c r="C8559" s="5"/>
      <c r="M8559" s="9"/>
    </row>
    <row r="8560" spans="1:13" x14ac:dyDescent="0.25">
      <c r="A8560" s="8"/>
      <c r="C8560" s="5"/>
      <c r="M8560" s="9"/>
    </row>
    <row r="8561" spans="1:13" x14ac:dyDescent="0.25">
      <c r="A8561" s="8"/>
      <c r="C8561" s="5"/>
      <c r="M8561" s="9"/>
    </row>
    <row r="8562" spans="1:13" x14ac:dyDescent="0.25">
      <c r="A8562" s="8"/>
      <c r="C8562" s="5"/>
      <c r="M8562" s="9"/>
    </row>
    <row r="8563" spans="1:13" x14ac:dyDescent="0.25">
      <c r="A8563" s="8"/>
      <c r="C8563" s="5"/>
      <c r="M8563" s="9"/>
    </row>
    <row r="8564" spans="1:13" x14ac:dyDescent="0.25">
      <c r="A8564" s="8"/>
      <c r="C8564" s="5"/>
      <c r="M8564" s="9"/>
    </row>
    <row r="8565" spans="1:13" x14ac:dyDescent="0.25">
      <c r="A8565" s="8"/>
      <c r="C8565" s="5"/>
      <c r="M8565" s="9"/>
    </row>
    <row r="8566" spans="1:13" x14ac:dyDescent="0.25">
      <c r="A8566" s="8"/>
      <c r="C8566" s="5"/>
      <c r="M8566" s="9"/>
    </row>
    <row r="8567" spans="1:13" x14ac:dyDescent="0.25">
      <c r="A8567" s="8"/>
      <c r="C8567" s="5"/>
      <c r="M8567" s="9"/>
    </row>
    <row r="8568" spans="1:13" x14ac:dyDescent="0.25">
      <c r="A8568" s="8"/>
      <c r="C8568" s="5"/>
      <c r="M8568" s="9"/>
    </row>
    <row r="8569" spans="1:13" x14ac:dyDescent="0.25">
      <c r="A8569" s="8"/>
      <c r="C8569" s="5"/>
      <c r="M8569" s="9"/>
    </row>
    <row r="8570" spans="1:13" x14ac:dyDescent="0.25">
      <c r="A8570" s="8"/>
      <c r="C8570" s="5"/>
      <c r="M8570" s="9"/>
    </row>
    <row r="8571" spans="1:13" x14ac:dyDescent="0.25">
      <c r="A8571" s="8"/>
      <c r="C8571" s="5"/>
      <c r="M8571" s="9"/>
    </row>
    <row r="8572" spans="1:13" x14ac:dyDescent="0.25">
      <c r="A8572" s="8"/>
      <c r="C8572" s="5"/>
      <c r="M8572" s="9"/>
    </row>
    <row r="8573" spans="1:13" x14ac:dyDescent="0.25">
      <c r="A8573" s="8"/>
      <c r="C8573" s="5"/>
      <c r="M8573" s="9"/>
    </row>
    <row r="8574" spans="1:13" x14ac:dyDescent="0.25">
      <c r="A8574" s="8"/>
      <c r="C8574" s="5"/>
      <c r="M8574" s="9"/>
    </row>
    <row r="8575" spans="1:13" x14ac:dyDescent="0.25">
      <c r="A8575" s="8"/>
      <c r="C8575" s="5"/>
      <c r="M8575" s="9"/>
    </row>
    <row r="8576" spans="1:13" x14ac:dyDescent="0.25">
      <c r="A8576" s="8"/>
      <c r="C8576" s="5"/>
      <c r="M8576" s="9"/>
    </row>
    <row r="8577" spans="1:13" x14ac:dyDescent="0.25">
      <c r="A8577" s="8"/>
      <c r="C8577" s="5"/>
      <c r="M8577" s="9"/>
    </row>
    <row r="8578" spans="1:13" x14ac:dyDescent="0.25">
      <c r="A8578" s="8"/>
      <c r="C8578" s="5"/>
      <c r="M8578" s="9"/>
    </row>
    <row r="8579" spans="1:13" x14ac:dyDescent="0.25">
      <c r="A8579" s="8"/>
      <c r="C8579" s="5"/>
      <c r="M8579" s="9"/>
    </row>
    <row r="8580" spans="1:13" x14ac:dyDescent="0.25">
      <c r="A8580" s="8"/>
      <c r="C8580" s="5"/>
      <c r="M8580" s="9"/>
    </row>
    <row r="8581" spans="1:13" x14ac:dyDescent="0.25">
      <c r="A8581" s="8"/>
      <c r="C8581" s="5"/>
      <c r="M8581" s="9"/>
    </row>
    <row r="8582" spans="1:13" x14ac:dyDescent="0.25">
      <c r="A8582" s="8"/>
      <c r="C8582" s="5"/>
      <c r="M8582" s="9"/>
    </row>
    <row r="8583" spans="1:13" x14ac:dyDescent="0.25">
      <c r="A8583" s="8"/>
      <c r="C8583" s="5"/>
      <c r="M8583" s="9"/>
    </row>
    <row r="8584" spans="1:13" x14ac:dyDescent="0.25">
      <c r="A8584" s="8"/>
      <c r="C8584" s="5"/>
      <c r="M8584" s="9"/>
    </row>
    <row r="8585" spans="1:13" x14ac:dyDescent="0.25">
      <c r="A8585" s="8"/>
      <c r="C8585" s="5"/>
      <c r="M8585" s="9"/>
    </row>
    <row r="8586" spans="1:13" x14ac:dyDescent="0.25">
      <c r="A8586" s="8"/>
      <c r="C8586" s="5"/>
      <c r="M8586" s="9"/>
    </row>
    <row r="8587" spans="1:13" x14ac:dyDescent="0.25">
      <c r="A8587" s="8"/>
      <c r="C8587" s="5"/>
      <c r="M8587" s="9"/>
    </row>
    <row r="8588" spans="1:13" x14ac:dyDescent="0.25">
      <c r="A8588" s="8"/>
      <c r="C8588" s="5"/>
      <c r="M8588" s="9"/>
    </row>
    <row r="8589" spans="1:13" x14ac:dyDescent="0.25">
      <c r="A8589" s="8"/>
      <c r="C8589" s="5"/>
      <c r="M8589" s="9"/>
    </row>
    <row r="8590" spans="1:13" x14ac:dyDescent="0.25">
      <c r="A8590" s="8"/>
      <c r="C8590" s="5"/>
      <c r="M8590" s="9"/>
    </row>
    <row r="8591" spans="1:13" x14ac:dyDescent="0.25">
      <c r="A8591" s="8"/>
      <c r="C8591" s="5"/>
      <c r="M8591" s="9"/>
    </row>
    <row r="8592" spans="1:13" x14ac:dyDescent="0.25">
      <c r="A8592" s="8"/>
      <c r="C8592" s="5"/>
      <c r="M8592" s="9"/>
    </row>
    <row r="8593" spans="1:13" x14ac:dyDescent="0.25">
      <c r="A8593" s="8"/>
      <c r="C8593" s="5"/>
      <c r="M8593" s="9"/>
    </row>
    <row r="8594" spans="1:13" x14ac:dyDescent="0.25">
      <c r="A8594" s="8"/>
      <c r="C8594" s="5"/>
      <c r="M8594" s="9"/>
    </row>
    <row r="8595" spans="1:13" x14ac:dyDescent="0.25">
      <c r="A8595" s="8"/>
      <c r="C8595" s="5"/>
      <c r="M8595" s="9"/>
    </row>
    <row r="8596" spans="1:13" x14ac:dyDescent="0.25">
      <c r="A8596" s="8"/>
      <c r="C8596" s="5"/>
      <c r="M8596" s="9"/>
    </row>
    <row r="8597" spans="1:13" x14ac:dyDescent="0.25">
      <c r="A8597" s="8"/>
      <c r="C8597" s="5"/>
      <c r="M8597" s="9"/>
    </row>
    <row r="8598" spans="1:13" x14ac:dyDescent="0.25">
      <c r="A8598" s="8"/>
      <c r="C8598" s="5"/>
      <c r="M8598" s="9"/>
    </row>
    <row r="8599" spans="1:13" x14ac:dyDescent="0.25">
      <c r="A8599" s="8"/>
      <c r="C8599" s="5"/>
      <c r="M8599" s="9"/>
    </row>
    <row r="8600" spans="1:13" x14ac:dyDescent="0.25">
      <c r="A8600" s="8"/>
      <c r="C8600" s="5"/>
      <c r="M8600" s="9"/>
    </row>
    <row r="8601" spans="1:13" x14ac:dyDescent="0.25">
      <c r="A8601" s="8"/>
      <c r="C8601" s="5"/>
      <c r="M8601" s="9"/>
    </row>
    <row r="8602" spans="1:13" x14ac:dyDescent="0.25">
      <c r="A8602" s="8"/>
      <c r="C8602" s="5"/>
      <c r="M8602" s="9"/>
    </row>
    <row r="8603" spans="1:13" x14ac:dyDescent="0.25">
      <c r="A8603" s="8"/>
      <c r="C8603" s="5"/>
      <c r="M8603" s="9"/>
    </row>
    <row r="8604" spans="1:13" x14ac:dyDescent="0.25">
      <c r="A8604" s="8"/>
      <c r="C8604" s="5"/>
      <c r="M8604" s="9"/>
    </row>
    <row r="8605" spans="1:13" x14ac:dyDescent="0.25">
      <c r="A8605" s="8"/>
      <c r="C8605" s="5"/>
      <c r="M8605" s="9"/>
    </row>
    <row r="8606" spans="1:13" x14ac:dyDescent="0.25">
      <c r="A8606" s="8"/>
      <c r="C8606" s="5"/>
      <c r="M8606" s="9"/>
    </row>
    <row r="8607" spans="1:13" x14ac:dyDescent="0.25">
      <c r="A8607" s="8"/>
      <c r="C8607" s="5"/>
      <c r="M8607" s="9"/>
    </row>
    <row r="8608" spans="1:13" x14ac:dyDescent="0.25">
      <c r="A8608" s="8"/>
      <c r="C8608" s="5"/>
      <c r="M8608" s="9"/>
    </row>
    <row r="8609" spans="1:13" x14ac:dyDescent="0.25">
      <c r="A8609" s="8"/>
      <c r="C8609" s="5"/>
      <c r="M8609" s="9"/>
    </row>
    <row r="8610" spans="1:13" x14ac:dyDescent="0.25">
      <c r="A8610" s="8"/>
      <c r="C8610" s="5"/>
      <c r="M8610" s="9"/>
    </row>
    <row r="8611" spans="1:13" x14ac:dyDescent="0.25">
      <c r="A8611" s="8"/>
      <c r="C8611" s="5"/>
      <c r="M8611" s="9"/>
    </row>
    <row r="8612" spans="1:13" x14ac:dyDescent="0.25">
      <c r="A8612" s="8"/>
      <c r="C8612" s="5"/>
      <c r="M8612" s="9"/>
    </row>
    <row r="8613" spans="1:13" x14ac:dyDescent="0.25">
      <c r="A8613" s="8"/>
      <c r="C8613" s="5"/>
      <c r="M8613" s="9"/>
    </row>
    <row r="8614" spans="1:13" x14ac:dyDescent="0.25">
      <c r="A8614" s="8"/>
      <c r="C8614" s="5"/>
      <c r="M8614" s="9"/>
    </row>
    <row r="8615" spans="1:13" x14ac:dyDescent="0.25">
      <c r="A8615" s="8"/>
      <c r="C8615" s="5"/>
      <c r="M8615" s="9"/>
    </row>
    <row r="8616" spans="1:13" x14ac:dyDescent="0.25">
      <c r="A8616" s="8"/>
      <c r="C8616" s="5"/>
      <c r="M8616" s="9"/>
    </row>
    <row r="8617" spans="1:13" x14ac:dyDescent="0.25">
      <c r="A8617" s="8"/>
      <c r="C8617" s="5"/>
      <c r="M8617" s="9"/>
    </row>
    <row r="8618" spans="1:13" x14ac:dyDescent="0.25">
      <c r="A8618" s="8"/>
      <c r="C8618" s="5"/>
      <c r="M8618" s="9"/>
    </row>
    <row r="8619" spans="1:13" x14ac:dyDescent="0.25">
      <c r="A8619" s="8"/>
      <c r="C8619" s="5"/>
      <c r="M8619" s="9"/>
    </row>
    <row r="8620" spans="1:13" x14ac:dyDescent="0.25">
      <c r="A8620" s="8"/>
      <c r="C8620" s="5"/>
      <c r="M8620" s="9"/>
    </row>
    <row r="8621" spans="1:13" x14ac:dyDescent="0.25">
      <c r="A8621" s="8"/>
      <c r="C8621" s="5"/>
      <c r="M8621" s="9"/>
    </row>
    <row r="8622" spans="1:13" x14ac:dyDescent="0.25">
      <c r="A8622" s="8"/>
      <c r="C8622" s="5"/>
      <c r="M8622" s="9"/>
    </row>
    <row r="8623" spans="1:13" x14ac:dyDescent="0.25">
      <c r="A8623" s="8"/>
      <c r="C8623" s="5"/>
      <c r="M8623" s="9"/>
    </row>
    <row r="8624" spans="1:13" x14ac:dyDescent="0.25">
      <c r="A8624" s="8"/>
      <c r="C8624" s="5"/>
      <c r="M8624" s="9"/>
    </row>
    <row r="8625" spans="1:13" x14ac:dyDescent="0.25">
      <c r="A8625" s="8"/>
      <c r="C8625" s="5"/>
      <c r="M8625" s="9"/>
    </row>
    <row r="8626" spans="1:13" x14ac:dyDescent="0.25">
      <c r="A8626" s="8"/>
      <c r="C8626" s="5"/>
      <c r="M8626" s="9"/>
    </row>
    <row r="8627" spans="1:13" x14ac:dyDescent="0.25">
      <c r="A8627" s="8"/>
      <c r="C8627" s="5"/>
      <c r="M8627" s="9"/>
    </row>
    <row r="8628" spans="1:13" x14ac:dyDescent="0.25">
      <c r="A8628" s="8"/>
      <c r="C8628" s="5"/>
      <c r="M8628" s="9"/>
    </row>
    <row r="8629" spans="1:13" x14ac:dyDescent="0.25">
      <c r="A8629" s="8"/>
      <c r="C8629" s="5"/>
      <c r="M8629" s="9"/>
    </row>
    <row r="8630" spans="1:13" x14ac:dyDescent="0.25">
      <c r="A8630" s="8"/>
      <c r="C8630" s="5"/>
      <c r="M8630" s="9"/>
    </row>
    <row r="8631" spans="1:13" x14ac:dyDescent="0.25">
      <c r="A8631" s="8"/>
      <c r="C8631" s="5"/>
      <c r="M8631" s="9"/>
    </row>
    <row r="8632" spans="1:13" x14ac:dyDescent="0.25">
      <c r="A8632" s="8"/>
      <c r="C8632" s="5"/>
      <c r="M8632" s="9"/>
    </row>
    <row r="8633" spans="1:13" x14ac:dyDescent="0.25">
      <c r="A8633" s="8"/>
      <c r="C8633" s="5"/>
      <c r="M8633" s="9"/>
    </row>
    <row r="8634" spans="1:13" x14ac:dyDescent="0.25">
      <c r="A8634" s="8"/>
      <c r="C8634" s="5"/>
      <c r="M8634" s="9"/>
    </row>
    <row r="8635" spans="1:13" x14ac:dyDescent="0.25">
      <c r="A8635" s="8"/>
      <c r="C8635" s="5"/>
      <c r="M8635" s="9"/>
    </row>
    <row r="8636" spans="1:13" x14ac:dyDescent="0.25">
      <c r="A8636" s="8"/>
      <c r="C8636" s="5"/>
      <c r="M8636" s="9"/>
    </row>
    <row r="8637" spans="1:13" x14ac:dyDescent="0.25">
      <c r="A8637" s="8"/>
      <c r="C8637" s="5"/>
      <c r="M8637" s="9"/>
    </row>
    <row r="8638" spans="1:13" x14ac:dyDescent="0.25">
      <c r="A8638" s="8"/>
      <c r="C8638" s="5"/>
      <c r="M8638" s="9"/>
    </row>
    <row r="8639" spans="1:13" x14ac:dyDescent="0.25">
      <c r="A8639" s="8"/>
      <c r="C8639" s="5"/>
      <c r="M8639" s="9"/>
    </row>
    <row r="8640" spans="1:13" x14ac:dyDescent="0.25">
      <c r="A8640" s="8"/>
      <c r="C8640" s="5"/>
      <c r="M8640" s="9"/>
    </row>
    <row r="8641" spans="1:13" x14ac:dyDescent="0.25">
      <c r="A8641" s="8"/>
      <c r="C8641" s="5"/>
      <c r="M8641" s="9"/>
    </row>
    <row r="8642" spans="1:13" x14ac:dyDescent="0.25">
      <c r="A8642" s="8"/>
      <c r="C8642" s="5"/>
      <c r="M8642" s="9"/>
    </row>
    <row r="8643" spans="1:13" x14ac:dyDescent="0.25">
      <c r="A8643" s="8"/>
      <c r="C8643" s="5"/>
      <c r="M8643" s="9"/>
    </row>
    <row r="8644" spans="1:13" x14ac:dyDescent="0.25">
      <c r="A8644" s="8"/>
      <c r="C8644" s="5"/>
      <c r="M8644" s="9"/>
    </row>
    <row r="8645" spans="1:13" x14ac:dyDescent="0.25">
      <c r="A8645" s="8"/>
      <c r="C8645" s="5"/>
      <c r="M8645" s="9"/>
    </row>
    <row r="8646" spans="1:13" x14ac:dyDescent="0.25">
      <c r="A8646" s="8"/>
      <c r="C8646" s="5"/>
      <c r="M8646" s="9"/>
    </row>
    <row r="8647" spans="1:13" x14ac:dyDescent="0.25">
      <c r="A8647" s="8"/>
      <c r="C8647" s="5"/>
      <c r="M8647" s="9"/>
    </row>
    <row r="8648" spans="1:13" x14ac:dyDescent="0.25">
      <c r="A8648" s="8"/>
      <c r="C8648" s="5"/>
      <c r="M8648" s="9"/>
    </row>
    <row r="8649" spans="1:13" x14ac:dyDescent="0.25">
      <c r="A8649" s="8"/>
      <c r="C8649" s="5"/>
      <c r="M8649" s="9"/>
    </row>
    <row r="8650" spans="1:13" x14ac:dyDescent="0.25">
      <c r="A8650" s="8"/>
      <c r="C8650" s="5"/>
      <c r="M8650" s="9"/>
    </row>
    <row r="8651" spans="1:13" x14ac:dyDescent="0.25">
      <c r="A8651" s="8"/>
      <c r="C8651" s="5"/>
      <c r="M8651" s="9"/>
    </row>
    <row r="8652" spans="1:13" x14ac:dyDescent="0.25">
      <c r="A8652" s="8"/>
      <c r="C8652" s="5"/>
      <c r="M8652" s="9"/>
    </row>
    <row r="8653" spans="1:13" x14ac:dyDescent="0.25">
      <c r="A8653" s="8"/>
      <c r="C8653" s="5"/>
      <c r="M8653" s="9"/>
    </row>
    <row r="8654" spans="1:13" x14ac:dyDescent="0.25">
      <c r="A8654" s="8"/>
      <c r="C8654" s="5"/>
      <c r="M8654" s="9"/>
    </row>
    <row r="8655" spans="1:13" x14ac:dyDescent="0.25">
      <c r="A8655" s="8"/>
      <c r="C8655" s="5"/>
      <c r="M8655" s="9"/>
    </row>
    <row r="8656" spans="1:13" x14ac:dyDescent="0.25">
      <c r="A8656" s="8"/>
      <c r="C8656" s="5"/>
      <c r="M8656" s="9"/>
    </row>
    <row r="8657" spans="1:13" x14ac:dyDescent="0.25">
      <c r="A8657" s="8"/>
      <c r="C8657" s="5"/>
      <c r="M8657" s="9"/>
    </row>
    <row r="8658" spans="1:13" x14ac:dyDescent="0.25">
      <c r="A8658" s="8"/>
      <c r="C8658" s="5"/>
      <c r="M8658" s="9"/>
    </row>
    <row r="8659" spans="1:13" x14ac:dyDescent="0.25">
      <c r="A8659" s="8"/>
      <c r="C8659" s="5"/>
      <c r="M8659" s="9"/>
    </row>
    <row r="8660" spans="1:13" x14ac:dyDescent="0.25">
      <c r="A8660" s="8"/>
      <c r="C8660" s="5"/>
      <c r="M8660" s="9"/>
    </row>
    <row r="8661" spans="1:13" x14ac:dyDescent="0.25">
      <c r="A8661" s="8"/>
      <c r="C8661" s="5"/>
      <c r="M8661" s="9"/>
    </row>
    <row r="8662" spans="1:13" x14ac:dyDescent="0.25">
      <c r="A8662" s="8"/>
      <c r="C8662" s="5"/>
      <c r="M8662" s="9"/>
    </row>
    <row r="8663" spans="1:13" x14ac:dyDescent="0.25">
      <c r="A8663" s="8"/>
      <c r="C8663" s="5"/>
      <c r="M8663" s="9"/>
    </row>
    <row r="8664" spans="1:13" x14ac:dyDescent="0.25">
      <c r="A8664" s="8"/>
      <c r="C8664" s="5"/>
      <c r="M8664" s="9"/>
    </row>
    <row r="8665" spans="1:13" x14ac:dyDescent="0.25">
      <c r="A8665" s="8"/>
      <c r="C8665" s="5"/>
      <c r="M8665" s="9"/>
    </row>
    <row r="8666" spans="1:13" x14ac:dyDescent="0.25">
      <c r="A8666" s="8"/>
      <c r="C8666" s="5"/>
      <c r="M8666" s="9"/>
    </row>
    <row r="8667" spans="1:13" x14ac:dyDescent="0.25">
      <c r="A8667" s="8"/>
      <c r="C8667" s="5"/>
      <c r="M8667" s="9"/>
    </row>
    <row r="8668" spans="1:13" x14ac:dyDescent="0.25">
      <c r="A8668" s="8"/>
      <c r="C8668" s="5"/>
      <c r="M8668" s="9"/>
    </row>
    <row r="8669" spans="1:13" x14ac:dyDescent="0.25">
      <c r="A8669" s="8"/>
      <c r="C8669" s="5"/>
      <c r="M8669" s="9"/>
    </row>
    <row r="8670" spans="1:13" x14ac:dyDescent="0.25">
      <c r="A8670" s="8"/>
      <c r="C8670" s="5"/>
      <c r="M8670" s="9"/>
    </row>
    <row r="8671" spans="1:13" x14ac:dyDescent="0.25">
      <c r="A8671" s="8"/>
      <c r="C8671" s="5"/>
      <c r="M8671" s="9"/>
    </row>
    <row r="8672" spans="1:13" x14ac:dyDescent="0.25">
      <c r="A8672" s="8"/>
      <c r="C8672" s="5"/>
      <c r="M8672" s="9"/>
    </row>
    <row r="8673" spans="1:13" x14ac:dyDescent="0.25">
      <c r="A8673" s="8"/>
      <c r="C8673" s="5"/>
      <c r="M8673" s="9"/>
    </row>
    <row r="8674" spans="1:13" x14ac:dyDescent="0.25">
      <c r="A8674" s="8"/>
      <c r="C8674" s="5"/>
      <c r="M8674" s="9"/>
    </row>
    <row r="8675" spans="1:13" x14ac:dyDescent="0.25">
      <c r="A8675" s="8"/>
      <c r="C8675" s="5"/>
      <c r="M8675" s="9"/>
    </row>
    <row r="8676" spans="1:13" x14ac:dyDescent="0.25">
      <c r="A8676" s="8"/>
      <c r="C8676" s="5"/>
      <c r="M8676" s="9"/>
    </row>
    <row r="8677" spans="1:13" x14ac:dyDescent="0.25">
      <c r="A8677" s="8"/>
      <c r="C8677" s="5"/>
      <c r="M8677" s="9"/>
    </row>
    <row r="8678" spans="1:13" x14ac:dyDescent="0.25">
      <c r="A8678" s="8"/>
      <c r="C8678" s="5"/>
      <c r="M8678" s="9"/>
    </row>
    <row r="8679" spans="1:13" x14ac:dyDescent="0.25">
      <c r="A8679" s="8"/>
      <c r="C8679" s="5"/>
      <c r="M8679" s="9"/>
    </row>
    <row r="8680" spans="1:13" x14ac:dyDescent="0.25">
      <c r="A8680" s="8"/>
      <c r="C8680" s="5"/>
      <c r="M8680" s="9"/>
    </row>
    <row r="8681" spans="1:13" x14ac:dyDescent="0.25">
      <c r="A8681" s="8"/>
      <c r="C8681" s="5"/>
      <c r="M8681" s="9"/>
    </row>
    <row r="8682" spans="1:13" x14ac:dyDescent="0.25">
      <c r="A8682" s="8"/>
      <c r="C8682" s="5"/>
      <c r="M8682" s="9"/>
    </row>
    <row r="8683" spans="1:13" x14ac:dyDescent="0.25">
      <c r="A8683" s="8"/>
      <c r="C8683" s="5"/>
      <c r="M8683" s="9"/>
    </row>
    <row r="8684" spans="1:13" x14ac:dyDescent="0.25">
      <c r="A8684" s="8"/>
      <c r="C8684" s="5"/>
      <c r="M8684" s="9"/>
    </row>
    <row r="8685" spans="1:13" x14ac:dyDescent="0.25">
      <c r="A8685" s="8"/>
      <c r="C8685" s="5"/>
      <c r="M8685" s="9"/>
    </row>
    <row r="8686" spans="1:13" x14ac:dyDescent="0.25">
      <c r="A8686" s="8"/>
      <c r="C8686" s="5"/>
      <c r="M8686" s="9"/>
    </row>
    <row r="8687" spans="1:13" x14ac:dyDescent="0.25">
      <c r="A8687" s="8"/>
      <c r="C8687" s="5"/>
      <c r="M8687" s="9"/>
    </row>
    <row r="8688" spans="1:13" x14ac:dyDescent="0.25">
      <c r="A8688" s="8"/>
      <c r="C8688" s="5"/>
      <c r="M8688" s="9"/>
    </row>
    <row r="8689" spans="1:13" x14ac:dyDescent="0.25">
      <c r="A8689" s="8"/>
      <c r="C8689" s="5"/>
      <c r="M8689" s="9"/>
    </row>
    <row r="8690" spans="1:13" x14ac:dyDescent="0.25">
      <c r="A8690" s="8"/>
      <c r="C8690" s="5"/>
      <c r="M8690" s="9"/>
    </row>
    <row r="8691" spans="1:13" x14ac:dyDescent="0.25">
      <c r="A8691" s="8"/>
      <c r="C8691" s="5"/>
      <c r="M8691" s="9"/>
    </row>
    <row r="8692" spans="1:13" x14ac:dyDescent="0.25">
      <c r="A8692" s="8"/>
      <c r="C8692" s="5"/>
      <c r="M8692" s="9"/>
    </row>
    <row r="8693" spans="1:13" x14ac:dyDescent="0.25">
      <c r="A8693" s="8"/>
      <c r="C8693" s="5"/>
      <c r="M8693" s="9"/>
    </row>
    <row r="8694" spans="1:13" x14ac:dyDescent="0.25">
      <c r="A8694" s="8"/>
      <c r="C8694" s="5"/>
      <c r="M8694" s="9"/>
    </row>
    <row r="8695" spans="1:13" x14ac:dyDescent="0.25">
      <c r="A8695" s="8"/>
      <c r="C8695" s="5"/>
      <c r="M8695" s="9"/>
    </row>
    <row r="8696" spans="1:13" x14ac:dyDescent="0.25">
      <c r="A8696" s="8"/>
      <c r="C8696" s="5"/>
      <c r="M8696" s="9"/>
    </row>
    <row r="8697" spans="1:13" x14ac:dyDescent="0.25">
      <c r="A8697" s="8"/>
      <c r="C8697" s="5"/>
      <c r="M8697" s="9"/>
    </row>
    <row r="8698" spans="1:13" x14ac:dyDescent="0.25">
      <c r="A8698" s="8"/>
      <c r="C8698" s="5"/>
      <c r="M8698" s="9"/>
    </row>
    <row r="8699" spans="1:13" x14ac:dyDescent="0.25">
      <c r="A8699" s="8"/>
      <c r="C8699" s="5"/>
      <c r="M8699" s="9"/>
    </row>
    <row r="8700" spans="1:13" x14ac:dyDescent="0.25">
      <c r="A8700" s="8"/>
      <c r="C8700" s="5"/>
      <c r="M8700" s="9"/>
    </row>
    <row r="8701" spans="1:13" x14ac:dyDescent="0.25">
      <c r="A8701" s="8"/>
      <c r="C8701" s="5"/>
      <c r="M8701" s="9"/>
    </row>
    <row r="8702" spans="1:13" x14ac:dyDescent="0.25">
      <c r="A8702" s="8"/>
      <c r="C8702" s="5"/>
      <c r="M8702" s="9"/>
    </row>
    <row r="8703" spans="1:13" x14ac:dyDescent="0.25">
      <c r="A8703" s="8"/>
      <c r="C8703" s="5"/>
      <c r="M8703" s="9"/>
    </row>
    <row r="8704" spans="1:13" x14ac:dyDescent="0.25">
      <c r="A8704" s="8"/>
      <c r="C8704" s="5"/>
      <c r="M8704" s="9"/>
    </row>
    <row r="8705" spans="1:13" x14ac:dyDescent="0.25">
      <c r="A8705" s="8"/>
      <c r="C8705" s="5"/>
      <c r="M8705" s="9"/>
    </row>
    <row r="8706" spans="1:13" x14ac:dyDescent="0.25">
      <c r="A8706" s="8"/>
      <c r="C8706" s="5"/>
      <c r="M8706" s="9"/>
    </row>
    <row r="8707" spans="1:13" x14ac:dyDescent="0.25">
      <c r="A8707" s="8"/>
      <c r="C8707" s="5"/>
      <c r="M8707" s="9"/>
    </row>
    <row r="8708" spans="1:13" x14ac:dyDescent="0.25">
      <c r="A8708" s="8"/>
      <c r="C8708" s="5"/>
      <c r="M8708" s="9"/>
    </row>
    <row r="8709" spans="1:13" x14ac:dyDescent="0.25">
      <c r="A8709" s="8"/>
      <c r="C8709" s="5"/>
      <c r="M8709" s="9"/>
    </row>
    <row r="8710" spans="1:13" x14ac:dyDescent="0.25">
      <c r="A8710" s="8"/>
      <c r="C8710" s="5"/>
      <c r="M8710" s="9"/>
    </row>
    <row r="8711" spans="1:13" x14ac:dyDescent="0.25">
      <c r="A8711" s="8"/>
      <c r="C8711" s="5"/>
      <c r="M8711" s="9"/>
    </row>
    <row r="8712" spans="1:13" x14ac:dyDescent="0.25">
      <c r="A8712" s="8"/>
      <c r="C8712" s="5"/>
      <c r="M8712" s="9"/>
    </row>
    <row r="8713" spans="1:13" x14ac:dyDescent="0.25">
      <c r="A8713" s="8"/>
      <c r="C8713" s="5"/>
      <c r="M8713" s="9"/>
    </row>
    <row r="8714" spans="1:13" x14ac:dyDescent="0.25">
      <c r="A8714" s="8"/>
      <c r="C8714" s="5"/>
      <c r="M8714" s="9"/>
    </row>
    <row r="8715" spans="1:13" x14ac:dyDescent="0.25">
      <c r="A8715" s="8"/>
      <c r="C8715" s="5"/>
      <c r="M8715" s="9"/>
    </row>
    <row r="8716" spans="1:13" x14ac:dyDescent="0.25">
      <c r="A8716" s="8"/>
      <c r="C8716" s="5"/>
      <c r="M8716" s="9"/>
    </row>
    <row r="8717" spans="1:13" x14ac:dyDescent="0.25">
      <c r="A8717" s="8"/>
      <c r="C8717" s="5"/>
      <c r="M8717" s="9"/>
    </row>
    <row r="8718" spans="1:13" x14ac:dyDescent="0.25">
      <c r="A8718" s="8"/>
      <c r="C8718" s="5"/>
      <c r="M8718" s="9"/>
    </row>
    <row r="8719" spans="1:13" x14ac:dyDescent="0.25">
      <c r="A8719" s="8"/>
      <c r="C8719" s="5"/>
      <c r="M8719" s="9"/>
    </row>
    <row r="8720" spans="1:13" x14ac:dyDescent="0.25">
      <c r="A8720" s="8"/>
      <c r="C8720" s="5"/>
      <c r="M8720" s="9"/>
    </row>
    <row r="8721" spans="1:13" x14ac:dyDescent="0.25">
      <c r="A8721" s="8"/>
      <c r="C8721" s="5"/>
      <c r="M8721" s="9"/>
    </row>
    <row r="8722" spans="1:13" x14ac:dyDescent="0.25">
      <c r="A8722" s="8"/>
      <c r="C8722" s="5"/>
      <c r="M8722" s="9"/>
    </row>
    <row r="8723" spans="1:13" x14ac:dyDescent="0.25">
      <c r="A8723" s="8"/>
      <c r="C8723" s="5"/>
      <c r="M8723" s="9"/>
    </row>
    <row r="8724" spans="1:13" x14ac:dyDescent="0.25">
      <c r="A8724" s="8"/>
      <c r="C8724" s="5"/>
      <c r="M8724" s="9"/>
    </row>
    <row r="8725" spans="1:13" x14ac:dyDescent="0.25">
      <c r="A8725" s="8"/>
      <c r="C8725" s="5"/>
      <c r="M8725" s="9"/>
    </row>
    <row r="8726" spans="1:13" x14ac:dyDescent="0.25">
      <c r="A8726" s="8"/>
      <c r="C8726" s="5"/>
      <c r="M8726" s="9"/>
    </row>
    <row r="8727" spans="1:13" x14ac:dyDescent="0.25">
      <c r="A8727" s="8"/>
      <c r="C8727" s="5"/>
      <c r="M8727" s="9"/>
    </row>
    <row r="8728" spans="1:13" x14ac:dyDescent="0.25">
      <c r="A8728" s="8"/>
      <c r="C8728" s="5"/>
      <c r="M8728" s="9"/>
    </row>
    <row r="8729" spans="1:13" x14ac:dyDescent="0.25">
      <c r="A8729" s="8"/>
      <c r="C8729" s="5"/>
      <c r="M8729" s="9"/>
    </row>
    <row r="8730" spans="1:13" x14ac:dyDescent="0.25">
      <c r="A8730" s="8"/>
      <c r="C8730" s="5"/>
      <c r="M8730" s="9"/>
    </row>
    <row r="8731" spans="1:13" x14ac:dyDescent="0.25">
      <c r="A8731" s="8"/>
      <c r="C8731" s="5"/>
      <c r="M8731" s="9"/>
    </row>
    <row r="8732" spans="1:13" x14ac:dyDescent="0.25">
      <c r="A8732" s="8"/>
      <c r="C8732" s="5"/>
      <c r="M8732" s="9"/>
    </row>
    <row r="8733" spans="1:13" x14ac:dyDescent="0.25">
      <c r="A8733" s="8"/>
      <c r="C8733" s="5"/>
      <c r="M8733" s="9"/>
    </row>
    <row r="8734" spans="1:13" x14ac:dyDescent="0.25">
      <c r="A8734" s="8"/>
      <c r="C8734" s="5"/>
      <c r="M8734" s="9"/>
    </row>
    <row r="8735" spans="1:13" x14ac:dyDescent="0.25">
      <c r="A8735" s="8"/>
      <c r="C8735" s="5"/>
      <c r="M8735" s="9"/>
    </row>
    <row r="8736" spans="1:13" x14ac:dyDescent="0.25">
      <c r="A8736" s="8"/>
      <c r="C8736" s="5"/>
      <c r="M8736" s="9"/>
    </row>
    <row r="8737" spans="1:13" x14ac:dyDescent="0.25">
      <c r="A8737" s="8"/>
      <c r="C8737" s="5"/>
      <c r="M8737" s="9"/>
    </row>
    <row r="8738" spans="1:13" x14ac:dyDescent="0.25">
      <c r="A8738" s="8"/>
      <c r="C8738" s="5"/>
      <c r="M8738" s="9"/>
    </row>
    <row r="8739" spans="1:13" x14ac:dyDescent="0.25">
      <c r="A8739" s="8"/>
      <c r="C8739" s="5"/>
      <c r="M8739" s="9"/>
    </row>
    <row r="8740" spans="1:13" x14ac:dyDescent="0.25">
      <c r="A8740" s="8"/>
      <c r="C8740" s="5"/>
      <c r="M8740" s="9"/>
    </row>
    <row r="8741" spans="1:13" x14ac:dyDescent="0.25">
      <c r="A8741" s="8"/>
      <c r="C8741" s="5"/>
      <c r="M8741" s="9"/>
    </row>
    <row r="8742" spans="1:13" x14ac:dyDescent="0.25">
      <c r="A8742" s="8"/>
      <c r="C8742" s="5"/>
      <c r="M8742" s="9"/>
    </row>
    <row r="8743" spans="1:13" x14ac:dyDescent="0.25">
      <c r="A8743" s="8"/>
      <c r="C8743" s="5"/>
      <c r="M8743" s="9"/>
    </row>
    <row r="8744" spans="1:13" x14ac:dyDescent="0.25">
      <c r="A8744" s="8"/>
      <c r="C8744" s="5"/>
      <c r="M8744" s="9"/>
    </row>
    <row r="8745" spans="1:13" x14ac:dyDescent="0.25">
      <c r="A8745" s="8"/>
      <c r="C8745" s="5"/>
      <c r="M8745" s="9"/>
    </row>
    <row r="8746" spans="1:13" x14ac:dyDescent="0.25">
      <c r="A8746" s="8"/>
      <c r="C8746" s="5"/>
      <c r="M8746" s="9"/>
    </row>
    <row r="8747" spans="1:13" x14ac:dyDescent="0.25">
      <c r="A8747" s="8"/>
      <c r="C8747" s="5"/>
      <c r="M8747" s="9"/>
    </row>
    <row r="8748" spans="1:13" x14ac:dyDescent="0.25">
      <c r="A8748" s="8"/>
      <c r="C8748" s="5"/>
      <c r="M8748" s="9"/>
    </row>
    <row r="8749" spans="1:13" x14ac:dyDescent="0.25">
      <c r="A8749" s="8"/>
      <c r="C8749" s="5"/>
      <c r="M8749" s="9"/>
    </row>
    <row r="8750" spans="1:13" x14ac:dyDescent="0.25">
      <c r="A8750" s="8"/>
      <c r="C8750" s="5"/>
      <c r="M8750" s="9"/>
    </row>
    <row r="8751" spans="1:13" x14ac:dyDescent="0.25">
      <c r="A8751" s="8"/>
      <c r="C8751" s="5"/>
      <c r="M8751" s="9"/>
    </row>
    <row r="8752" spans="1:13" x14ac:dyDescent="0.25">
      <c r="A8752" s="8"/>
      <c r="C8752" s="5"/>
      <c r="M8752" s="9"/>
    </row>
    <row r="8753" spans="1:13" x14ac:dyDescent="0.25">
      <c r="A8753" s="8"/>
      <c r="C8753" s="5"/>
      <c r="M8753" s="9"/>
    </row>
    <row r="8754" spans="1:13" x14ac:dyDescent="0.25">
      <c r="A8754" s="8"/>
      <c r="C8754" s="5"/>
      <c r="M8754" s="9"/>
    </row>
    <row r="8755" spans="1:13" x14ac:dyDescent="0.25">
      <c r="A8755" s="8"/>
      <c r="C8755" s="5"/>
      <c r="M8755" s="9"/>
    </row>
    <row r="8756" spans="1:13" x14ac:dyDescent="0.25">
      <c r="A8756" s="8"/>
      <c r="C8756" s="5"/>
      <c r="M8756" s="9"/>
    </row>
    <row r="8757" spans="1:13" x14ac:dyDescent="0.25">
      <c r="A8757" s="8"/>
      <c r="C8757" s="5"/>
      <c r="M8757" s="9"/>
    </row>
    <row r="8758" spans="1:13" x14ac:dyDescent="0.25">
      <c r="A8758" s="8"/>
      <c r="C8758" s="5"/>
      <c r="M8758" s="9"/>
    </row>
    <row r="8759" spans="1:13" x14ac:dyDescent="0.25">
      <c r="A8759" s="8"/>
      <c r="C8759" s="5"/>
      <c r="M8759" s="9"/>
    </row>
    <row r="8760" spans="1:13" x14ac:dyDescent="0.25">
      <c r="A8760" s="8"/>
      <c r="C8760" s="5"/>
      <c r="M8760" s="9"/>
    </row>
    <row r="8761" spans="1:13" x14ac:dyDescent="0.25">
      <c r="A8761" s="8"/>
      <c r="C8761" s="5"/>
      <c r="M8761" s="9"/>
    </row>
    <row r="8762" spans="1:13" x14ac:dyDescent="0.25">
      <c r="A8762" s="8"/>
      <c r="C8762" s="5"/>
      <c r="M8762" s="9"/>
    </row>
    <row r="8763" spans="1:13" x14ac:dyDescent="0.25">
      <c r="A8763" s="8"/>
      <c r="C8763" s="5"/>
      <c r="M8763" s="9"/>
    </row>
    <row r="8764" spans="1:13" x14ac:dyDescent="0.25">
      <c r="A8764" s="8"/>
      <c r="C8764" s="5"/>
      <c r="M8764" s="9"/>
    </row>
    <row r="8765" spans="1:13" x14ac:dyDescent="0.25">
      <c r="A8765" s="8"/>
      <c r="C8765" s="5"/>
      <c r="M8765" s="9"/>
    </row>
    <row r="8766" spans="1:13" x14ac:dyDescent="0.25">
      <c r="A8766" s="8"/>
      <c r="C8766" s="5"/>
      <c r="M8766" s="9"/>
    </row>
    <row r="8767" spans="1:13" x14ac:dyDescent="0.25">
      <c r="A8767" s="8"/>
      <c r="C8767" s="5"/>
      <c r="M8767" s="9"/>
    </row>
    <row r="8768" spans="1:13" x14ac:dyDescent="0.25">
      <c r="A8768" s="8"/>
      <c r="C8768" s="5"/>
      <c r="M8768" s="9"/>
    </row>
    <row r="8769" spans="1:13" x14ac:dyDescent="0.25">
      <c r="A8769" s="8"/>
      <c r="C8769" s="5"/>
      <c r="M8769" s="9"/>
    </row>
    <row r="8770" spans="1:13" x14ac:dyDescent="0.25">
      <c r="A8770" s="8"/>
      <c r="C8770" s="5"/>
      <c r="M8770" s="9"/>
    </row>
    <row r="8771" spans="1:13" x14ac:dyDescent="0.25">
      <c r="A8771" s="8"/>
      <c r="C8771" s="5"/>
      <c r="M8771" s="9"/>
    </row>
    <row r="8772" spans="1:13" x14ac:dyDescent="0.25">
      <c r="A8772" s="8"/>
      <c r="C8772" s="5"/>
      <c r="M8772" s="9"/>
    </row>
    <row r="8773" spans="1:13" x14ac:dyDescent="0.25">
      <c r="A8773" s="8"/>
      <c r="C8773" s="5"/>
      <c r="M8773" s="9"/>
    </row>
    <row r="8774" spans="1:13" x14ac:dyDescent="0.25">
      <c r="A8774" s="8"/>
      <c r="C8774" s="5"/>
      <c r="M8774" s="9"/>
    </row>
    <row r="8775" spans="1:13" x14ac:dyDescent="0.25">
      <c r="A8775" s="8"/>
      <c r="C8775" s="5"/>
      <c r="M8775" s="9"/>
    </row>
    <row r="8776" spans="1:13" x14ac:dyDescent="0.25">
      <c r="A8776" s="8"/>
      <c r="C8776" s="5"/>
      <c r="M8776" s="9"/>
    </row>
    <row r="8777" spans="1:13" x14ac:dyDescent="0.25">
      <c r="A8777" s="8"/>
      <c r="C8777" s="5"/>
      <c r="M8777" s="9"/>
    </row>
    <row r="8778" spans="1:13" x14ac:dyDescent="0.25">
      <c r="A8778" s="8"/>
      <c r="C8778" s="5"/>
      <c r="M8778" s="9"/>
    </row>
    <row r="8779" spans="1:13" x14ac:dyDescent="0.25">
      <c r="A8779" s="8"/>
      <c r="C8779" s="5"/>
      <c r="M8779" s="9"/>
    </row>
    <row r="8780" spans="1:13" x14ac:dyDescent="0.25">
      <c r="A8780" s="8"/>
      <c r="C8780" s="5"/>
      <c r="M8780" s="9"/>
    </row>
    <row r="8781" spans="1:13" x14ac:dyDescent="0.25">
      <c r="A8781" s="8"/>
      <c r="C8781" s="5"/>
      <c r="M8781" s="9"/>
    </row>
    <row r="8782" spans="1:13" x14ac:dyDescent="0.25">
      <c r="A8782" s="8"/>
      <c r="C8782" s="5"/>
      <c r="M8782" s="9"/>
    </row>
    <row r="8783" spans="1:13" x14ac:dyDescent="0.25">
      <c r="A8783" s="8"/>
      <c r="C8783" s="5"/>
      <c r="M8783" s="9"/>
    </row>
    <row r="8784" spans="1:13" x14ac:dyDescent="0.25">
      <c r="A8784" s="8"/>
      <c r="C8784" s="5"/>
      <c r="M8784" s="9"/>
    </row>
    <row r="8785" spans="1:13" x14ac:dyDescent="0.25">
      <c r="A8785" s="8"/>
      <c r="C8785" s="5"/>
      <c r="M8785" s="9"/>
    </row>
    <row r="8786" spans="1:13" x14ac:dyDescent="0.25">
      <c r="A8786" s="8"/>
      <c r="C8786" s="5"/>
      <c r="M8786" s="9"/>
    </row>
    <row r="8787" spans="1:13" x14ac:dyDescent="0.25">
      <c r="A8787" s="8"/>
      <c r="C8787" s="5"/>
      <c r="M8787" s="9"/>
    </row>
    <row r="8788" spans="1:13" x14ac:dyDescent="0.25">
      <c r="A8788" s="8"/>
      <c r="C8788" s="5"/>
      <c r="M8788" s="9"/>
    </row>
    <row r="8789" spans="1:13" x14ac:dyDescent="0.25">
      <c r="A8789" s="8"/>
      <c r="C8789" s="5"/>
      <c r="M8789" s="9"/>
    </row>
    <row r="8790" spans="1:13" x14ac:dyDescent="0.25">
      <c r="A8790" s="8"/>
      <c r="C8790" s="5"/>
      <c r="M8790" s="9"/>
    </row>
    <row r="8791" spans="1:13" x14ac:dyDescent="0.25">
      <c r="A8791" s="8"/>
      <c r="C8791" s="5"/>
      <c r="M8791" s="9"/>
    </row>
    <row r="8792" spans="1:13" x14ac:dyDescent="0.25">
      <c r="A8792" s="8"/>
      <c r="C8792" s="5"/>
      <c r="M8792" s="9"/>
    </row>
    <row r="8793" spans="1:13" x14ac:dyDescent="0.25">
      <c r="A8793" s="8"/>
      <c r="C8793" s="5"/>
      <c r="M8793" s="9"/>
    </row>
    <row r="8794" spans="1:13" x14ac:dyDescent="0.25">
      <c r="A8794" s="8"/>
      <c r="C8794" s="5"/>
      <c r="M8794" s="9"/>
    </row>
    <row r="8795" spans="1:13" x14ac:dyDescent="0.25">
      <c r="A8795" s="8"/>
      <c r="C8795" s="5"/>
      <c r="M8795" s="9"/>
    </row>
    <row r="8796" spans="1:13" x14ac:dyDescent="0.25">
      <c r="A8796" s="8"/>
      <c r="C8796" s="5"/>
      <c r="M8796" s="9"/>
    </row>
    <row r="8797" spans="1:13" x14ac:dyDescent="0.25">
      <c r="A8797" s="8"/>
      <c r="C8797" s="5"/>
      <c r="M8797" s="9"/>
    </row>
    <row r="8798" spans="1:13" x14ac:dyDescent="0.25">
      <c r="A8798" s="8"/>
      <c r="C8798" s="5"/>
      <c r="M8798" s="9"/>
    </row>
    <row r="8799" spans="1:13" x14ac:dyDescent="0.25">
      <c r="A8799" s="8"/>
      <c r="C8799" s="5"/>
      <c r="M8799" s="9"/>
    </row>
    <row r="8800" spans="1:13" x14ac:dyDescent="0.25">
      <c r="A8800" s="8"/>
      <c r="C8800" s="5"/>
      <c r="M8800" s="9"/>
    </row>
    <row r="8801" spans="1:13" x14ac:dyDescent="0.25">
      <c r="A8801" s="8"/>
      <c r="C8801" s="5"/>
      <c r="M8801" s="9"/>
    </row>
    <row r="8802" spans="1:13" x14ac:dyDescent="0.25">
      <c r="A8802" s="8"/>
      <c r="C8802" s="5"/>
      <c r="M8802" s="9"/>
    </row>
    <row r="8803" spans="1:13" x14ac:dyDescent="0.25">
      <c r="A8803" s="8"/>
      <c r="C8803" s="5"/>
      <c r="M8803" s="9"/>
    </row>
    <row r="8804" spans="1:13" x14ac:dyDescent="0.25">
      <c r="A8804" s="8"/>
      <c r="C8804" s="5"/>
      <c r="M8804" s="9"/>
    </row>
    <row r="8805" spans="1:13" x14ac:dyDescent="0.25">
      <c r="A8805" s="8"/>
      <c r="C8805" s="5"/>
      <c r="M8805" s="9"/>
    </row>
    <row r="8806" spans="1:13" x14ac:dyDescent="0.25">
      <c r="A8806" s="8"/>
      <c r="C8806" s="5"/>
      <c r="M8806" s="9"/>
    </row>
    <row r="8807" spans="1:13" x14ac:dyDescent="0.25">
      <c r="A8807" s="8"/>
      <c r="C8807" s="5"/>
      <c r="M8807" s="9"/>
    </row>
    <row r="8808" spans="1:13" x14ac:dyDescent="0.25">
      <c r="A8808" s="8"/>
      <c r="C8808" s="5"/>
      <c r="M8808" s="9"/>
    </row>
    <row r="8809" spans="1:13" x14ac:dyDescent="0.25">
      <c r="A8809" s="8"/>
      <c r="C8809" s="5"/>
      <c r="M8809" s="9"/>
    </row>
    <row r="8810" spans="1:13" x14ac:dyDescent="0.25">
      <c r="A8810" s="8"/>
      <c r="C8810" s="5"/>
      <c r="M8810" s="9"/>
    </row>
    <row r="8811" spans="1:13" x14ac:dyDescent="0.25">
      <c r="A8811" s="8"/>
      <c r="C8811" s="5"/>
      <c r="M8811" s="9"/>
    </row>
    <row r="8812" spans="1:13" x14ac:dyDescent="0.25">
      <c r="A8812" s="8"/>
      <c r="C8812" s="5"/>
      <c r="M8812" s="9"/>
    </row>
    <row r="8813" spans="1:13" x14ac:dyDescent="0.25">
      <c r="A8813" s="8"/>
      <c r="C8813" s="5"/>
      <c r="M8813" s="9"/>
    </row>
    <row r="8814" spans="1:13" x14ac:dyDescent="0.25">
      <c r="A8814" s="8"/>
      <c r="C8814" s="5"/>
      <c r="M8814" s="9"/>
    </row>
    <row r="8815" spans="1:13" x14ac:dyDescent="0.25">
      <c r="A8815" s="8"/>
      <c r="C8815" s="5"/>
      <c r="M8815" s="9"/>
    </row>
    <row r="8816" spans="1:13" x14ac:dyDescent="0.25">
      <c r="A8816" s="8"/>
      <c r="C8816" s="5"/>
      <c r="M8816" s="9"/>
    </row>
    <row r="8817" spans="1:13" x14ac:dyDescent="0.25">
      <c r="A8817" s="8"/>
      <c r="C8817" s="5"/>
      <c r="M8817" s="9"/>
    </row>
    <row r="8818" spans="1:13" x14ac:dyDescent="0.25">
      <c r="A8818" s="8"/>
      <c r="C8818" s="5"/>
      <c r="M8818" s="9"/>
    </row>
    <row r="8819" spans="1:13" x14ac:dyDescent="0.25">
      <c r="A8819" s="8"/>
      <c r="C8819" s="5"/>
      <c r="M8819" s="9"/>
    </row>
    <row r="8820" spans="1:13" x14ac:dyDescent="0.25">
      <c r="A8820" s="8"/>
      <c r="C8820" s="5"/>
      <c r="M8820" s="9"/>
    </row>
    <row r="8821" spans="1:13" x14ac:dyDescent="0.25">
      <c r="A8821" s="8"/>
      <c r="C8821" s="5"/>
      <c r="M8821" s="9"/>
    </row>
    <row r="8822" spans="1:13" x14ac:dyDescent="0.25">
      <c r="A8822" s="8"/>
      <c r="C8822" s="5"/>
      <c r="M8822" s="9"/>
    </row>
    <row r="8823" spans="1:13" x14ac:dyDescent="0.25">
      <c r="A8823" s="8"/>
      <c r="C8823" s="5"/>
      <c r="M8823" s="9"/>
    </row>
    <row r="8824" spans="1:13" x14ac:dyDescent="0.25">
      <c r="A8824" s="8"/>
      <c r="C8824" s="5"/>
      <c r="M8824" s="9"/>
    </row>
    <row r="8825" spans="1:13" x14ac:dyDescent="0.25">
      <c r="A8825" s="8"/>
      <c r="C8825" s="5"/>
      <c r="M8825" s="9"/>
    </row>
    <row r="8826" spans="1:13" x14ac:dyDescent="0.25">
      <c r="A8826" s="8"/>
      <c r="C8826" s="5"/>
      <c r="M8826" s="9"/>
    </row>
    <row r="8827" spans="1:13" x14ac:dyDescent="0.25">
      <c r="A8827" s="8"/>
      <c r="C8827" s="5"/>
      <c r="M8827" s="9"/>
    </row>
    <row r="8828" spans="1:13" x14ac:dyDescent="0.25">
      <c r="A8828" s="8"/>
      <c r="C8828" s="5"/>
      <c r="M8828" s="9"/>
    </row>
    <row r="8829" spans="1:13" x14ac:dyDescent="0.25">
      <c r="A8829" s="8"/>
      <c r="C8829" s="5"/>
      <c r="M8829" s="9"/>
    </row>
    <row r="8830" spans="1:13" x14ac:dyDescent="0.25">
      <c r="A8830" s="8"/>
      <c r="C8830" s="5"/>
      <c r="M8830" s="9"/>
    </row>
    <row r="8831" spans="1:13" x14ac:dyDescent="0.25">
      <c r="A8831" s="8"/>
      <c r="C8831" s="5"/>
      <c r="M8831" s="9"/>
    </row>
    <row r="8832" spans="1:13" x14ac:dyDescent="0.25">
      <c r="A8832" s="8"/>
      <c r="C8832" s="5"/>
      <c r="M8832" s="9"/>
    </row>
    <row r="8833" spans="1:13" x14ac:dyDescent="0.25">
      <c r="A8833" s="8"/>
      <c r="C8833" s="5"/>
      <c r="M8833" s="9"/>
    </row>
    <row r="8834" spans="1:13" x14ac:dyDescent="0.25">
      <c r="A8834" s="8"/>
      <c r="C8834" s="5"/>
      <c r="M8834" s="9"/>
    </row>
    <row r="8835" spans="1:13" x14ac:dyDescent="0.25">
      <c r="A8835" s="8"/>
      <c r="C8835" s="5"/>
      <c r="M8835" s="9"/>
    </row>
    <row r="8836" spans="1:13" x14ac:dyDescent="0.25">
      <c r="A8836" s="8"/>
      <c r="C8836" s="5"/>
      <c r="M8836" s="9"/>
    </row>
    <row r="8837" spans="1:13" x14ac:dyDescent="0.25">
      <c r="A8837" s="8"/>
      <c r="C8837" s="5"/>
      <c r="M8837" s="9"/>
    </row>
    <row r="8838" spans="1:13" x14ac:dyDescent="0.25">
      <c r="A8838" s="8"/>
      <c r="C8838" s="5"/>
      <c r="M8838" s="9"/>
    </row>
    <row r="8839" spans="1:13" x14ac:dyDescent="0.25">
      <c r="A8839" s="8"/>
      <c r="C8839" s="5"/>
      <c r="M8839" s="9"/>
    </row>
    <row r="8840" spans="1:13" x14ac:dyDescent="0.25">
      <c r="A8840" s="8"/>
      <c r="C8840" s="5"/>
      <c r="M8840" s="9"/>
    </row>
    <row r="8841" spans="1:13" x14ac:dyDescent="0.25">
      <c r="A8841" s="8"/>
      <c r="C8841" s="5"/>
      <c r="M8841" s="9"/>
    </row>
    <row r="8842" spans="1:13" x14ac:dyDescent="0.25">
      <c r="A8842" s="8"/>
      <c r="C8842" s="5"/>
      <c r="M8842" s="9"/>
    </row>
    <row r="8843" spans="1:13" x14ac:dyDescent="0.25">
      <c r="A8843" s="8"/>
      <c r="C8843" s="5"/>
      <c r="M8843" s="9"/>
    </row>
    <row r="8844" spans="1:13" x14ac:dyDescent="0.25">
      <c r="A8844" s="8"/>
      <c r="C8844" s="5"/>
      <c r="M8844" s="9"/>
    </row>
    <row r="8845" spans="1:13" x14ac:dyDescent="0.25">
      <c r="A8845" s="8"/>
      <c r="C8845" s="5"/>
      <c r="M8845" s="9"/>
    </row>
    <row r="8846" spans="1:13" x14ac:dyDescent="0.25">
      <c r="A8846" s="8"/>
      <c r="C8846" s="5"/>
      <c r="M8846" s="9"/>
    </row>
    <row r="8847" spans="1:13" x14ac:dyDescent="0.25">
      <c r="A8847" s="8"/>
      <c r="C8847" s="5"/>
      <c r="M8847" s="9"/>
    </row>
    <row r="8848" spans="1:13" x14ac:dyDescent="0.25">
      <c r="A8848" s="8"/>
      <c r="C8848" s="5"/>
      <c r="M8848" s="9"/>
    </row>
    <row r="8849" spans="1:13" x14ac:dyDescent="0.25">
      <c r="A8849" s="8"/>
      <c r="C8849" s="5"/>
      <c r="M8849" s="9"/>
    </row>
    <row r="8850" spans="1:13" x14ac:dyDescent="0.25">
      <c r="A8850" s="8"/>
      <c r="C8850" s="5"/>
      <c r="M8850" s="9"/>
    </row>
    <row r="8851" spans="1:13" x14ac:dyDescent="0.25">
      <c r="A8851" s="8"/>
      <c r="C8851" s="5"/>
      <c r="M8851" s="9"/>
    </row>
    <row r="8852" spans="1:13" x14ac:dyDescent="0.25">
      <c r="A8852" s="8"/>
      <c r="C8852" s="5"/>
      <c r="M8852" s="9"/>
    </row>
    <row r="8853" spans="1:13" x14ac:dyDescent="0.25">
      <c r="A8853" s="8"/>
      <c r="C8853" s="5"/>
      <c r="M8853" s="9"/>
    </row>
    <row r="8854" spans="1:13" x14ac:dyDescent="0.25">
      <c r="A8854" s="8"/>
      <c r="C8854" s="5"/>
      <c r="M8854" s="9"/>
    </row>
    <row r="8855" spans="1:13" x14ac:dyDescent="0.25">
      <c r="A8855" s="8"/>
      <c r="C8855" s="5"/>
      <c r="M8855" s="9"/>
    </row>
    <row r="8856" spans="1:13" x14ac:dyDescent="0.25">
      <c r="A8856" s="8"/>
      <c r="C8856" s="5"/>
      <c r="M8856" s="9"/>
    </row>
    <row r="8857" spans="1:13" x14ac:dyDescent="0.25">
      <c r="A8857" s="8"/>
      <c r="C8857" s="5"/>
      <c r="M8857" s="9"/>
    </row>
    <row r="8858" spans="1:13" x14ac:dyDescent="0.25">
      <c r="A8858" s="8"/>
      <c r="C8858" s="5"/>
      <c r="M8858" s="9"/>
    </row>
    <row r="8859" spans="1:13" x14ac:dyDescent="0.25">
      <c r="A8859" s="8"/>
      <c r="C8859" s="5"/>
      <c r="M8859" s="9"/>
    </row>
    <row r="8860" spans="1:13" x14ac:dyDescent="0.25">
      <c r="A8860" s="8"/>
      <c r="C8860" s="5"/>
      <c r="M8860" s="9"/>
    </row>
    <row r="8861" spans="1:13" x14ac:dyDescent="0.25">
      <c r="A8861" s="8"/>
      <c r="C8861" s="5"/>
      <c r="M8861" s="9"/>
    </row>
    <row r="8862" spans="1:13" x14ac:dyDescent="0.25">
      <c r="A8862" s="8"/>
      <c r="C8862" s="5"/>
      <c r="M8862" s="9"/>
    </row>
    <row r="8863" spans="1:13" x14ac:dyDescent="0.25">
      <c r="A8863" s="8"/>
      <c r="C8863" s="5"/>
      <c r="M8863" s="9"/>
    </row>
    <row r="8864" spans="1:13" x14ac:dyDescent="0.25">
      <c r="A8864" s="8"/>
      <c r="C8864" s="5"/>
      <c r="M8864" s="9"/>
    </row>
    <row r="8865" spans="1:13" x14ac:dyDescent="0.25">
      <c r="A8865" s="8"/>
      <c r="C8865" s="5"/>
      <c r="M8865" s="9"/>
    </row>
    <row r="8866" spans="1:13" x14ac:dyDescent="0.25">
      <c r="A8866" s="8"/>
      <c r="C8866" s="5"/>
      <c r="M8866" s="9"/>
    </row>
    <row r="8867" spans="1:13" x14ac:dyDescent="0.25">
      <c r="A8867" s="8"/>
      <c r="C8867" s="5"/>
      <c r="M8867" s="9"/>
    </row>
    <row r="8868" spans="1:13" x14ac:dyDescent="0.25">
      <c r="A8868" s="8"/>
      <c r="C8868" s="5"/>
      <c r="M8868" s="9"/>
    </row>
    <row r="8869" spans="1:13" x14ac:dyDescent="0.25">
      <c r="A8869" s="8"/>
      <c r="C8869" s="5"/>
      <c r="M8869" s="9"/>
    </row>
    <row r="8870" spans="1:13" x14ac:dyDescent="0.25">
      <c r="A8870" s="8"/>
      <c r="C8870" s="5"/>
      <c r="M8870" s="9"/>
    </row>
    <row r="8871" spans="1:13" x14ac:dyDescent="0.25">
      <c r="A8871" s="8"/>
      <c r="C8871" s="5"/>
      <c r="M8871" s="9"/>
    </row>
    <row r="8872" spans="1:13" x14ac:dyDescent="0.25">
      <c r="A8872" s="8"/>
      <c r="C8872" s="5"/>
      <c r="M8872" s="9"/>
    </row>
    <row r="8873" spans="1:13" x14ac:dyDescent="0.25">
      <c r="A8873" s="8"/>
      <c r="C8873" s="5"/>
      <c r="M8873" s="9"/>
    </row>
    <row r="8874" spans="1:13" x14ac:dyDescent="0.25">
      <c r="A8874" s="8"/>
      <c r="C8874" s="5"/>
      <c r="M8874" s="9"/>
    </row>
    <row r="8875" spans="1:13" x14ac:dyDescent="0.25">
      <c r="A8875" s="8"/>
      <c r="C8875" s="5"/>
      <c r="M8875" s="9"/>
    </row>
    <row r="8876" spans="1:13" x14ac:dyDescent="0.25">
      <c r="A8876" s="8"/>
      <c r="C8876" s="5"/>
      <c r="M8876" s="9"/>
    </row>
    <row r="8877" spans="1:13" x14ac:dyDescent="0.25">
      <c r="A8877" s="8"/>
      <c r="C8877" s="5"/>
      <c r="M8877" s="9"/>
    </row>
    <row r="8878" spans="1:13" x14ac:dyDescent="0.25">
      <c r="A8878" s="8"/>
      <c r="C8878" s="5"/>
      <c r="M8878" s="9"/>
    </row>
    <row r="8879" spans="1:13" x14ac:dyDescent="0.25">
      <c r="A8879" s="8"/>
      <c r="C8879" s="5"/>
      <c r="M8879" s="9"/>
    </row>
    <row r="8880" spans="1:13" x14ac:dyDescent="0.25">
      <c r="A8880" s="8"/>
      <c r="C8880" s="5"/>
      <c r="M8880" s="9"/>
    </row>
    <row r="8881" spans="1:13" x14ac:dyDescent="0.25">
      <c r="A8881" s="8"/>
      <c r="C8881" s="5"/>
      <c r="M8881" s="9"/>
    </row>
    <row r="8882" spans="1:13" x14ac:dyDescent="0.25">
      <c r="A8882" s="8"/>
      <c r="C8882" s="5"/>
      <c r="M8882" s="9"/>
    </row>
    <row r="8883" spans="1:13" x14ac:dyDescent="0.25">
      <c r="A8883" s="8"/>
      <c r="C8883" s="5"/>
      <c r="M8883" s="9"/>
    </row>
    <row r="8884" spans="1:13" x14ac:dyDescent="0.25">
      <c r="A8884" s="8"/>
      <c r="C8884" s="5"/>
      <c r="M8884" s="9"/>
    </row>
    <row r="8885" spans="1:13" x14ac:dyDescent="0.25">
      <c r="A8885" s="8"/>
      <c r="C8885" s="5"/>
      <c r="M8885" s="9"/>
    </row>
    <row r="8886" spans="1:13" x14ac:dyDescent="0.25">
      <c r="A8886" s="8"/>
      <c r="C8886" s="5"/>
      <c r="M8886" s="9"/>
    </row>
    <row r="8887" spans="1:13" x14ac:dyDescent="0.25">
      <c r="A8887" s="8"/>
      <c r="C8887" s="5"/>
      <c r="M8887" s="9"/>
    </row>
    <row r="8888" spans="1:13" x14ac:dyDescent="0.25">
      <c r="A8888" s="8"/>
      <c r="C8888" s="5"/>
      <c r="M8888" s="9"/>
    </row>
    <row r="8889" spans="1:13" x14ac:dyDescent="0.25">
      <c r="A8889" s="8"/>
      <c r="C8889" s="5"/>
      <c r="M8889" s="9"/>
    </row>
    <row r="8890" spans="1:13" x14ac:dyDescent="0.25">
      <c r="A8890" s="8"/>
      <c r="C8890" s="5"/>
      <c r="M8890" s="9"/>
    </row>
    <row r="8891" spans="1:13" x14ac:dyDescent="0.25">
      <c r="A8891" s="8"/>
      <c r="C8891" s="5"/>
      <c r="M8891" s="9"/>
    </row>
    <row r="8892" spans="1:13" x14ac:dyDescent="0.25">
      <c r="A8892" s="8"/>
      <c r="C8892" s="5"/>
      <c r="M8892" s="9"/>
    </row>
    <row r="8893" spans="1:13" x14ac:dyDescent="0.25">
      <c r="A8893" s="8"/>
      <c r="C8893" s="5"/>
      <c r="M8893" s="9"/>
    </row>
    <row r="8894" spans="1:13" x14ac:dyDescent="0.25">
      <c r="A8894" s="8"/>
      <c r="C8894" s="5"/>
      <c r="M8894" s="9"/>
    </row>
    <row r="8895" spans="1:13" x14ac:dyDescent="0.25">
      <c r="A8895" s="8"/>
      <c r="C8895" s="5"/>
      <c r="M8895" s="9"/>
    </row>
    <row r="8896" spans="1:13" x14ac:dyDescent="0.25">
      <c r="A8896" s="8"/>
      <c r="C8896" s="5"/>
      <c r="M8896" s="9"/>
    </row>
    <row r="8897" spans="1:13" x14ac:dyDescent="0.25">
      <c r="A8897" s="8"/>
      <c r="C8897" s="5"/>
      <c r="M8897" s="9"/>
    </row>
    <row r="8898" spans="1:13" x14ac:dyDescent="0.25">
      <c r="A8898" s="8"/>
      <c r="C8898" s="5"/>
      <c r="M8898" s="9"/>
    </row>
    <row r="8899" spans="1:13" x14ac:dyDescent="0.25">
      <c r="A8899" s="8"/>
      <c r="C8899" s="5"/>
      <c r="M8899" s="9"/>
    </row>
    <row r="8900" spans="1:13" x14ac:dyDescent="0.25">
      <c r="A8900" s="8"/>
      <c r="C8900" s="5"/>
      <c r="M8900" s="9"/>
    </row>
    <row r="8901" spans="1:13" x14ac:dyDescent="0.25">
      <c r="A8901" s="8"/>
      <c r="C8901" s="5"/>
      <c r="M8901" s="9"/>
    </row>
    <row r="8902" spans="1:13" x14ac:dyDescent="0.25">
      <c r="A8902" s="8"/>
      <c r="C8902" s="5"/>
      <c r="M8902" s="9"/>
    </row>
    <row r="8903" spans="1:13" x14ac:dyDescent="0.25">
      <c r="A8903" s="8"/>
      <c r="C8903" s="5"/>
      <c r="M8903" s="9"/>
    </row>
    <row r="8904" spans="1:13" x14ac:dyDescent="0.25">
      <c r="A8904" s="8"/>
      <c r="C8904" s="5"/>
      <c r="M8904" s="9"/>
    </row>
    <row r="8905" spans="1:13" x14ac:dyDescent="0.25">
      <c r="A8905" s="8"/>
      <c r="C8905" s="5"/>
      <c r="M8905" s="9"/>
    </row>
    <row r="8906" spans="1:13" x14ac:dyDescent="0.25">
      <c r="A8906" s="8"/>
      <c r="C8906" s="5"/>
      <c r="M8906" s="9"/>
    </row>
    <row r="8907" spans="1:13" x14ac:dyDescent="0.25">
      <c r="A8907" s="8"/>
      <c r="C8907" s="5"/>
      <c r="M8907" s="9"/>
    </row>
    <row r="8908" spans="1:13" x14ac:dyDescent="0.25">
      <c r="A8908" s="8"/>
      <c r="C8908" s="5"/>
      <c r="M8908" s="9"/>
    </row>
    <row r="8909" spans="1:13" x14ac:dyDescent="0.25">
      <c r="A8909" s="8"/>
      <c r="C8909" s="5"/>
      <c r="M8909" s="9"/>
    </row>
    <row r="8910" spans="1:13" x14ac:dyDescent="0.25">
      <c r="A8910" s="8"/>
      <c r="C8910" s="5"/>
      <c r="M8910" s="9"/>
    </row>
    <row r="8911" spans="1:13" x14ac:dyDescent="0.25">
      <c r="A8911" s="8"/>
      <c r="C8911" s="5"/>
      <c r="M8911" s="9"/>
    </row>
    <row r="8912" spans="1:13" x14ac:dyDescent="0.25">
      <c r="A8912" s="8"/>
      <c r="C8912" s="5"/>
      <c r="M8912" s="9"/>
    </row>
    <row r="8913" spans="1:13" x14ac:dyDescent="0.25">
      <c r="A8913" s="8"/>
      <c r="C8913" s="5"/>
      <c r="M8913" s="9"/>
    </row>
    <row r="8914" spans="1:13" x14ac:dyDescent="0.25">
      <c r="A8914" s="8"/>
      <c r="C8914" s="5"/>
      <c r="M8914" s="9"/>
    </row>
    <row r="8915" spans="1:13" x14ac:dyDescent="0.25">
      <c r="A8915" s="8"/>
      <c r="C8915" s="5"/>
      <c r="M8915" s="9"/>
    </row>
    <row r="8916" spans="1:13" x14ac:dyDescent="0.25">
      <c r="A8916" s="8"/>
      <c r="C8916" s="5"/>
      <c r="M8916" s="9"/>
    </row>
    <row r="8917" spans="1:13" x14ac:dyDescent="0.25">
      <c r="A8917" s="8"/>
      <c r="C8917" s="5"/>
      <c r="M8917" s="9"/>
    </row>
    <row r="8918" spans="1:13" x14ac:dyDescent="0.25">
      <c r="A8918" s="8"/>
      <c r="C8918" s="5"/>
      <c r="M8918" s="9"/>
    </row>
    <row r="8919" spans="1:13" x14ac:dyDescent="0.25">
      <c r="A8919" s="8"/>
      <c r="C8919" s="5"/>
      <c r="M8919" s="9"/>
    </row>
    <row r="8920" spans="1:13" x14ac:dyDescent="0.25">
      <c r="A8920" s="8"/>
      <c r="C8920" s="5"/>
      <c r="M8920" s="9"/>
    </row>
    <row r="8921" spans="1:13" x14ac:dyDescent="0.25">
      <c r="A8921" s="8"/>
      <c r="C8921" s="5"/>
      <c r="M8921" s="9"/>
    </row>
    <row r="8922" spans="1:13" x14ac:dyDescent="0.25">
      <c r="A8922" s="8"/>
      <c r="C8922" s="5"/>
      <c r="M8922" s="9"/>
    </row>
    <row r="8923" spans="1:13" x14ac:dyDescent="0.25">
      <c r="A8923" s="8"/>
      <c r="C8923" s="5"/>
      <c r="M8923" s="9"/>
    </row>
    <row r="8924" spans="1:13" x14ac:dyDescent="0.25">
      <c r="A8924" s="8"/>
      <c r="C8924" s="5"/>
      <c r="M8924" s="9"/>
    </row>
    <row r="8925" spans="1:13" x14ac:dyDescent="0.25">
      <c r="A8925" s="8"/>
      <c r="C8925" s="5"/>
      <c r="M8925" s="9"/>
    </row>
    <row r="8926" spans="1:13" x14ac:dyDescent="0.25">
      <c r="A8926" s="8"/>
      <c r="C8926" s="5"/>
      <c r="M8926" s="9"/>
    </row>
    <row r="8927" spans="1:13" x14ac:dyDescent="0.25">
      <c r="A8927" s="8"/>
      <c r="C8927" s="5"/>
      <c r="M8927" s="9"/>
    </row>
    <row r="8928" spans="1:13" x14ac:dyDescent="0.25">
      <c r="A8928" s="8"/>
      <c r="C8928" s="5"/>
      <c r="M8928" s="9"/>
    </row>
    <row r="8929" spans="1:13" x14ac:dyDescent="0.25">
      <c r="A8929" s="8"/>
      <c r="C8929" s="5"/>
      <c r="M8929" s="9"/>
    </row>
    <row r="8930" spans="1:13" x14ac:dyDescent="0.25">
      <c r="A8930" s="8"/>
      <c r="C8930" s="5"/>
      <c r="M8930" s="9"/>
    </row>
    <row r="8931" spans="1:13" x14ac:dyDescent="0.25">
      <c r="A8931" s="8"/>
      <c r="C8931" s="5"/>
      <c r="M8931" s="9"/>
    </row>
    <row r="8932" spans="1:13" x14ac:dyDescent="0.25">
      <c r="A8932" s="8"/>
      <c r="C8932" s="5"/>
      <c r="M8932" s="9"/>
    </row>
    <row r="8933" spans="1:13" x14ac:dyDescent="0.25">
      <c r="A8933" s="8"/>
      <c r="C8933" s="5"/>
      <c r="M8933" s="9"/>
    </row>
    <row r="8934" spans="1:13" x14ac:dyDescent="0.25">
      <c r="A8934" s="8"/>
      <c r="C8934" s="5"/>
      <c r="M8934" s="9"/>
    </row>
    <row r="8935" spans="1:13" x14ac:dyDescent="0.25">
      <c r="A8935" s="8"/>
      <c r="C8935" s="5"/>
      <c r="M8935" s="9"/>
    </row>
    <row r="8936" spans="1:13" x14ac:dyDescent="0.25">
      <c r="A8936" s="8"/>
      <c r="C8936" s="5"/>
      <c r="M8936" s="9"/>
    </row>
    <row r="8937" spans="1:13" x14ac:dyDescent="0.25">
      <c r="A8937" s="8"/>
      <c r="C8937" s="5"/>
      <c r="M8937" s="9"/>
    </row>
    <row r="8938" spans="1:13" x14ac:dyDescent="0.25">
      <c r="A8938" s="8"/>
      <c r="C8938" s="5"/>
      <c r="M8938" s="9"/>
    </row>
    <row r="8939" spans="1:13" x14ac:dyDescent="0.25">
      <c r="A8939" s="8"/>
      <c r="C8939" s="5"/>
      <c r="M8939" s="9"/>
    </row>
    <row r="8940" spans="1:13" x14ac:dyDescent="0.25">
      <c r="A8940" s="8"/>
      <c r="C8940" s="5"/>
      <c r="M8940" s="9"/>
    </row>
    <row r="8941" spans="1:13" x14ac:dyDescent="0.25">
      <c r="A8941" s="8"/>
      <c r="C8941" s="5"/>
      <c r="M8941" s="9"/>
    </row>
    <row r="8942" spans="1:13" x14ac:dyDescent="0.25">
      <c r="A8942" s="8"/>
      <c r="C8942" s="5"/>
      <c r="M8942" s="9"/>
    </row>
    <row r="8943" spans="1:13" x14ac:dyDescent="0.25">
      <c r="A8943" s="8"/>
      <c r="C8943" s="5"/>
      <c r="M8943" s="9"/>
    </row>
    <row r="8944" spans="1:13" x14ac:dyDescent="0.25">
      <c r="A8944" s="8"/>
      <c r="C8944" s="5"/>
      <c r="M8944" s="9"/>
    </row>
    <row r="8945" spans="1:13" x14ac:dyDescent="0.25">
      <c r="A8945" s="8"/>
      <c r="C8945" s="5"/>
      <c r="M8945" s="9"/>
    </row>
    <row r="8946" spans="1:13" x14ac:dyDescent="0.25">
      <c r="A8946" s="8"/>
      <c r="C8946" s="5"/>
      <c r="M8946" s="9"/>
    </row>
    <row r="8947" spans="1:13" x14ac:dyDescent="0.25">
      <c r="A8947" s="8"/>
      <c r="C8947" s="5"/>
      <c r="M8947" s="9"/>
    </row>
    <row r="8948" spans="1:13" x14ac:dyDescent="0.25">
      <c r="A8948" s="8"/>
      <c r="C8948" s="5"/>
      <c r="M8948" s="9"/>
    </row>
    <row r="8949" spans="1:13" x14ac:dyDescent="0.25">
      <c r="A8949" s="8"/>
      <c r="C8949" s="5"/>
      <c r="M8949" s="9"/>
    </row>
    <row r="8950" spans="1:13" x14ac:dyDescent="0.25">
      <c r="A8950" s="8"/>
      <c r="C8950" s="5"/>
      <c r="M8950" s="9"/>
    </row>
    <row r="8951" spans="1:13" x14ac:dyDescent="0.25">
      <c r="A8951" s="8"/>
      <c r="C8951" s="5"/>
      <c r="M8951" s="9"/>
    </row>
    <row r="8952" spans="1:13" x14ac:dyDescent="0.25">
      <c r="A8952" s="8"/>
      <c r="C8952" s="5"/>
      <c r="M8952" s="9"/>
    </row>
    <row r="8953" spans="1:13" x14ac:dyDescent="0.25">
      <c r="A8953" s="8"/>
      <c r="C8953" s="5"/>
      <c r="M8953" s="9"/>
    </row>
    <row r="8954" spans="1:13" x14ac:dyDescent="0.25">
      <c r="A8954" s="8"/>
      <c r="C8954" s="5"/>
      <c r="M8954" s="9"/>
    </row>
    <row r="8955" spans="1:13" x14ac:dyDescent="0.25">
      <c r="A8955" s="8"/>
      <c r="C8955" s="5"/>
      <c r="M8955" s="9"/>
    </row>
    <row r="8956" spans="1:13" x14ac:dyDescent="0.25">
      <c r="A8956" s="8"/>
      <c r="C8956" s="5"/>
      <c r="M8956" s="9"/>
    </row>
    <row r="8957" spans="1:13" x14ac:dyDescent="0.25">
      <c r="A8957" s="8"/>
      <c r="C8957" s="5"/>
      <c r="M8957" s="9"/>
    </row>
    <row r="8958" spans="1:13" x14ac:dyDescent="0.25">
      <c r="A8958" s="8"/>
      <c r="C8958" s="5"/>
      <c r="M8958" s="9"/>
    </row>
    <row r="8959" spans="1:13" x14ac:dyDescent="0.25">
      <c r="A8959" s="8"/>
      <c r="C8959" s="5"/>
      <c r="M8959" s="9"/>
    </row>
    <row r="8960" spans="1:13" x14ac:dyDescent="0.25">
      <c r="A8960" s="8"/>
      <c r="C8960" s="5"/>
      <c r="M8960" s="9"/>
    </row>
    <row r="8961" spans="1:13" x14ac:dyDescent="0.25">
      <c r="A8961" s="8"/>
      <c r="C8961" s="5"/>
      <c r="M8961" s="9"/>
    </row>
    <row r="8962" spans="1:13" x14ac:dyDescent="0.25">
      <c r="A8962" s="8"/>
      <c r="C8962" s="5"/>
      <c r="M8962" s="9"/>
    </row>
    <row r="8963" spans="1:13" x14ac:dyDescent="0.25">
      <c r="A8963" s="8"/>
      <c r="C8963" s="5"/>
      <c r="M8963" s="9"/>
    </row>
    <row r="8964" spans="1:13" x14ac:dyDescent="0.25">
      <c r="A8964" s="8"/>
      <c r="C8964" s="5"/>
      <c r="M8964" s="9"/>
    </row>
    <row r="8965" spans="1:13" x14ac:dyDescent="0.25">
      <c r="A8965" s="8"/>
      <c r="C8965" s="5"/>
      <c r="M8965" s="9"/>
    </row>
    <row r="8966" spans="1:13" x14ac:dyDescent="0.25">
      <c r="A8966" s="8"/>
      <c r="C8966" s="5"/>
      <c r="M8966" s="9"/>
    </row>
    <row r="8967" spans="1:13" x14ac:dyDescent="0.25">
      <c r="A8967" s="8"/>
      <c r="C8967" s="5"/>
      <c r="M8967" s="9"/>
    </row>
    <row r="8968" spans="1:13" x14ac:dyDescent="0.25">
      <c r="A8968" s="8"/>
      <c r="C8968" s="5"/>
      <c r="M8968" s="9"/>
    </row>
    <row r="8969" spans="1:13" x14ac:dyDescent="0.25">
      <c r="A8969" s="8"/>
      <c r="C8969" s="5"/>
      <c r="M8969" s="9"/>
    </row>
    <row r="8970" spans="1:13" x14ac:dyDescent="0.25">
      <c r="A8970" s="8"/>
      <c r="C8970" s="5"/>
      <c r="M8970" s="9"/>
    </row>
    <row r="8971" spans="1:13" x14ac:dyDescent="0.25">
      <c r="A8971" s="8"/>
      <c r="C8971" s="5"/>
      <c r="M8971" s="9"/>
    </row>
    <row r="8972" spans="1:13" x14ac:dyDescent="0.25">
      <c r="A8972" s="8"/>
      <c r="C8972" s="5"/>
      <c r="M8972" s="9"/>
    </row>
    <row r="8973" spans="1:13" x14ac:dyDescent="0.25">
      <c r="A8973" s="8"/>
      <c r="C8973" s="5"/>
      <c r="M8973" s="9"/>
    </row>
    <row r="8974" spans="1:13" x14ac:dyDescent="0.25">
      <c r="A8974" s="8"/>
      <c r="C8974" s="5"/>
      <c r="M8974" s="9"/>
    </row>
    <row r="8975" spans="1:13" x14ac:dyDescent="0.25">
      <c r="A8975" s="8"/>
      <c r="C8975" s="5"/>
      <c r="M8975" s="9"/>
    </row>
    <row r="8976" spans="1:13" x14ac:dyDescent="0.25">
      <c r="A8976" s="8"/>
      <c r="C8976" s="5"/>
      <c r="M8976" s="9"/>
    </row>
    <row r="8977" spans="1:13" x14ac:dyDescent="0.25">
      <c r="A8977" s="8"/>
      <c r="C8977" s="5"/>
      <c r="M8977" s="9"/>
    </row>
    <row r="8978" spans="1:13" x14ac:dyDescent="0.25">
      <c r="A8978" s="8"/>
      <c r="C8978" s="5"/>
      <c r="M8978" s="9"/>
    </row>
    <row r="8979" spans="1:13" x14ac:dyDescent="0.25">
      <c r="A8979" s="8"/>
      <c r="C8979" s="5"/>
      <c r="M8979" s="9"/>
    </row>
    <row r="8980" spans="1:13" x14ac:dyDescent="0.25">
      <c r="A8980" s="8"/>
      <c r="C8980" s="5"/>
      <c r="M8980" s="9"/>
    </row>
    <row r="8981" spans="1:13" x14ac:dyDescent="0.25">
      <c r="A8981" s="8"/>
      <c r="C8981" s="5"/>
      <c r="M8981" s="9"/>
    </row>
    <row r="8982" spans="1:13" x14ac:dyDescent="0.25">
      <c r="A8982" s="8"/>
      <c r="C8982" s="5"/>
      <c r="M8982" s="9"/>
    </row>
    <row r="8983" spans="1:13" x14ac:dyDescent="0.25">
      <c r="A8983" s="8"/>
      <c r="C8983" s="5"/>
      <c r="M8983" s="9"/>
    </row>
    <row r="8984" spans="1:13" x14ac:dyDescent="0.25">
      <c r="A8984" s="8"/>
      <c r="C8984" s="5"/>
      <c r="M8984" s="9"/>
    </row>
    <row r="8985" spans="1:13" x14ac:dyDescent="0.25">
      <c r="A8985" s="8"/>
      <c r="C8985" s="5"/>
      <c r="M8985" s="9"/>
    </row>
    <row r="8986" spans="1:13" x14ac:dyDescent="0.25">
      <c r="A8986" s="8"/>
      <c r="C8986" s="5"/>
      <c r="M8986" s="9"/>
    </row>
    <row r="8987" spans="1:13" x14ac:dyDescent="0.25">
      <c r="A8987" s="8"/>
      <c r="C8987" s="5"/>
      <c r="M8987" s="9"/>
    </row>
    <row r="8988" spans="1:13" x14ac:dyDescent="0.25">
      <c r="A8988" s="8"/>
      <c r="C8988" s="5"/>
      <c r="M8988" s="9"/>
    </row>
    <row r="8989" spans="1:13" x14ac:dyDescent="0.25">
      <c r="A8989" s="8"/>
      <c r="C8989" s="5"/>
      <c r="M8989" s="9"/>
    </row>
    <row r="8990" spans="1:13" x14ac:dyDescent="0.25">
      <c r="A8990" s="8"/>
      <c r="C8990" s="5"/>
      <c r="M8990" s="9"/>
    </row>
    <row r="8991" spans="1:13" x14ac:dyDescent="0.25">
      <c r="A8991" s="8"/>
      <c r="C8991" s="5"/>
      <c r="M8991" s="9"/>
    </row>
    <row r="8992" spans="1:13" x14ac:dyDescent="0.25">
      <c r="A8992" s="8"/>
      <c r="C8992" s="5"/>
      <c r="M8992" s="9"/>
    </row>
    <row r="8993" spans="1:13" x14ac:dyDescent="0.25">
      <c r="A8993" s="8"/>
      <c r="C8993" s="5"/>
      <c r="M8993" s="9"/>
    </row>
    <row r="8994" spans="1:13" x14ac:dyDescent="0.25">
      <c r="A8994" s="8"/>
      <c r="C8994" s="5"/>
      <c r="M8994" s="9"/>
    </row>
    <row r="8995" spans="1:13" x14ac:dyDescent="0.25">
      <c r="A8995" s="8"/>
      <c r="C8995" s="5"/>
      <c r="M8995" s="9"/>
    </row>
    <row r="8996" spans="1:13" x14ac:dyDescent="0.25">
      <c r="A8996" s="8"/>
      <c r="C8996" s="5"/>
      <c r="M8996" s="9"/>
    </row>
    <row r="8997" spans="1:13" x14ac:dyDescent="0.25">
      <c r="A8997" s="8"/>
      <c r="C8997" s="5"/>
      <c r="M8997" s="9"/>
    </row>
    <row r="8998" spans="1:13" x14ac:dyDescent="0.25">
      <c r="A8998" s="8"/>
      <c r="C8998" s="5"/>
      <c r="M8998" s="9"/>
    </row>
    <row r="8999" spans="1:13" x14ac:dyDescent="0.25">
      <c r="A8999" s="8"/>
      <c r="C8999" s="5"/>
      <c r="M8999" s="9"/>
    </row>
    <row r="9000" spans="1:13" x14ac:dyDescent="0.25">
      <c r="A9000" s="8"/>
      <c r="C9000" s="5"/>
      <c r="M9000" s="9"/>
    </row>
    <row r="9001" spans="1:13" x14ac:dyDescent="0.25">
      <c r="A9001" s="8"/>
      <c r="C9001" s="5"/>
      <c r="M9001" s="9"/>
    </row>
    <row r="9002" spans="1:13" x14ac:dyDescent="0.25">
      <c r="A9002" s="8"/>
      <c r="C9002" s="5"/>
      <c r="M9002" s="9"/>
    </row>
    <row r="9003" spans="1:13" x14ac:dyDescent="0.25">
      <c r="A9003" s="8"/>
      <c r="C9003" s="5"/>
      <c r="M9003" s="9"/>
    </row>
    <row r="9004" spans="1:13" x14ac:dyDescent="0.25">
      <c r="A9004" s="8"/>
      <c r="C9004" s="5"/>
      <c r="M9004" s="9"/>
    </row>
    <row r="9005" spans="1:13" x14ac:dyDescent="0.25">
      <c r="A9005" s="8"/>
      <c r="C9005" s="5"/>
      <c r="M9005" s="9"/>
    </row>
    <row r="9006" spans="1:13" x14ac:dyDescent="0.25">
      <c r="A9006" s="8"/>
      <c r="C9006" s="5"/>
      <c r="M9006" s="9"/>
    </row>
    <row r="9007" spans="1:13" x14ac:dyDescent="0.25">
      <c r="A9007" s="8"/>
      <c r="C9007" s="5"/>
      <c r="M9007" s="9"/>
    </row>
    <row r="9008" spans="1:13" x14ac:dyDescent="0.25">
      <c r="A9008" s="8"/>
      <c r="C9008" s="5"/>
      <c r="M9008" s="9"/>
    </row>
    <row r="9009" spans="1:13" x14ac:dyDescent="0.25">
      <c r="A9009" s="8"/>
      <c r="C9009" s="5"/>
      <c r="M9009" s="9"/>
    </row>
    <row r="9010" spans="1:13" x14ac:dyDescent="0.25">
      <c r="A9010" s="8"/>
      <c r="C9010" s="5"/>
      <c r="M9010" s="9"/>
    </row>
    <row r="9011" spans="1:13" x14ac:dyDescent="0.25">
      <c r="A9011" s="8"/>
      <c r="C9011" s="5"/>
      <c r="M9011" s="9"/>
    </row>
    <row r="9012" spans="1:13" x14ac:dyDescent="0.25">
      <c r="A9012" s="8"/>
      <c r="C9012" s="5"/>
      <c r="M9012" s="9"/>
    </row>
    <row r="9013" spans="1:13" x14ac:dyDescent="0.25">
      <c r="A9013" s="8"/>
      <c r="C9013" s="5"/>
      <c r="M9013" s="9"/>
    </row>
    <row r="9014" spans="1:13" x14ac:dyDescent="0.25">
      <c r="A9014" s="8"/>
      <c r="C9014" s="5"/>
      <c r="M9014" s="9"/>
    </row>
    <row r="9015" spans="1:13" x14ac:dyDescent="0.25">
      <c r="A9015" s="8"/>
      <c r="C9015" s="5"/>
      <c r="M9015" s="9"/>
    </row>
    <row r="9016" spans="1:13" x14ac:dyDescent="0.25">
      <c r="A9016" s="8"/>
      <c r="C9016" s="5"/>
      <c r="M9016" s="9"/>
    </row>
    <row r="9017" spans="1:13" x14ac:dyDescent="0.25">
      <c r="A9017" s="8"/>
      <c r="C9017" s="5"/>
      <c r="M9017" s="9"/>
    </row>
    <row r="9018" spans="1:13" x14ac:dyDescent="0.25">
      <c r="A9018" s="8"/>
      <c r="C9018" s="5"/>
      <c r="M9018" s="9"/>
    </row>
    <row r="9019" spans="1:13" x14ac:dyDescent="0.25">
      <c r="A9019" s="8"/>
      <c r="C9019" s="5"/>
      <c r="M9019" s="9"/>
    </row>
    <row r="9020" spans="1:13" x14ac:dyDescent="0.25">
      <c r="A9020" s="8"/>
      <c r="C9020" s="5"/>
      <c r="M9020" s="9"/>
    </row>
    <row r="9021" spans="1:13" x14ac:dyDescent="0.25">
      <c r="A9021" s="8"/>
      <c r="C9021" s="5"/>
      <c r="M9021" s="9"/>
    </row>
    <row r="9022" spans="1:13" x14ac:dyDescent="0.25">
      <c r="A9022" s="8"/>
      <c r="C9022" s="5"/>
      <c r="M9022" s="9"/>
    </row>
    <row r="9023" spans="1:13" x14ac:dyDescent="0.25">
      <c r="A9023" s="8"/>
      <c r="C9023" s="5"/>
      <c r="M9023" s="9"/>
    </row>
    <row r="9024" spans="1:13" x14ac:dyDescent="0.25">
      <c r="A9024" s="8"/>
      <c r="C9024" s="5"/>
      <c r="M9024" s="9"/>
    </row>
    <row r="9025" spans="1:13" x14ac:dyDescent="0.25">
      <c r="A9025" s="8"/>
      <c r="C9025" s="5"/>
      <c r="M9025" s="9"/>
    </row>
    <row r="9026" spans="1:13" x14ac:dyDescent="0.25">
      <c r="A9026" s="8"/>
      <c r="C9026" s="5"/>
      <c r="M9026" s="9"/>
    </row>
    <row r="9027" spans="1:13" x14ac:dyDescent="0.25">
      <c r="A9027" s="8"/>
      <c r="C9027" s="5"/>
      <c r="M9027" s="9"/>
    </row>
    <row r="9028" spans="1:13" x14ac:dyDescent="0.25">
      <c r="A9028" s="8"/>
      <c r="C9028" s="5"/>
      <c r="M9028" s="9"/>
    </row>
    <row r="9029" spans="1:13" x14ac:dyDescent="0.25">
      <c r="A9029" s="8"/>
      <c r="C9029" s="5"/>
      <c r="M9029" s="9"/>
    </row>
    <row r="9030" spans="1:13" x14ac:dyDescent="0.25">
      <c r="A9030" s="8"/>
      <c r="C9030" s="5"/>
      <c r="M9030" s="9"/>
    </row>
    <row r="9031" spans="1:13" x14ac:dyDescent="0.25">
      <c r="A9031" s="8"/>
      <c r="C9031" s="5"/>
      <c r="M9031" s="9"/>
    </row>
    <row r="9032" spans="1:13" x14ac:dyDescent="0.25">
      <c r="A9032" s="8"/>
      <c r="C9032" s="5"/>
      <c r="M9032" s="9"/>
    </row>
    <row r="9033" spans="1:13" x14ac:dyDescent="0.25">
      <c r="A9033" s="8"/>
      <c r="C9033" s="5"/>
      <c r="M9033" s="9"/>
    </row>
    <row r="9034" spans="1:13" x14ac:dyDescent="0.25">
      <c r="A9034" s="8"/>
      <c r="C9034" s="5"/>
      <c r="M9034" s="9"/>
    </row>
    <row r="9035" spans="1:13" x14ac:dyDescent="0.25">
      <c r="A9035" s="8"/>
      <c r="C9035" s="5"/>
      <c r="M9035" s="9"/>
    </row>
    <row r="9036" spans="1:13" x14ac:dyDescent="0.25">
      <c r="A9036" s="8"/>
      <c r="C9036" s="5"/>
      <c r="M9036" s="9"/>
    </row>
    <row r="9037" spans="1:13" x14ac:dyDescent="0.25">
      <c r="A9037" s="8"/>
      <c r="C9037" s="5"/>
      <c r="M9037" s="9"/>
    </row>
    <row r="9038" spans="1:13" x14ac:dyDescent="0.25">
      <c r="A9038" s="8"/>
      <c r="C9038" s="5"/>
      <c r="M9038" s="9"/>
    </row>
    <row r="9039" spans="1:13" x14ac:dyDescent="0.25">
      <c r="A9039" s="8"/>
      <c r="C9039" s="5"/>
      <c r="M9039" s="9"/>
    </row>
    <row r="9040" spans="1:13" x14ac:dyDescent="0.25">
      <c r="A9040" s="8"/>
      <c r="C9040" s="5"/>
      <c r="M9040" s="9"/>
    </row>
    <row r="9041" spans="1:13" x14ac:dyDescent="0.25">
      <c r="A9041" s="8"/>
      <c r="C9041" s="5"/>
      <c r="M9041" s="9"/>
    </row>
    <row r="9042" spans="1:13" x14ac:dyDescent="0.25">
      <c r="A9042" s="8"/>
      <c r="C9042" s="5"/>
      <c r="M9042" s="9"/>
    </row>
    <row r="9043" spans="1:13" x14ac:dyDescent="0.25">
      <c r="A9043" s="8"/>
      <c r="C9043" s="5"/>
      <c r="M9043" s="9"/>
    </row>
    <row r="9044" spans="1:13" x14ac:dyDescent="0.25">
      <c r="A9044" s="8"/>
      <c r="C9044" s="5"/>
      <c r="M9044" s="9"/>
    </row>
    <row r="9045" spans="1:13" x14ac:dyDescent="0.25">
      <c r="A9045" s="8"/>
      <c r="C9045" s="5"/>
      <c r="M9045" s="9"/>
    </row>
    <row r="9046" spans="1:13" x14ac:dyDescent="0.25">
      <c r="A9046" s="8"/>
      <c r="C9046" s="5"/>
      <c r="M9046" s="9"/>
    </row>
    <row r="9047" spans="1:13" x14ac:dyDescent="0.25">
      <c r="A9047" s="8"/>
      <c r="C9047" s="5"/>
      <c r="M9047" s="9"/>
    </row>
    <row r="9048" spans="1:13" x14ac:dyDescent="0.25">
      <c r="A9048" s="8"/>
      <c r="C9048" s="5"/>
      <c r="M9048" s="9"/>
    </row>
    <row r="9049" spans="1:13" x14ac:dyDescent="0.25">
      <c r="A9049" s="8"/>
      <c r="C9049" s="5"/>
      <c r="M9049" s="9"/>
    </row>
    <row r="9050" spans="1:13" x14ac:dyDescent="0.25">
      <c r="A9050" s="8"/>
      <c r="C9050" s="5"/>
      <c r="M9050" s="9"/>
    </row>
    <row r="9051" spans="1:13" x14ac:dyDescent="0.25">
      <c r="A9051" s="8"/>
      <c r="C9051" s="5"/>
      <c r="M9051" s="9"/>
    </row>
    <row r="9052" spans="1:13" x14ac:dyDescent="0.25">
      <c r="A9052" s="8"/>
      <c r="C9052" s="5"/>
      <c r="M9052" s="9"/>
    </row>
    <row r="9053" spans="1:13" x14ac:dyDescent="0.25">
      <c r="A9053" s="8"/>
      <c r="C9053" s="5"/>
      <c r="M9053" s="9"/>
    </row>
    <row r="9054" spans="1:13" x14ac:dyDescent="0.25">
      <c r="A9054" s="8"/>
      <c r="C9054" s="5"/>
      <c r="M9054" s="9"/>
    </row>
    <row r="9055" spans="1:13" x14ac:dyDescent="0.25">
      <c r="A9055" s="8"/>
      <c r="C9055" s="5"/>
      <c r="M9055" s="9"/>
    </row>
    <row r="9056" spans="1:13" x14ac:dyDescent="0.25">
      <c r="A9056" s="8"/>
      <c r="C9056" s="5"/>
      <c r="M9056" s="9"/>
    </row>
    <row r="9057" spans="1:13" x14ac:dyDescent="0.25">
      <c r="A9057" s="8"/>
      <c r="C9057" s="5"/>
      <c r="M9057" s="9"/>
    </row>
    <row r="9058" spans="1:13" x14ac:dyDescent="0.25">
      <c r="A9058" s="8"/>
      <c r="C9058" s="5"/>
      <c r="M9058" s="9"/>
    </row>
    <row r="9059" spans="1:13" x14ac:dyDescent="0.25">
      <c r="A9059" s="8"/>
      <c r="C9059" s="5"/>
      <c r="M9059" s="9"/>
    </row>
    <row r="9060" spans="1:13" x14ac:dyDescent="0.25">
      <c r="A9060" s="8"/>
      <c r="C9060" s="5"/>
      <c r="M9060" s="9"/>
    </row>
    <row r="9061" spans="1:13" x14ac:dyDescent="0.25">
      <c r="A9061" s="8"/>
      <c r="C9061" s="5"/>
      <c r="M9061" s="9"/>
    </row>
    <row r="9062" spans="1:13" x14ac:dyDescent="0.25">
      <c r="A9062" s="8"/>
      <c r="C9062" s="5"/>
      <c r="M9062" s="9"/>
    </row>
    <row r="9063" spans="1:13" x14ac:dyDescent="0.25">
      <c r="A9063" s="8"/>
      <c r="C9063" s="5"/>
      <c r="M9063" s="9"/>
    </row>
    <row r="9064" spans="1:13" x14ac:dyDescent="0.25">
      <c r="A9064" s="8"/>
      <c r="C9064" s="5"/>
      <c r="M9064" s="9"/>
    </row>
    <row r="9065" spans="1:13" x14ac:dyDescent="0.25">
      <c r="A9065" s="8"/>
      <c r="C9065" s="5"/>
      <c r="M9065" s="9"/>
    </row>
    <row r="9066" spans="1:13" x14ac:dyDescent="0.25">
      <c r="A9066" s="8"/>
      <c r="C9066" s="5"/>
      <c r="M9066" s="9"/>
    </row>
    <row r="9067" spans="1:13" x14ac:dyDescent="0.25">
      <c r="A9067" s="8"/>
      <c r="C9067" s="5"/>
      <c r="M9067" s="9"/>
    </row>
    <row r="9068" spans="1:13" x14ac:dyDescent="0.25">
      <c r="A9068" s="8"/>
      <c r="C9068" s="5"/>
      <c r="M9068" s="9"/>
    </row>
    <row r="9069" spans="1:13" x14ac:dyDescent="0.25">
      <c r="A9069" s="8"/>
      <c r="C9069" s="5"/>
      <c r="M9069" s="9"/>
    </row>
    <row r="9070" spans="1:13" x14ac:dyDescent="0.25">
      <c r="A9070" s="8"/>
      <c r="C9070" s="5"/>
      <c r="M9070" s="9"/>
    </row>
    <row r="9071" spans="1:13" x14ac:dyDescent="0.25">
      <c r="A9071" s="8"/>
      <c r="C9071" s="5"/>
      <c r="M9071" s="9"/>
    </row>
    <row r="9072" spans="1:13" x14ac:dyDescent="0.25">
      <c r="A9072" s="8"/>
      <c r="C9072" s="5"/>
      <c r="M9072" s="9"/>
    </row>
    <row r="9073" spans="1:13" x14ac:dyDescent="0.25">
      <c r="A9073" s="8"/>
      <c r="C9073" s="5"/>
      <c r="M9073" s="9"/>
    </row>
    <row r="9074" spans="1:13" x14ac:dyDescent="0.25">
      <c r="A9074" s="8"/>
      <c r="C9074" s="5"/>
      <c r="M9074" s="9"/>
    </row>
    <row r="9075" spans="1:13" x14ac:dyDescent="0.25">
      <c r="A9075" s="8"/>
      <c r="C9075" s="5"/>
      <c r="M9075" s="9"/>
    </row>
    <row r="9076" spans="1:13" x14ac:dyDescent="0.25">
      <c r="A9076" s="8"/>
      <c r="C9076" s="5"/>
      <c r="M9076" s="9"/>
    </row>
    <row r="9077" spans="1:13" x14ac:dyDescent="0.25">
      <c r="A9077" s="8"/>
      <c r="C9077" s="5"/>
      <c r="M9077" s="9"/>
    </row>
    <row r="9078" spans="1:13" x14ac:dyDescent="0.25">
      <c r="A9078" s="8"/>
      <c r="C9078" s="5"/>
      <c r="M9078" s="9"/>
    </row>
    <row r="9079" spans="1:13" x14ac:dyDescent="0.25">
      <c r="A9079" s="8"/>
      <c r="C9079" s="5"/>
      <c r="M9079" s="9"/>
    </row>
    <row r="9080" spans="1:13" x14ac:dyDescent="0.25">
      <c r="A9080" s="8"/>
      <c r="C9080" s="5"/>
      <c r="M9080" s="9"/>
    </row>
    <row r="9081" spans="1:13" x14ac:dyDescent="0.25">
      <c r="A9081" s="8"/>
      <c r="C9081" s="5"/>
      <c r="M9081" s="9"/>
    </row>
    <row r="9082" spans="1:13" x14ac:dyDescent="0.25">
      <c r="A9082" s="8"/>
      <c r="C9082" s="5"/>
      <c r="M9082" s="9"/>
    </row>
    <row r="9083" spans="1:13" x14ac:dyDescent="0.25">
      <c r="A9083" s="8"/>
      <c r="C9083" s="5"/>
      <c r="M9083" s="9"/>
    </row>
    <row r="9084" spans="1:13" x14ac:dyDescent="0.25">
      <c r="A9084" s="8"/>
      <c r="C9084" s="5"/>
      <c r="M9084" s="9"/>
    </row>
    <row r="9085" spans="1:13" x14ac:dyDescent="0.25">
      <c r="A9085" s="8"/>
      <c r="C9085" s="5"/>
      <c r="M9085" s="9"/>
    </row>
    <row r="9086" spans="1:13" x14ac:dyDescent="0.25">
      <c r="A9086" s="8"/>
      <c r="C9086" s="5"/>
      <c r="M9086" s="9"/>
    </row>
    <row r="9087" spans="1:13" x14ac:dyDescent="0.25">
      <c r="A9087" s="8"/>
      <c r="C9087" s="5"/>
      <c r="M9087" s="9"/>
    </row>
    <row r="9088" spans="1:13" x14ac:dyDescent="0.25">
      <c r="A9088" s="8"/>
      <c r="C9088" s="5"/>
      <c r="M9088" s="9"/>
    </row>
    <row r="9089" spans="1:13" x14ac:dyDescent="0.25">
      <c r="A9089" s="8"/>
      <c r="C9089" s="5"/>
      <c r="M9089" s="9"/>
    </row>
    <row r="9090" spans="1:13" x14ac:dyDescent="0.25">
      <c r="A9090" s="8"/>
      <c r="C9090" s="5"/>
      <c r="M9090" s="9"/>
    </row>
    <row r="9091" spans="1:13" x14ac:dyDescent="0.25">
      <c r="A9091" s="8"/>
      <c r="C9091" s="5"/>
      <c r="M9091" s="9"/>
    </row>
    <row r="9092" spans="1:13" x14ac:dyDescent="0.25">
      <c r="A9092" s="8"/>
      <c r="C9092" s="5"/>
      <c r="M9092" s="9"/>
    </row>
    <row r="9093" spans="1:13" x14ac:dyDescent="0.25">
      <c r="A9093" s="8"/>
      <c r="C9093" s="5"/>
      <c r="M9093" s="9"/>
    </row>
    <row r="9094" spans="1:13" x14ac:dyDescent="0.25">
      <c r="A9094" s="8"/>
      <c r="C9094" s="5"/>
      <c r="M9094" s="9"/>
    </row>
    <row r="9095" spans="1:13" x14ac:dyDescent="0.25">
      <c r="A9095" s="8"/>
      <c r="C9095" s="5"/>
      <c r="M9095" s="9"/>
    </row>
    <row r="9096" spans="1:13" x14ac:dyDescent="0.25">
      <c r="A9096" s="8"/>
      <c r="C9096" s="5"/>
      <c r="M9096" s="9"/>
    </row>
    <row r="9097" spans="1:13" x14ac:dyDescent="0.25">
      <c r="A9097" s="8"/>
      <c r="C9097" s="5"/>
      <c r="M9097" s="9"/>
    </row>
    <row r="9098" spans="1:13" x14ac:dyDescent="0.25">
      <c r="A9098" s="8"/>
      <c r="C9098" s="5"/>
      <c r="M9098" s="9"/>
    </row>
    <row r="9099" spans="1:13" x14ac:dyDescent="0.25">
      <c r="A9099" s="8"/>
      <c r="C9099" s="5"/>
      <c r="M9099" s="9"/>
    </row>
    <row r="9100" spans="1:13" x14ac:dyDescent="0.25">
      <c r="A9100" s="8"/>
      <c r="C9100" s="5"/>
      <c r="M9100" s="9"/>
    </row>
    <row r="9101" spans="1:13" x14ac:dyDescent="0.25">
      <c r="A9101" s="8"/>
      <c r="C9101" s="5"/>
      <c r="M9101" s="9"/>
    </row>
    <row r="9102" spans="1:13" x14ac:dyDescent="0.25">
      <c r="A9102" s="8"/>
      <c r="C9102" s="5"/>
      <c r="M9102" s="9"/>
    </row>
    <row r="9103" spans="1:13" x14ac:dyDescent="0.25">
      <c r="A9103" s="8"/>
      <c r="C9103" s="5"/>
      <c r="M9103" s="9"/>
    </row>
    <row r="9104" spans="1:13" x14ac:dyDescent="0.25">
      <c r="A9104" s="8"/>
      <c r="C9104" s="5"/>
      <c r="M9104" s="9"/>
    </row>
    <row r="9105" spans="1:13" x14ac:dyDescent="0.25">
      <c r="A9105" s="8"/>
      <c r="C9105" s="5"/>
      <c r="M9105" s="9"/>
    </row>
    <row r="9106" spans="1:13" x14ac:dyDescent="0.25">
      <c r="A9106" s="8"/>
      <c r="C9106" s="5"/>
      <c r="M9106" s="9"/>
    </row>
    <row r="9107" spans="1:13" x14ac:dyDescent="0.25">
      <c r="A9107" s="8"/>
      <c r="C9107" s="5"/>
      <c r="M9107" s="9"/>
    </row>
    <row r="9108" spans="1:13" x14ac:dyDescent="0.25">
      <c r="A9108" s="8"/>
      <c r="C9108" s="5"/>
      <c r="M9108" s="9"/>
    </row>
    <row r="9109" spans="1:13" x14ac:dyDescent="0.25">
      <c r="A9109" s="8"/>
      <c r="C9109" s="5"/>
      <c r="M9109" s="9"/>
    </row>
    <row r="9110" spans="1:13" x14ac:dyDescent="0.25">
      <c r="A9110" s="8"/>
      <c r="C9110" s="5"/>
      <c r="M9110" s="9"/>
    </row>
    <row r="9111" spans="1:13" x14ac:dyDescent="0.25">
      <c r="A9111" s="8"/>
      <c r="C9111" s="5"/>
      <c r="M9111" s="9"/>
    </row>
    <row r="9112" spans="1:13" x14ac:dyDescent="0.25">
      <c r="A9112" s="8"/>
      <c r="C9112" s="5"/>
      <c r="M9112" s="9"/>
    </row>
    <row r="9113" spans="1:13" x14ac:dyDescent="0.25">
      <c r="A9113" s="8"/>
      <c r="C9113" s="5"/>
      <c r="M9113" s="9"/>
    </row>
    <row r="9114" spans="1:13" x14ac:dyDescent="0.25">
      <c r="A9114" s="8"/>
      <c r="C9114" s="5"/>
      <c r="M9114" s="9"/>
    </row>
    <row r="9115" spans="1:13" x14ac:dyDescent="0.25">
      <c r="A9115" s="8"/>
      <c r="C9115" s="5"/>
      <c r="M9115" s="9"/>
    </row>
    <row r="9116" spans="1:13" x14ac:dyDescent="0.25">
      <c r="A9116" s="8"/>
      <c r="C9116" s="5"/>
      <c r="M9116" s="9"/>
    </row>
    <row r="9117" spans="1:13" x14ac:dyDescent="0.25">
      <c r="A9117" s="8"/>
      <c r="C9117" s="5"/>
      <c r="M9117" s="9"/>
    </row>
    <row r="9118" spans="1:13" x14ac:dyDescent="0.25">
      <c r="A9118" s="8"/>
      <c r="C9118" s="5"/>
      <c r="M9118" s="9"/>
    </row>
    <row r="9119" spans="1:13" x14ac:dyDescent="0.25">
      <c r="A9119" s="8"/>
      <c r="C9119" s="5"/>
      <c r="M9119" s="9"/>
    </row>
    <row r="9120" spans="1:13" x14ac:dyDescent="0.25">
      <c r="A9120" s="8"/>
      <c r="C9120" s="5"/>
      <c r="M9120" s="9"/>
    </row>
    <row r="9121" spans="1:13" x14ac:dyDescent="0.25">
      <c r="A9121" s="8"/>
      <c r="C9121" s="5"/>
      <c r="M9121" s="9"/>
    </row>
    <row r="9122" spans="1:13" x14ac:dyDescent="0.25">
      <c r="A9122" s="8"/>
      <c r="C9122" s="5"/>
      <c r="M9122" s="9"/>
    </row>
    <row r="9123" spans="1:13" x14ac:dyDescent="0.25">
      <c r="A9123" s="8"/>
      <c r="C9123" s="5"/>
      <c r="M9123" s="9"/>
    </row>
    <row r="9124" spans="1:13" x14ac:dyDescent="0.25">
      <c r="A9124" s="8"/>
      <c r="C9124" s="5"/>
      <c r="M9124" s="9"/>
    </row>
    <row r="9125" spans="1:13" x14ac:dyDescent="0.25">
      <c r="A9125" s="8"/>
      <c r="C9125" s="5"/>
      <c r="M9125" s="9"/>
    </row>
    <row r="9126" spans="1:13" x14ac:dyDescent="0.25">
      <c r="A9126" s="8"/>
      <c r="C9126" s="5"/>
      <c r="M9126" s="9"/>
    </row>
    <row r="9127" spans="1:13" x14ac:dyDescent="0.25">
      <c r="A9127" s="8"/>
      <c r="C9127" s="5"/>
      <c r="M9127" s="9"/>
    </row>
    <row r="9128" spans="1:13" x14ac:dyDescent="0.25">
      <c r="A9128" s="8"/>
      <c r="C9128" s="5"/>
      <c r="M9128" s="9"/>
    </row>
    <row r="9129" spans="1:13" x14ac:dyDescent="0.25">
      <c r="A9129" s="8"/>
      <c r="C9129" s="5"/>
      <c r="M9129" s="9"/>
    </row>
    <row r="9130" spans="1:13" x14ac:dyDescent="0.25">
      <c r="A9130" s="8"/>
      <c r="C9130" s="5"/>
      <c r="M9130" s="9"/>
    </row>
    <row r="9131" spans="1:13" x14ac:dyDescent="0.25">
      <c r="A9131" s="8"/>
      <c r="C9131" s="5"/>
      <c r="M9131" s="9"/>
    </row>
    <row r="9132" spans="1:13" x14ac:dyDescent="0.25">
      <c r="A9132" s="8"/>
      <c r="C9132" s="5"/>
      <c r="M9132" s="9"/>
    </row>
    <row r="9133" spans="1:13" x14ac:dyDescent="0.25">
      <c r="A9133" s="8"/>
      <c r="C9133" s="5"/>
      <c r="M9133" s="9"/>
    </row>
    <row r="9134" spans="1:13" x14ac:dyDescent="0.25">
      <c r="A9134" s="8"/>
      <c r="C9134" s="5"/>
      <c r="M9134" s="9"/>
    </row>
    <row r="9135" spans="1:13" x14ac:dyDescent="0.25">
      <c r="A9135" s="8"/>
      <c r="C9135" s="5"/>
      <c r="M9135" s="9"/>
    </row>
    <row r="9136" spans="1:13" x14ac:dyDescent="0.25">
      <c r="A9136" s="8"/>
      <c r="C9136" s="5"/>
      <c r="M9136" s="9"/>
    </row>
    <row r="9137" spans="1:13" x14ac:dyDescent="0.25">
      <c r="A9137" s="8"/>
      <c r="C9137" s="5"/>
      <c r="M9137" s="9"/>
    </row>
    <row r="9138" spans="1:13" x14ac:dyDescent="0.25">
      <c r="A9138" s="8"/>
      <c r="C9138" s="5"/>
      <c r="M9138" s="9"/>
    </row>
    <row r="9139" spans="1:13" x14ac:dyDescent="0.25">
      <c r="A9139" s="8"/>
      <c r="C9139" s="5"/>
      <c r="M9139" s="9"/>
    </row>
    <row r="9140" spans="1:13" x14ac:dyDescent="0.25">
      <c r="A9140" s="8"/>
      <c r="C9140" s="5"/>
      <c r="M9140" s="9"/>
    </row>
    <row r="9141" spans="1:13" x14ac:dyDescent="0.25">
      <c r="A9141" s="8"/>
      <c r="C9141" s="5"/>
      <c r="M9141" s="9"/>
    </row>
    <row r="9142" spans="1:13" x14ac:dyDescent="0.25">
      <c r="A9142" s="8"/>
      <c r="C9142" s="5"/>
      <c r="M9142" s="9"/>
    </row>
    <row r="9143" spans="1:13" x14ac:dyDescent="0.25">
      <c r="A9143" s="8"/>
      <c r="C9143" s="5"/>
      <c r="M9143" s="9"/>
    </row>
    <row r="9144" spans="1:13" x14ac:dyDescent="0.25">
      <c r="A9144" s="8"/>
      <c r="C9144" s="5"/>
      <c r="M9144" s="9"/>
    </row>
    <row r="9145" spans="1:13" x14ac:dyDescent="0.25">
      <c r="A9145" s="8"/>
      <c r="C9145" s="5"/>
      <c r="M9145" s="9"/>
    </row>
    <row r="9146" spans="1:13" x14ac:dyDescent="0.25">
      <c r="A9146" s="8"/>
      <c r="C9146" s="5"/>
      <c r="M9146" s="9"/>
    </row>
    <row r="9147" spans="1:13" x14ac:dyDescent="0.25">
      <c r="A9147" s="8"/>
      <c r="C9147" s="5"/>
      <c r="M9147" s="9"/>
    </row>
    <row r="9148" spans="1:13" x14ac:dyDescent="0.25">
      <c r="A9148" s="8"/>
      <c r="C9148" s="5"/>
      <c r="M9148" s="9"/>
    </row>
    <row r="9149" spans="1:13" x14ac:dyDescent="0.25">
      <c r="A9149" s="8"/>
      <c r="C9149" s="5"/>
      <c r="M9149" s="9"/>
    </row>
    <row r="9150" spans="1:13" x14ac:dyDescent="0.25">
      <c r="A9150" s="8"/>
      <c r="C9150" s="5"/>
      <c r="M9150" s="9"/>
    </row>
    <row r="9151" spans="1:13" x14ac:dyDescent="0.25">
      <c r="A9151" s="8"/>
      <c r="C9151" s="5"/>
      <c r="M9151" s="9"/>
    </row>
    <row r="9152" spans="1:13" x14ac:dyDescent="0.25">
      <c r="A9152" s="8"/>
      <c r="C9152" s="5"/>
      <c r="M9152" s="9"/>
    </row>
    <row r="9153" spans="1:13" x14ac:dyDescent="0.25">
      <c r="A9153" s="8"/>
      <c r="C9153" s="5"/>
      <c r="M9153" s="9"/>
    </row>
    <row r="9154" spans="1:13" x14ac:dyDescent="0.25">
      <c r="A9154" s="8"/>
      <c r="C9154" s="5"/>
      <c r="M9154" s="9"/>
    </row>
    <row r="9155" spans="1:13" x14ac:dyDescent="0.25">
      <c r="A9155" s="8"/>
      <c r="C9155" s="5"/>
      <c r="M9155" s="9"/>
    </row>
    <row r="9156" spans="1:13" x14ac:dyDescent="0.25">
      <c r="A9156" s="8"/>
      <c r="C9156" s="5"/>
      <c r="M9156" s="9"/>
    </row>
    <row r="9157" spans="1:13" x14ac:dyDescent="0.25">
      <c r="A9157" s="8"/>
      <c r="C9157" s="5"/>
      <c r="M9157" s="9"/>
    </row>
    <row r="9158" spans="1:13" x14ac:dyDescent="0.25">
      <c r="A9158" s="8"/>
      <c r="C9158" s="5"/>
      <c r="M9158" s="9"/>
    </row>
    <row r="9159" spans="1:13" x14ac:dyDescent="0.25">
      <c r="A9159" s="8"/>
      <c r="C9159" s="5"/>
      <c r="M9159" s="9"/>
    </row>
    <row r="9160" spans="1:13" x14ac:dyDescent="0.25">
      <c r="A9160" s="8"/>
      <c r="C9160" s="5"/>
      <c r="M9160" s="9"/>
    </row>
    <row r="9161" spans="1:13" x14ac:dyDescent="0.25">
      <c r="A9161" s="8"/>
      <c r="C9161" s="5"/>
      <c r="M9161" s="9"/>
    </row>
    <row r="9162" spans="1:13" x14ac:dyDescent="0.25">
      <c r="A9162" s="8"/>
      <c r="C9162" s="5"/>
      <c r="M9162" s="9"/>
    </row>
    <row r="9163" spans="1:13" x14ac:dyDescent="0.25">
      <c r="A9163" s="8"/>
      <c r="C9163" s="5"/>
      <c r="M9163" s="9"/>
    </row>
    <row r="9164" spans="1:13" x14ac:dyDescent="0.25">
      <c r="A9164" s="8"/>
      <c r="C9164" s="5"/>
      <c r="M9164" s="9"/>
    </row>
    <row r="9165" spans="1:13" x14ac:dyDescent="0.25">
      <c r="A9165" s="8"/>
      <c r="C9165" s="5"/>
      <c r="M9165" s="9"/>
    </row>
    <row r="9166" spans="1:13" x14ac:dyDescent="0.25">
      <c r="A9166" s="8"/>
      <c r="C9166" s="5"/>
      <c r="M9166" s="9"/>
    </row>
    <row r="9167" spans="1:13" x14ac:dyDescent="0.25">
      <c r="A9167" s="8"/>
      <c r="C9167" s="5"/>
      <c r="M9167" s="9"/>
    </row>
    <row r="9168" spans="1:13" x14ac:dyDescent="0.25">
      <c r="A9168" s="8"/>
      <c r="C9168" s="5"/>
      <c r="M9168" s="9"/>
    </row>
    <row r="9169" spans="1:13" x14ac:dyDescent="0.25">
      <c r="A9169" s="8"/>
      <c r="C9169" s="5"/>
      <c r="M9169" s="9"/>
    </row>
    <row r="9170" spans="1:13" x14ac:dyDescent="0.25">
      <c r="A9170" s="8"/>
      <c r="C9170" s="5"/>
      <c r="M9170" s="9"/>
    </row>
    <row r="9171" spans="1:13" x14ac:dyDescent="0.25">
      <c r="A9171" s="8"/>
      <c r="C9171" s="5"/>
      <c r="M9171" s="9"/>
    </row>
    <row r="9172" spans="1:13" x14ac:dyDescent="0.25">
      <c r="A9172" s="8"/>
      <c r="C9172" s="5"/>
      <c r="M9172" s="9"/>
    </row>
    <row r="9173" spans="1:13" x14ac:dyDescent="0.25">
      <c r="A9173" s="8"/>
      <c r="C9173" s="5"/>
      <c r="M9173" s="9"/>
    </row>
    <row r="9174" spans="1:13" x14ac:dyDescent="0.25">
      <c r="A9174" s="8"/>
      <c r="C9174" s="5"/>
      <c r="M9174" s="9"/>
    </row>
    <row r="9175" spans="1:13" x14ac:dyDescent="0.25">
      <c r="A9175" s="8"/>
      <c r="C9175" s="5"/>
      <c r="M9175" s="9"/>
    </row>
    <row r="9176" spans="1:13" x14ac:dyDescent="0.25">
      <c r="A9176" s="8"/>
      <c r="C9176" s="5"/>
      <c r="M9176" s="9"/>
    </row>
    <row r="9177" spans="1:13" x14ac:dyDescent="0.25">
      <c r="A9177" s="8"/>
      <c r="C9177" s="5"/>
      <c r="M9177" s="9"/>
    </row>
    <row r="9178" spans="1:13" x14ac:dyDescent="0.25">
      <c r="A9178" s="8"/>
      <c r="C9178" s="5"/>
      <c r="M9178" s="9"/>
    </row>
    <row r="9179" spans="1:13" x14ac:dyDescent="0.25">
      <c r="A9179" s="8"/>
      <c r="C9179" s="5"/>
      <c r="M9179" s="9"/>
    </row>
    <row r="9180" spans="1:13" x14ac:dyDescent="0.25">
      <c r="A9180" s="8"/>
      <c r="C9180" s="5"/>
      <c r="M9180" s="9"/>
    </row>
    <row r="9181" spans="1:13" x14ac:dyDescent="0.25">
      <c r="A9181" s="8"/>
      <c r="C9181" s="5"/>
      <c r="M9181" s="9"/>
    </row>
    <row r="9182" spans="1:13" x14ac:dyDescent="0.25">
      <c r="A9182" s="8"/>
      <c r="C9182" s="5"/>
      <c r="M9182" s="9"/>
    </row>
    <row r="9183" spans="1:13" x14ac:dyDescent="0.25">
      <c r="A9183" s="8"/>
      <c r="C9183" s="5"/>
      <c r="M9183" s="9"/>
    </row>
    <row r="9184" spans="1:13" x14ac:dyDescent="0.25">
      <c r="A9184" s="8"/>
      <c r="C9184" s="5"/>
      <c r="M9184" s="9"/>
    </row>
    <row r="9185" spans="1:13" x14ac:dyDescent="0.25">
      <c r="A9185" s="8"/>
      <c r="C9185" s="5"/>
      <c r="M9185" s="9"/>
    </row>
    <row r="9186" spans="1:13" x14ac:dyDescent="0.25">
      <c r="A9186" s="8"/>
      <c r="C9186" s="5"/>
      <c r="M9186" s="9"/>
    </row>
    <row r="9187" spans="1:13" x14ac:dyDescent="0.25">
      <c r="A9187" s="8"/>
      <c r="C9187" s="5"/>
      <c r="M9187" s="9"/>
    </row>
    <row r="9188" spans="1:13" x14ac:dyDescent="0.25">
      <c r="A9188" s="8"/>
      <c r="C9188" s="5"/>
      <c r="M9188" s="9"/>
    </row>
    <row r="9189" spans="1:13" x14ac:dyDescent="0.25">
      <c r="A9189" s="8"/>
      <c r="C9189" s="5"/>
      <c r="M9189" s="9"/>
    </row>
    <row r="9190" spans="1:13" x14ac:dyDescent="0.25">
      <c r="A9190" s="8"/>
      <c r="C9190" s="5"/>
      <c r="M9190" s="9"/>
    </row>
    <row r="9191" spans="1:13" x14ac:dyDescent="0.25">
      <c r="A9191" s="8"/>
      <c r="C9191" s="5"/>
      <c r="M9191" s="9"/>
    </row>
    <row r="9192" spans="1:13" x14ac:dyDescent="0.25">
      <c r="A9192" s="8"/>
      <c r="C9192" s="5"/>
      <c r="M9192" s="9"/>
    </row>
    <row r="9193" spans="1:13" x14ac:dyDescent="0.25">
      <c r="A9193" s="8"/>
      <c r="C9193" s="5"/>
      <c r="M9193" s="9"/>
    </row>
    <row r="9194" spans="1:13" x14ac:dyDescent="0.25">
      <c r="A9194" s="8"/>
      <c r="C9194" s="5"/>
      <c r="M9194" s="9"/>
    </row>
    <row r="9195" spans="1:13" x14ac:dyDescent="0.25">
      <c r="A9195" s="8"/>
      <c r="C9195" s="5"/>
      <c r="M9195" s="9"/>
    </row>
    <row r="9196" spans="1:13" x14ac:dyDescent="0.25">
      <c r="A9196" s="8"/>
      <c r="C9196" s="5"/>
      <c r="M9196" s="9"/>
    </row>
    <row r="9197" spans="1:13" x14ac:dyDescent="0.25">
      <c r="A9197" s="8"/>
      <c r="C9197" s="5"/>
      <c r="M9197" s="9"/>
    </row>
    <row r="9198" spans="1:13" x14ac:dyDescent="0.25">
      <c r="A9198" s="8"/>
      <c r="C9198" s="5"/>
      <c r="M9198" s="9"/>
    </row>
    <row r="9199" spans="1:13" x14ac:dyDescent="0.25">
      <c r="A9199" s="8"/>
      <c r="C9199" s="5"/>
      <c r="M9199" s="9"/>
    </row>
    <row r="9200" spans="1:13" x14ac:dyDescent="0.25">
      <c r="A9200" s="8"/>
      <c r="C9200" s="5"/>
      <c r="M9200" s="9"/>
    </row>
    <row r="9201" spans="1:13" x14ac:dyDescent="0.25">
      <c r="A9201" s="8"/>
      <c r="C9201" s="5"/>
      <c r="M9201" s="9"/>
    </row>
    <row r="9202" spans="1:13" x14ac:dyDescent="0.25">
      <c r="A9202" s="8"/>
      <c r="C9202" s="5"/>
      <c r="M9202" s="9"/>
    </row>
    <row r="9203" spans="1:13" x14ac:dyDescent="0.25">
      <c r="A9203" s="8"/>
      <c r="C9203" s="5"/>
      <c r="M9203" s="9"/>
    </row>
    <row r="9204" spans="1:13" x14ac:dyDescent="0.25">
      <c r="A9204" s="8"/>
      <c r="C9204" s="5"/>
      <c r="M9204" s="9"/>
    </row>
    <row r="9205" spans="1:13" x14ac:dyDescent="0.25">
      <c r="A9205" s="8"/>
      <c r="C9205" s="5"/>
      <c r="M9205" s="9"/>
    </row>
    <row r="9206" spans="1:13" x14ac:dyDescent="0.25">
      <c r="A9206" s="8"/>
      <c r="C9206" s="5"/>
      <c r="M9206" s="9"/>
    </row>
    <row r="9207" spans="1:13" x14ac:dyDescent="0.25">
      <c r="A9207" s="8"/>
      <c r="C9207" s="5"/>
      <c r="M9207" s="9"/>
    </row>
    <row r="9208" spans="1:13" x14ac:dyDescent="0.25">
      <c r="A9208" s="8"/>
      <c r="C9208" s="5"/>
      <c r="M9208" s="9"/>
    </row>
    <row r="9209" spans="1:13" x14ac:dyDescent="0.25">
      <c r="A9209" s="8"/>
      <c r="C9209" s="5"/>
      <c r="M9209" s="9"/>
    </row>
    <row r="9210" spans="1:13" x14ac:dyDescent="0.25">
      <c r="A9210" s="8"/>
      <c r="C9210" s="5"/>
      <c r="M9210" s="9"/>
    </row>
    <row r="9211" spans="1:13" x14ac:dyDescent="0.25">
      <c r="A9211" s="8"/>
      <c r="C9211" s="5"/>
      <c r="M9211" s="9"/>
    </row>
    <row r="9212" spans="1:13" x14ac:dyDescent="0.25">
      <c r="A9212" s="8"/>
      <c r="C9212" s="5"/>
      <c r="M9212" s="9"/>
    </row>
    <row r="9213" spans="1:13" x14ac:dyDescent="0.25">
      <c r="A9213" s="8"/>
      <c r="C9213" s="5"/>
      <c r="M9213" s="9"/>
    </row>
    <row r="9214" spans="1:13" x14ac:dyDescent="0.25">
      <c r="A9214" s="8"/>
      <c r="C9214" s="5"/>
      <c r="M9214" s="9"/>
    </row>
    <row r="9215" spans="1:13" x14ac:dyDescent="0.25">
      <c r="A9215" s="8"/>
      <c r="C9215" s="5"/>
      <c r="M9215" s="9"/>
    </row>
    <row r="9216" spans="1:13" x14ac:dyDescent="0.25">
      <c r="A9216" s="8"/>
      <c r="C9216" s="5"/>
      <c r="M9216" s="9"/>
    </row>
    <row r="9217" spans="1:13" x14ac:dyDescent="0.25">
      <c r="A9217" s="8"/>
      <c r="C9217" s="5"/>
      <c r="M9217" s="9"/>
    </row>
    <row r="9218" spans="1:13" x14ac:dyDescent="0.25">
      <c r="A9218" s="8"/>
      <c r="C9218" s="5"/>
      <c r="M9218" s="9"/>
    </row>
    <row r="9219" spans="1:13" x14ac:dyDescent="0.25">
      <c r="A9219" s="8"/>
      <c r="C9219" s="5"/>
      <c r="M9219" s="9"/>
    </row>
    <row r="9220" spans="1:13" x14ac:dyDescent="0.25">
      <c r="A9220" s="8"/>
      <c r="C9220" s="5"/>
      <c r="M9220" s="9"/>
    </row>
    <row r="9221" spans="1:13" x14ac:dyDescent="0.25">
      <c r="A9221" s="8"/>
      <c r="C9221" s="5"/>
      <c r="M9221" s="9"/>
    </row>
    <row r="9222" spans="1:13" x14ac:dyDescent="0.25">
      <c r="A9222" s="8"/>
      <c r="C9222" s="5"/>
      <c r="M9222" s="9"/>
    </row>
    <row r="9223" spans="1:13" x14ac:dyDescent="0.25">
      <c r="A9223" s="8"/>
      <c r="C9223" s="5"/>
      <c r="M9223" s="9"/>
    </row>
    <row r="9224" spans="1:13" x14ac:dyDescent="0.25">
      <c r="A9224" s="8"/>
      <c r="C9224" s="5"/>
      <c r="M9224" s="9"/>
    </row>
    <row r="9225" spans="1:13" x14ac:dyDescent="0.25">
      <c r="A9225" s="8"/>
      <c r="C9225" s="5"/>
      <c r="M9225" s="9"/>
    </row>
    <row r="9226" spans="1:13" x14ac:dyDescent="0.25">
      <c r="A9226" s="8"/>
      <c r="C9226" s="5"/>
      <c r="M9226" s="9"/>
    </row>
    <row r="9227" spans="1:13" x14ac:dyDescent="0.25">
      <c r="A9227" s="8"/>
      <c r="C9227" s="5"/>
      <c r="M9227" s="9"/>
    </row>
    <row r="9228" spans="1:13" x14ac:dyDescent="0.25">
      <c r="A9228" s="8"/>
      <c r="C9228" s="5"/>
      <c r="M9228" s="9"/>
    </row>
    <row r="9229" spans="1:13" x14ac:dyDescent="0.25">
      <c r="A9229" s="8"/>
      <c r="C9229" s="5"/>
      <c r="M9229" s="9"/>
    </row>
    <row r="9230" spans="1:13" x14ac:dyDescent="0.25">
      <c r="A9230" s="8"/>
      <c r="C9230" s="5"/>
      <c r="M9230" s="9"/>
    </row>
    <row r="9231" spans="1:13" x14ac:dyDescent="0.25">
      <c r="A9231" s="8"/>
      <c r="C9231" s="5"/>
      <c r="M9231" s="9"/>
    </row>
    <row r="9232" spans="1:13" x14ac:dyDescent="0.25">
      <c r="A9232" s="8"/>
      <c r="C9232" s="5"/>
      <c r="M9232" s="9"/>
    </row>
    <row r="9233" spans="1:13" x14ac:dyDescent="0.25">
      <c r="A9233" s="8"/>
      <c r="C9233" s="5"/>
      <c r="M9233" s="9"/>
    </row>
    <row r="9234" spans="1:13" x14ac:dyDescent="0.25">
      <c r="A9234" s="8"/>
      <c r="C9234" s="5"/>
      <c r="M9234" s="9"/>
    </row>
    <row r="9235" spans="1:13" x14ac:dyDescent="0.25">
      <c r="A9235" s="8"/>
      <c r="C9235" s="5"/>
      <c r="M9235" s="9"/>
    </row>
    <row r="9236" spans="1:13" x14ac:dyDescent="0.25">
      <c r="A9236" s="8"/>
      <c r="C9236" s="5"/>
      <c r="M9236" s="9"/>
    </row>
    <row r="9237" spans="1:13" x14ac:dyDescent="0.25">
      <c r="A9237" s="8"/>
      <c r="C9237" s="5"/>
      <c r="M9237" s="9"/>
    </row>
    <row r="9238" spans="1:13" x14ac:dyDescent="0.25">
      <c r="A9238" s="8"/>
      <c r="C9238" s="5"/>
      <c r="M9238" s="9"/>
    </row>
    <row r="9239" spans="1:13" x14ac:dyDescent="0.25">
      <c r="A9239" s="8"/>
      <c r="C9239" s="5"/>
      <c r="M9239" s="9"/>
    </row>
    <row r="9240" spans="1:13" x14ac:dyDescent="0.25">
      <c r="A9240" s="8"/>
      <c r="C9240" s="5"/>
      <c r="M9240" s="9"/>
    </row>
    <row r="9241" spans="1:13" x14ac:dyDescent="0.25">
      <c r="A9241" s="8"/>
      <c r="C9241" s="5"/>
      <c r="M9241" s="9"/>
    </row>
    <row r="9242" spans="1:13" x14ac:dyDescent="0.25">
      <c r="A9242" s="8"/>
      <c r="C9242" s="5"/>
      <c r="M9242" s="9"/>
    </row>
    <row r="9243" spans="1:13" x14ac:dyDescent="0.25">
      <c r="A9243" s="8"/>
      <c r="C9243" s="5"/>
      <c r="M9243" s="9"/>
    </row>
    <row r="9244" spans="1:13" x14ac:dyDescent="0.25">
      <c r="A9244" s="8"/>
      <c r="C9244" s="5"/>
      <c r="M9244" s="9"/>
    </row>
    <row r="9245" spans="1:13" x14ac:dyDescent="0.25">
      <c r="A9245" s="8"/>
      <c r="C9245" s="5"/>
      <c r="M9245" s="9"/>
    </row>
    <row r="9246" spans="1:13" x14ac:dyDescent="0.25">
      <c r="A9246" s="8"/>
      <c r="C9246" s="5"/>
      <c r="M9246" s="9"/>
    </row>
    <row r="9247" spans="1:13" x14ac:dyDescent="0.25">
      <c r="A9247" s="8"/>
      <c r="C9247" s="5"/>
      <c r="M9247" s="9"/>
    </row>
    <row r="9248" spans="1:13" x14ac:dyDescent="0.25">
      <c r="A9248" s="8"/>
      <c r="C9248" s="5"/>
      <c r="M9248" s="9"/>
    </row>
    <row r="9249" spans="1:13" x14ac:dyDescent="0.25">
      <c r="A9249" s="8"/>
      <c r="C9249" s="5"/>
      <c r="M9249" s="9"/>
    </row>
    <row r="9250" spans="1:13" x14ac:dyDescent="0.25">
      <c r="A9250" s="8"/>
      <c r="C9250" s="5"/>
      <c r="M9250" s="9"/>
    </row>
    <row r="9251" spans="1:13" x14ac:dyDescent="0.25">
      <c r="A9251" s="8"/>
      <c r="C9251" s="5"/>
      <c r="M9251" s="9"/>
    </row>
    <row r="9252" spans="1:13" x14ac:dyDescent="0.25">
      <c r="A9252" s="8"/>
      <c r="C9252" s="5"/>
      <c r="M9252" s="9"/>
    </row>
    <row r="9253" spans="1:13" x14ac:dyDescent="0.25">
      <c r="A9253" s="8"/>
      <c r="C9253" s="5"/>
      <c r="M9253" s="9"/>
    </row>
    <row r="9254" spans="1:13" x14ac:dyDescent="0.25">
      <c r="A9254" s="8"/>
      <c r="C9254" s="5"/>
      <c r="M9254" s="9"/>
    </row>
    <row r="9255" spans="1:13" x14ac:dyDescent="0.25">
      <c r="A9255" s="8"/>
      <c r="C9255" s="5"/>
      <c r="M9255" s="9"/>
    </row>
    <row r="9256" spans="1:13" x14ac:dyDescent="0.25">
      <c r="A9256" s="8"/>
      <c r="C9256" s="5"/>
      <c r="M9256" s="9"/>
    </row>
    <row r="9257" spans="1:13" x14ac:dyDescent="0.25">
      <c r="A9257" s="8"/>
      <c r="C9257" s="5"/>
      <c r="M9257" s="9"/>
    </row>
    <row r="9258" spans="1:13" x14ac:dyDescent="0.25">
      <c r="A9258" s="8"/>
      <c r="C9258" s="5"/>
      <c r="M9258" s="9"/>
    </row>
    <row r="9259" spans="1:13" x14ac:dyDescent="0.25">
      <c r="A9259" s="8"/>
      <c r="C9259" s="5"/>
      <c r="M9259" s="9"/>
    </row>
    <row r="9260" spans="1:13" x14ac:dyDescent="0.25">
      <c r="A9260" s="8"/>
      <c r="C9260" s="5"/>
      <c r="M9260" s="9"/>
    </row>
    <row r="9261" spans="1:13" x14ac:dyDescent="0.25">
      <c r="A9261" s="8"/>
      <c r="C9261" s="5"/>
      <c r="M9261" s="9"/>
    </row>
    <row r="9262" spans="1:13" x14ac:dyDescent="0.25">
      <c r="A9262" s="8"/>
      <c r="C9262" s="5"/>
      <c r="M9262" s="9"/>
    </row>
    <row r="9263" spans="1:13" x14ac:dyDescent="0.25">
      <c r="A9263" s="8"/>
      <c r="C9263" s="5"/>
      <c r="M9263" s="9"/>
    </row>
    <row r="9264" spans="1:13" x14ac:dyDescent="0.25">
      <c r="A9264" s="8"/>
      <c r="C9264" s="5"/>
      <c r="M9264" s="9"/>
    </row>
    <row r="9265" spans="1:13" x14ac:dyDescent="0.25">
      <c r="A9265" s="8"/>
      <c r="C9265" s="5"/>
      <c r="M9265" s="9"/>
    </row>
    <row r="9266" spans="1:13" x14ac:dyDescent="0.25">
      <c r="A9266" s="8"/>
      <c r="C9266" s="5"/>
      <c r="M9266" s="9"/>
    </row>
    <row r="9267" spans="1:13" x14ac:dyDescent="0.25">
      <c r="A9267" s="8"/>
      <c r="C9267" s="5"/>
      <c r="M9267" s="9"/>
    </row>
    <row r="9268" spans="1:13" x14ac:dyDescent="0.25">
      <c r="A9268" s="8"/>
      <c r="C9268" s="5"/>
      <c r="M9268" s="9"/>
    </row>
    <row r="9269" spans="1:13" x14ac:dyDescent="0.25">
      <c r="A9269" s="8"/>
      <c r="C9269" s="5"/>
      <c r="M9269" s="9"/>
    </row>
    <row r="9270" spans="1:13" x14ac:dyDescent="0.25">
      <c r="A9270" s="8"/>
      <c r="C9270" s="5"/>
      <c r="M9270" s="9"/>
    </row>
    <row r="9271" spans="1:13" x14ac:dyDescent="0.25">
      <c r="A9271" s="8"/>
      <c r="C9271" s="5"/>
      <c r="M9271" s="9"/>
    </row>
    <row r="9272" spans="1:13" x14ac:dyDescent="0.25">
      <c r="A9272" s="8"/>
      <c r="C9272" s="5"/>
      <c r="M9272" s="9"/>
    </row>
    <row r="9273" spans="1:13" x14ac:dyDescent="0.25">
      <c r="A9273" s="8"/>
      <c r="C9273" s="5"/>
      <c r="M9273" s="9"/>
    </row>
    <row r="9274" spans="1:13" x14ac:dyDescent="0.25">
      <c r="A9274" s="8"/>
      <c r="C9274" s="5"/>
      <c r="M9274" s="9"/>
    </row>
    <row r="9275" spans="1:13" x14ac:dyDescent="0.25">
      <c r="A9275" s="8"/>
      <c r="C9275" s="5"/>
      <c r="M9275" s="9"/>
    </row>
    <row r="9276" spans="1:13" x14ac:dyDescent="0.25">
      <c r="A9276" s="8"/>
      <c r="C9276" s="5"/>
      <c r="M9276" s="9"/>
    </row>
    <row r="9277" spans="1:13" x14ac:dyDescent="0.25">
      <c r="A9277" s="8"/>
      <c r="C9277" s="5"/>
      <c r="M9277" s="9"/>
    </row>
    <row r="9278" spans="1:13" x14ac:dyDescent="0.25">
      <c r="A9278" s="8"/>
      <c r="C9278" s="5"/>
      <c r="M9278" s="9"/>
    </row>
    <row r="9279" spans="1:13" x14ac:dyDescent="0.25">
      <c r="A9279" s="8"/>
      <c r="C9279" s="5"/>
      <c r="M9279" s="9"/>
    </row>
    <row r="9280" spans="1:13" x14ac:dyDescent="0.25">
      <c r="A9280" s="8"/>
      <c r="C9280" s="5"/>
      <c r="M9280" s="9"/>
    </row>
    <row r="9281" spans="1:13" x14ac:dyDescent="0.25">
      <c r="A9281" s="8"/>
      <c r="C9281" s="5"/>
      <c r="M9281" s="9"/>
    </row>
    <row r="9282" spans="1:13" x14ac:dyDescent="0.25">
      <c r="A9282" s="8"/>
      <c r="C9282" s="5"/>
      <c r="M9282" s="9"/>
    </row>
    <row r="9283" spans="1:13" x14ac:dyDescent="0.25">
      <c r="A9283" s="8"/>
      <c r="C9283" s="5"/>
      <c r="M9283" s="9"/>
    </row>
    <row r="9284" spans="1:13" x14ac:dyDescent="0.25">
      <c r="A9284" s="8"/>
      <c r="C9284" s="5"/>
      <c r="M9284" s="9"/>
    </row>
    <row r="9285" spans="1:13" x14ac:dyDescent="0.25">
      <c r="A9285" s="8"/>
      <c r="C9285" s="5"/>
      <c r="M9285" s="9"/>
    </row>
    <row r="9286" spans="1:13" x14ac:dyDescent="0.25">
      <c r="A9286" s="8"/>
      <c r="C9286" s="5"/>
      <c r="M9286" s="9"/>
    </row>
    <row r="9287" spans="1:13" x14ac:dyDescent="0.25">
      <c r="A9287" s="8"/>
      <c r="C9287" s="5"/>
      <c r="M9287" s="9"/>
    </row>
    <row r="9288" spans="1:13" x14ac:dyDescent="0.25">
      <c r="A9288" s="8"/>
      <c r="C9288" s="5"/>
      <c r="M9288" s="9"/>
    </row>
    <row r="9289" spans="1:13" x14ac:dyDescent="0.25">
      <c r="A9289" s="8"/>
      <c r="C9289" s="5"/>
      <c r="M9289" s="9"/>
    </row>
    <row r="9290" spans="1:13" x14ac:dyDescent="0.25">
      <c r="A9290" s="8"/>
      <c r="C9290" s="5"/>
      <c r="M9290" s="9"/>
    </row>
    <row r="9291" spans="1:13" x14ac:dyDescent="0.25">
      <c r="A9291" s="8"/>
      <c r="C9291" s="5"/>
      <c r="M9291" s="9"/>
    </row>
    <row r="9292" spans="1:13" x14ac:dyDescent="0.25">
      <c r="A9292" s="8"/>
      <c r="C9292" s="5"/>
      <c r="M9292" s="9"/>
    </row>
    <row r="9293" spans="1:13" x14ac:dyDescent="0.25">
      <c r="A9293" s="8"/>
      <c r="C9293" s="5"/>
      <c r="M9293" s="9"/>
    </row>
    <row r="9294" spans="1:13" x14ac:dyDescent="0.25">
      <c r="A9294" s="8"/>
      <c r="C9294" s="5"/>
      <c r="M9294" s="9"/>
    </row>
    <row r="9295" spans="1:13" x14ac:dyDescent="0.25">
      <c r="A9295" s="8"/>
      <c r="C9295" s="5"/>
      <c r="M9295" s="9"/>
    </row>
    <row r="9296" spans="1:13" x14ac:dyDescent="0.25">
      <c r="A9296" s="8"/>
      <c r="C9296" s="5"/>
      <c r="M9296" s="9"/>
    </row>
    <row r="9297" spans="1:13" x14ac:dyDescent="0.25">
      <c r="A9297" s="8"/>
      <c r="C9297" s="5"/>
      <c r="M9297" s="9"/>
    </row>
    <row r="9298" spans="1:13" x14ac:dyDescent="0.25">
      <c r="A9298" s="8"/>
      <c r="C9298" s="5"/>
      <c r="M9298" s="9"/>
    </row>
    <row r="9299" spans="1:13" x14ac:dyDescent="0.25">
      <c r="A9299" s="8"/>
      <c r="C9299" s="5"/>
      <c r="M9299" s="9"/>
    </row>
    <row r="9300" spans="1:13" x14ac:dyDescent="0.25">
      <c r="A9300" s="8"/>
      <c r="C9300" s="5"/>
      <c r="M9300" s="9"/>
    </row>
    <row r="9301" spans="1:13" x14ac:dyDescent="0.25">
      <c r="A9301" s="8"/>
      <c r="C9301" s="5"/>
      <c r="M9301" s="9"/>
    </row>
    <row r="9302" spans="1:13" x14ac:dyDescent="0.25">
      <c r="A9302" s="8"/>
      <c r="C9302" s="5"/>
      <c r="M9302" s="9"/>
    </row>
    <row r="9303" spans="1:13" x14ac:dyDescent="0.25">
      <c r="A9303" s="8"/>
      <c r="C9303" s="5"/>
      <c r="M9303" s="9"/>
    </row>
    <row r="9304" spans="1:13" x14ac:dyDescent="0.25">
      <c r="A9304" s="8"/>
      <c r="C9304" s="5"/>
      <c r="M9304" s="9"/>
    </row>
    <row r="9305" spans="1:13" x14ac:dyDescent="0.25">
      <c r="A9305" s="8"/>
      <c r="C9305" s="5"/>
      <c r="M9305" s="9"/>
    </row>
    <row r="9306" spans="1:13" x14ac:dyDescent="0.25">
      <c r="A9306" s="8"/>
      <c r="C9306" s="5"/>
      <c r="M9306" s="9"/>
    </row>
    <row r="9307" spans="1:13" x14ac:dyDescent="0.25">
      <c r="A9307" s="8"/>
      <c r="C9307" s="5"/>
      <c r="M9307" s="9"/>
    </row>
    <row r="9308" spans="1:13" x14ac:dyDescent="0.25">
      <c r="A9308" s="8"/>
      <c r="C9308" s="5"/>
      <c r="M9308" s="9"/>
    </row>
    <row r="9309" spans="1:13" x14ac:dyDescent="0.25">
      <c r="A9309" s="8"/>
      <c r="C9309" s="5"/>
      <c r="M9309" s="9"/>
    </row>
    <row r="9310" spans="1:13" x14ac:dyDescent="0.25">
      <c r="A9310" s="8"/>
      <c r="C9310" s="5"/>
      <c r="M9310" s="9"/>
    </row>
    <row r="9311" spans="1:13" x14ac:dyDescent="0.25">
      <c r="A9311" s="8"/>
      <c r="C9311" s="5"/>
      <c r="M9311" s="9"/>
    </row>
    <row r="9312" spans="1:13" x14ac:dyDescent="0.25">
      <c r="A9312" s="8"/>
      <c r="C9312" s="5"/>
      <c r="M9312" s="9"/>
    </row>
    <row r="9313" spans="1:13" x14ac:dyDescent="0.25">
      <c r="A9313" s="8"/>
      <c r="C9313" s="5"/>
      <c r="M9313" s="9"/>
    </row>
    <row r="9314" spans="1:13" x14ac:dyDescent="0.25">
      <c r="A9314" s="8"/>
      <c r="C9314" s="5"/>
      <c r="M9314" s="9"/>
    </row>
    <row r="9315" spans="1:13" x14ac:dyDescent="0.25">
      <c r="A9315" s="8"/>
      <c r="C9315" s="5"/>
      <c r="M9315" s="9"/>
    </row>
    <row r="9316" spans="1:13" x14ac:dyDescent="0.25">
      <c r="A9316" s="8"/>
      <c r="C9316" s="5"/>
      <c r="M9316" s="9"/>
    </row>
    <row r="9317" spans="1:13" x14ac:dyDescent="0.25">
      <c r="A9317" s="8"/>
      <c r="C9317" s="5"/>
      <c r="M9317" s="9"/>
    </row>
    <row r="9318" spans="1:13" x14ac:dyDescent="0.25">
      <c r="A9318" s="8"/>
      <c r="C9318" s="5"/>
      <c r="M9318" s="9"/>
    </row>
    <row r="9319" spans="1:13" x14ac:dyDescent="0.25">
      <c r="A9319" s="8"/>
      <c r="C9319" s="5"/>
      <c r="M9319" s="9"/>
    </row>
    <row r="9320" spans="1:13" x14ac:dyDescent="0.25">
      <c r="A9320" s="8"/>
      <c r="C9320" s="5"/>
      <c r="M9320" s="9"/>
    </row>
    <row r="9321" spans="1:13" x14ac:dyDescent="0.25">
      <c r="A9321" s="8"/>
      <c r="C9321" s="5"/>
      <c r="M9321" s="9"/>
    </row>
    <row r="9322" spans="1:13" x14ac:dyDescent="0.25">
      <c r="A9322" s="8"/>
      <c r="C9322" s="5"/>
      <c r="M9322" s="9"/>
    </row>
    <row r="9323" spans="1:13" x14ac:dyDescent="0.25">
      <c r="A9323" s="8"/>
      <c r="C9323" s="5"/>
      <c r="M9323" s="9"/>
    </row>
    <row r="9324" spans="1:13" x14ac:dyDescent="0.25">
      <c r="A9324" s="8"/>
      <c r="C9324" s="5"/>
      <c r="M9324" s="9"/>
    </row>
    <row r="9325" spans="1:13" x14ac:dyDescent="0.25">
      <c r="A9325" s="8"/>
      <c r="C9325" s="5"/>
      <c r="M9325" s="9"/>
    </row>
    <row r="9326" spans="1:13" x14ac:dyDescent="0.25">
      <c r="A9326" s="8"/>
      <c r="C9326" s="5"/>
      <c r="M9326" s="9"/>
    </row>
    <row r="9327" spans="1:13" x14ac:dyDescent="0.25">
      <c r="A9327" s="8"/>
      <c r="C9327" s="5"/>
      <c r="M9327" s="9"/>
    </row>
    <row r="9328" spans="1:13" x14ac:dyDescent="0.25">
      <c r="A9328" s="8"/>
      <c r="C9328" s="5"/>
      <c r="M9328" s="9"/>
    </row>
    <row r="9329" spans="1:13" x14ac:dyDescent="0.25">
      <c r="A9329" s="8"/>
      <c r="C9329" s="5"/>
      <c r="M9329" s="9"/>
    </row>
    <row r="9330" spans="1:13" x14ac:dyDescent="0.25">
      <c r="A9330" s="8"/>
      <c r="C9330" s="5"/>
      <c r="M9330" s="9"/>
    </row>
    <row r="9331" spans="1:13" x14ac:dyDescent="0.25">
      <c r="A9331" s="8"/>
      <c r="C9331" s="5"/>
      <c r="M9331" s="9"/>
    </row>
    <row r="9332" spans="1:13" x14ac:dyDescent="0.25">
      <c r="A9332" s="8"/>
      <c r="C9332" s="5"/>
      <c r="M9332" s="9"/>
    </row>
    <row r="9333" spans="1:13" x14ac:dyDescent="0.25">
      <c r="A9333" s="8"/>
      <c r="C9333" s="5"/>
      <c r="M9333" s="9"/>
    </row>
    <row r="9334" spans="1:13" x14ac:dyDescent="0.25">
      <c r="A9334" s="8"/>
      <c r="C9334" s="5"/>
      <c r="M9334" s="9"/>
    </row>
    <row r="9335" spans="1:13" x14ac:dyDescent="0.25">
      <c r="A9335" s="8"/>
      <c r="C9335" s="5"/>
      <c r="M9335" s="9"/>
    </row>
    <row r="9336" spans="1:13" x14ac:dyDescent="0.25">
      <c r="A9336" s="8"/>
      <c r="C9336" s="5"/>
      <c r="M9336" s="9"/>
    </row>
    <row r="9337" spans="1:13" x14ac:dyDescent="0.25">
      <c r="A9337" s="8"/>
      <c r="C9337" s="5"/>
      <c r="M9337" s="9"/>
    </row>
    <row r="9338" spans="1:13" x14ac:dyDescent="0.25">
      <c r="A9338" s="8"/>
      <c r="C9338" s="5"/>
      <c r="M9338" s="9"/>
    </row>
    <row r="9339" spans="1:13" x14ac:dyDescent="0.25">
      <c r="A9339" s="8"/>
      <c r="C9339" s="5"/>
      <c r="M9339" s="9"/>
    </row>
    <row r="9340" spans="1:13" x14ac:dyDescent="0.25">
      <c r="A9340" s="8"/>
      <c r="C9340" s="5"/>
      <c r="M9340" s="9"/>
    </row>
    <row r="9341" spans="1:13" x14ac:dyDescent="0.25">
      <c r="A9341" s="8"/>
      <c r="C9341" s="5"/>
      <c r="M9341" s="9"/>
    </row>
    <row r="9342" spans="1:13" x14ac:dyDescent="0.25">
      <c r="A9342" s="8"/>
      <c r="C9342" s="5"/>
      <c r="M9342" s="9"/>
    </row>
    <row r="9343" spans="1:13" x14ac:dyDescent="0.25">
      <c r="A9343" s="8"/>
      <c r="C9343" s="5"/>
      <c r="M9343" s="9"/>
    </row>
    <row r="9344" spans="1:13" x14ac:dyDescent="0.25">
      <c r="A9344" s="8"/>
      <c r="C9344" s="5"/>
      <c r="M9344" s="9"/>
    </row>
    <row r="9345" spans="1:13" x14ac:dyDescent="0.25">
      <c r="A9345" s="8"/>
      <c r="C9345" s="5"/>
      <c r="M9345" s="9"/>
    </row>
    <row r="9346" spans="1:13" x14ac:dyDescent="0.25">
      <c r="A9346" s="8"/>
      <c r="C9346" s="5"/>
      <c r="M9346" s="9"/>
    </row>
    <row r="9347" spans="1:13" x14ac:dyDescent="0.25">
      <c r="A9347" s="8"/>
      <c r="C9347" s="5"/>
      <c r="M9347" s="9"/>
    </row>
    <row r="9348" spans="1:13" x14ac:dyDescent="0.25">
      <c r="A9348" s="8"/>
      <c r="C9348" s="5"/>
      <c r="M9348" s="9"/>
    </row>
    <row r="9349" spans="1:13" x14ac:dyDescent="0.25">
      <c r="A9349" s="8"/>
      <c r="C9349" s="5"/>
      <c r="M9349" s="9"/>
    </row>
    <row r="9350" spans="1:13" x14ac:dyDescent="0.25">
      <c r="A9350" s="8"/>
      <c r="C9350" s="5"/>
      <c r="M9350" s="9"/>
    </row>
    <row r="9351" spans="1:13" x14ac:dyDescent="0.25">
      <c r="A9351" s="8"/>
      <c r="C9351" s="5"/>
      <c r="M9351" s="9"/>
    </row>
    <row r="9352" spans="1:13" x14ac:dyDescent="0.25">
      <c r="A9352" s="8"/>
      <c r="C9352" s="5"/>
      <c r="M9352" s="9"/>
    </row>
    <row r="9353" spans="1:13" x14ac:dyDescent="0.25">
      <c r="A9353" s="8"/>
      <c r="C9353" s="5"/>
      <c r="M9353" s="9"/>
    </row>
    <row r="9354" spans="1:13" x14ac:dyDescent="0.25">
      <c r="A9354" s="8"/>
      <c r="C9354" s="5"/>
      <c r="M9354" s="9"/>
    </row>
    <row r="9355" spans="1:13" x14ac:dyDescent="0.25">
      <c r="A9355" s="8"/>
      <c r="C9355" s="5"/>
      <c r="M9355" s="9"/>
    </row>
    <row r="9356" spans="1:13" x14ac:dyDescent="0.25">
      <c r="A9356" s="8"/>
      <c r="C9356" s="5"/>
      <c r="M9356" s="9"/>
    </row>
    <row r="9357" spans="1:13" x14ac:dyDescent="0.25">
      <c r="A9357" s="8"/>
      <c r="C9357" s="5"/>
      <c r="M9357" s="9"/>
    </row>
    <row r="9358" spans="1:13" x14ac:dyDescent="0.25">
      <c r="A9358" s="8"/>
      <c r="C9358" s="5"/>
      <c r="M9358" s="9"/>
    </row>
    <row r="9359" spans="1:13" x14ac:dyDescent="0.25">
      <c r="A9359" s="8"/>
      <c r="C9359" s="5"/>
      <c r="M9359" s="9"/>
    </row>
    <row r="9360" spans="1:13" x14ac:dyDescent="0.25">
      <c r="A9360" s="8"/>
      <c r="C9360" s="5"/>
      <c r="M9360" s="9"/>
    </row>
    <row r="9361" spans="1:13" x14ac:dyDescent="0.25">
      <c r="A9361" s="8"/>
      <c r="C9361" s="5"/>
      <c r="M9361" s="9"/>
    </row>
    <row r="9362" spans="1:13" x14ac:dyDescent="0.25">
      <c r="A9362" s="8"/>
      <c r="C9362" s="5"/>
      <c r="M9362" s="9"/>
    </row>
    <row r="9363" spans="1:13" x14ac:dyDescent="0.25">
      <c r="A9363" s="8"/>
      <c r="C9363" s="5"/>
      <c r="M9363" s="9"/>
    </row>
    <row r="9364" spans="1:13" x14ac:dyDescent="0.25">
      <c r="A9364" s="8"/>
      <c r="C9364" s="5"/>
      <c r="M9364" s="9"/>
    </row>
    <row r="9365" spans="1:13" x14ac:dyDescent="0.25">
      <c r="A9365" s="8"/>
      <c r="C9365" s="5"/>
      <c r="M9365" s="9"/>
    </row>
    <row r="9366" spans="1:13" x14ac:dyDescent="0.25">
      <c r="A9366" s="8"/>
      <c r="C9366" s="5"/>
      <c r="M9366" s="9"/>
    </row>
    <row r="9367" spans="1:13" x14ac:dyDescent="0.25">
      <c r="A9367" s="8"/>
      <c r="C9367" s="5"/>
      <c r="M9367" s="9"/>
    </row>
    <row r="9368" spans="1:13" x14ac:dyDescent="0.25">
      <c r="A9368" s="8"/>
      <c r="C9368" s="5"/>
      <c r="M9368" s="9"/>
    </row>
    <row r="9369" spans="1:13" x14ac:dyDescent="0.25">
      <c r="A9369" s="8"/>
      <c r="C9369" s="5"/>
      <c r="M9369" s="9"/>
    </row>
    <row r="9370" spans="1:13" x14ac:dyDescent="0.25">
      <c r="A9370" s="8"/>
      <c r="C9370" s="5"/>
      <c r="M9370" s="9"/>
    </row>
    <row r="9371" spans="1:13" x14ac:dyDescent="0.25">
      <c r="A9371" s="8"/>
      <c r="C9371" s="5"/>
      <c r="M9371" s="9"/>
    </row>
    <row r="9372" spans="1:13" x14ac:dyDescent="0.25">
      <c r="A9372" s="8"/>
      <c r="C9372" s="5"/>
      <c r="M9372" s="9"/>
    </row>
    <row r="9373" spans="1:13" x14ac:dyDescent="0.25">
      <c r="A9373" s="8"/>
      <c r="C9373" s="5"/>
      <c r="M9373" s="9"/>
    </row>
    <row r="9374" spans="1:13" x14ac:dyDescent="0.25">
      <c r="A9374" s="8"/>
      <c r="C9374" s="5"/>
      <c r="M9374" s="9"/>
    </row>
    <row r="9375" spans="1:13" x14ac:dyDescent="0.25">
      <c r="A9375" s="8"/>
      <c r="C9375" s="5"/>
      <c r="M9375" s="9"/>
    </row>
    <row r="9376" spans="1:13" x14ac:dyDescent="0.25">
      <c r="A9376" s="8"/>
      <c r="C9376" s="5"/>
      <c r="M9376" s="9"/>
    </row>
    <row r="9377" spans="1:13" x14ac:dyDescent="0.25">
      <c r="A9377" s="8"/>
      <c r="C9377" s="5"/>
      <c r="M9377" s="9"/>
    </row>
    <row r="9378" spans="1:13" x14ac:dyDescent="0.25">
      <c r="A9378" s="8"/>
      <c r="C9378" s="5"/>
      <c r="M9378" s="9"/>
    </row>
    <row r="9379" spans="1:13" x14ac:dyDescent="0.25">
      <c r="A9379" s="8"/>
      <c r="C9379" s="5"/>
      <c r="M9379" s="9"/>
    </row>
    <row r="9380" spans="1:13" x14ac:dyDescent="0.25">
      <c r="A9380" s="8"/>
      <c r="C9380" s="5"/>
      <c r="M9380" s="9"/>
    </row>
    <row r="9381" spans="1:13" x14ac:dyDescent="0.25">
      <c r="A9381" s="8"/>
      <c r="C9381" s="5"/>
      <c r="M9381" s="9"/>
    </row>
    <row r="9382" spans="1:13" x14ac:dyDescent="0.25">
      <c r="A9382" s="8"/>
      <c r="C9382" s="5"/>
      <c r="M9382" s="9"/>
    </row>
    <row r="9383" spans="1:13" x14ac:dyDescent="0.25">
      <c r="A9383" s="8"/>
      <c r="C9383" s="5"/>
      <c r="M9383" s="9"/>
    </row>
    <row r="9384" spans="1:13" x14ac:dyDescent="0.25">
      <c r="A9384" s="8"/>
      <c r="C9384" s="5"/>
      <c r="M9384" s="9"/>
    </row>
    <row r="9385" spans="1:13" x14ac:dyDescent="0.25">
      <c r="A9385" s="8"/>
      <c r="C9385" s="5"/>
      <c r="M9385" s="9"/>
    </row>
    <row r="9386" spans="1:13" x14ac:dyDescent="0.25">
      <c r="A9386" s="8"/>
      <c r="C9386" s="5"/>
      <c r="M9386" s="9"/>
    </row>
    <row r="9387" spans="1:13" x14ac:dyDescent="0.25">
      <c r="A9387" s="8"/>
      <c r="C9387" s="5"/>
      <c r="M9387" s="9"/>
    </row>
    <row r="9388" spans="1:13" x14ac:dyDescent="0.25">
      <c r="A9388" s="8"/>
      <c r="C9388" s="5"/>
      <c r="M9388" s="9"/>
    </row>
    <row r="9389" spans="1:13" x14ac:dyDescent="0.25">
      <c r="A9389" s="8"/>
      <c r="C9389" s="5"/>
      <c r="M9389" s="9"/>
    </row>
    <row r="9390" spans="1:13" x14ac:dyDescent="0.25">
      <c r="A9390" s="8"/>
      <c r="C9390" s="5"/>
      <c r="M9390" s="9"/>
    </row>
    <row r="9391" spans="1:13" x14ac:dyDescent="0.25">
      <c r="A9391" s="8"/>
      <c r="C9391" s="5"/>
      <c r="M9391" s="9"/>
    </row>
    <row r="9392" spans="1:13" x14ac:dyDescent="0.25">
      <c r="A9392" s="8"/>
      <c r="C9392" s="5"/>
      <c r="M9392" s="9"/>
    </row>
    <row r="9393" spans="1:13" x14ac:dyDescent="0.25">
      <c r="A9393" s="8"/>
      <c r="C9393" s="5"/>
      <c r="M9393" s="9"/>
    </row>
    <row r="9394" spans="1:13" x14ac:dyDescent="0.25">
      <c r="A9394" s="8"/>
      <c r="C9394" s="5"/>
      <c r="M9394" s="9"/>
    </row>
    <row r="9395" spans="1:13" x14ac:dyDescent="0.25">
      <c r="A9395" s="8"/>
      <c r="C9395" s="5"/>
      <c r="M9395" s="9"/>
    </row>
    <row r="9396" spans="1:13" x14ac:dyDescent="0.25">
      <c r="A9396" s="8"/>
      <c r="C9396" s="5"/>
      <c r="M9396" s="9"/>
    </row>
    <row r="9397" spans="1:13" x14ac:dyDescent="0.25">
      <c r="A9397" s="8"/>
      <c r="C9397" s="5"/>
      <c r="M9397" s="9"/>
    </row>
    <row r="9398" spans="1:13" x14ac:dyDescent="0.25">
      <c r="A9398" s="8"/>
      <c r="C9398" s="5"/>
      <c r="M9398" s="9"/>
    </row>
    <row r="9399" spans="1:13" x14ac:dyDescent="0.25">
      <c r="A9399" s="8"/>
      <c r="C9399" s="5"/>
      <c r="M9399" s="9"/>
    </row>
    <row r="9400" spans="1:13" x14ac:dyDescent="0.25">
      <c r="A9400" s="8"/>
      <c r="C9400" s="5"/>
      <c r="M9400" s="9"/>
    </row>
    <row r="9401" spans="1:13" x14ac:dyDescent="0.25">
      <c r="A9401" s="8"/>
      <c r="C9401" s="5"/>
      <c r="M9401" s="9"/>
    </row>
    <row r="9402" spans="1:13" x14ac:dyDescent="0.25">
      <c r="A9402" s="8"/>
      <c r="C9402" s="5"/>
      <c r="M9402" s="9"/>
    </row>
    <row r="9403" spans="1:13" x14ac:dyDescent="0.25">
      <c r="A9403" s="8"/>
      <c r="C9403" s="5"/>
      <c r="M9403" s="9"/>
    </row>
    <row r="9404" spans="1:13" x14ac:dyDescent="0.25">
      <c r="A9404" s="8"/>
      <c r="C9404" s="5"/>
      <c r="M9404" s="9"/>
    </row>
    <row r="9405" spans="1:13" x14ac:dyDescent="0.25">
      <c r="A9405" s="8"/>
      <c r="C9405" s="5"/>
      <c r="M9405" s="9"/>
    </row>
    <row r="9406" spans="1:13" x14ac:dyDescent="0.25">
      <c r="A9406" s="8"/>
      <c r="C9406" s="5"/>
      <c r="M9406" s="9"/>
    </row>
    <row r="9407" spans="1:13" x14ac:dyDescent="0.25">
      <c r="A9407" s="8"/>
      <c r="C9407" s="5"/>
      <c r="M9407" s="9"/>
    </row>
    <row r="9408" spans="1:13" x14ac:dyDescent="0.25">
      <c r="A9408" s="8"/>
      <c r="C9408" s="5"/>
      <c r="M9408" s="9"/>
    </row>
    <row r="9409" spans="1:13" x14ac:dyDescent="0.25">
      <c r="A9409" s="8"/>
      <c r="C9409" s="5"/>
      <c r="M9409" s="9"/>
    </row>
    <row r="9410" spans="1:13" x14ac:dyDescent="0.25">
      <c r="A9410" s="8"/>
      <c r="C9410" s="5"/>
      <c r="M9410" s="9"/>
    </row>
    <row r="9411" spans="1:13" x14ac:dyDescent="0.25">
      <c r="A9411" s="8"/>
      <c r="C9411" s="5"/>
      <c r="M9411" s="9"/>
    </row>
    <row r="9412" spans="1:13" x14ac:dyDescent="0.25">
      <c r="A9412" s="8"/>
      <c r="C9412" s="5"/>
      <c r="M9412" s="9"/>
    </row>
    <row r="9413" spans="1:13" x14ac:dyDescent="0.25">
      <c r="A9413" s="8"/>
      <c r="C9413" s="5"/>
      <c r="M9413" s="9"/>
    </row>
    <row r="9414" spans="1:13" x14ac:dyDescent="0.25">
      <c r="A9414" s="8"/>
      <c r="C9414" s="5"/>
      <c r="M9414" s="9"/>
    </row>
    <row r="9415" spans="1:13" x14ac:dyDescent="0.25">
      <c r="A9415" s="8"/>
      <c r="C9415" s="5"/>
      <c r="M9415" s="9"/>
    </row>
    <row r="9416" spans="1:13" x14ac:dyDescent="0.25">
      <c r="A9416" s="8"/>
      <c r="C9416" s="5"/>
      <c r="M9416" s="9"/>
    </row>
    <row r="9417" spans="1:13" x14ac:dyDescent="0.25">
      <c r="A9417" s="8"/>
      <c r="C9417" s="5"/>
      <c r="M9417" s="9"/>
    </row>
    <row r="9418" spans="1:13" x14ac:dyDescent="0.25">
      <c r="A9418" s="8"/>
      <c r="C9418" s="5"/>
      <c r="M9418" s="9"/>
    </row>
    <row r="9419" spans="1:13" x14ac:dyDescent="0.25">
      <c r="A9419" s="8"/>
      <c r="C9419" s="5"/>
      <c r="M9419" s="9"/>
    </row>
    <row r="9420" spans="1:13" x14ac:dyDescent="0.25">
      <c r="A9420" s="8"/>
      <c r="C9420" s="5"/>
      <c r="M9420" s="9"/>
    </row>
    <row r="9421" spans="1:13" x14ac:dyDescent="0.25">
      <c r="A9421" s="8"/>
      <c r="C9421" s="5"/>
      <c r="M9421" s="9"/>
    </row>
    <row r="9422" spans="1:13" x14ac:dyDescent="0.25">
      <c r="A9422" s="8"/>
      <c r="C9422" s="5"/>
      <c r="M9422" s="9"/>
    </row>
    <row r="9423" spans="1:13" x14ac:dyDescent="0.25">
      <c r="A9423" s="8"/>
      <c r="C9423" s="5"/>
      <c r="M9423" s="9"/>
    </row>
    <row r="9424" spans="1:13" x14ac:dyDescent="0.25">
      <c r="A9424" s="8"/>
      <c r="C9424" s="5"/>
      <c r="M9424" s="9"/>
    </row>
    <row r="9425" spans="1:13" x14ac:dyDescent="0.25">
      <c r="A9425" s="8"/>
      <c r="C9425" s="5"/>
      <c r="M9425" s="9"/>
    </row>
    <row r="9426" spans="1:13" x14ac:dyDescent="0.25">
      <c r="A9426" s="8"/>
      <c r="C9426" s="5"/>
      <c r="M9426" s="9"/>
    </row>
    <row r="9427" spans="1:13" x14ac:dyDescent="0.25">
      <c r="A9427" s="8"/>
      <c r="C9427" s="5"/>
      <c r="M9427" s="9"/>
    </row>
    <row r="9428" spans="1:13" x14ac:dyDescent="0.25">
      <c r="A9428" s="8"/>
      <c r="C9428" s="5"/>
      <c r="M9428" s="9"/>
    </row>
    <row r="9429" spans="1:13" x14ac:dyDescent="0.25">
      <c r="A9429" s="8"/>
      <c r="C9429" s="5"/>
      <c r="M9429" s="9"/>
    </row>
    <row r="9430" spans="1:13" x14ac:dyDescent="0.25">
      <c r="A9430" s="8"/>
      <c r="C9430" s="5"/>
      <c r="M9430" s="9"/>
    </row>
    <row r="9431" spans="1:13" x14ac:dyDescent="0.25">
      <c r="A9431" s="8"/>
      <c r="C9431" s="5"/>
      <c r="M9431" s="9"/>
    </row>
    <row r="9432" spans="1:13" x14ac:dyDescent="0.25">
      <c r="A9432" s="8"/>
      <c r="C9432" s="5"/>
      <c r="M9432" s="9"/>
    </row>
    <row r="9433" spans="1:13" x14ac:dyDescent="0.25">
      <c r="A9433" s="8"/>
      <c r="C9433" s="5"/>
      <c r="M9433" s="9"/>
    </row>
    <row r="9434" spans="1:13" x14ac:dyDescent="0.25">
      <c r="A9434" s="8"/>
      <c r="C9434" s="5"/>
      <c r="M9434" s="9"/>
    </row>
    <row r="9435" spans="1:13" x14ac:dyDescent="0.25">
      <c r="A9435" s="8"/>
      <c r="C9435" s="5"/>
      <c r="M9435" s="9"/>
    </row>
    <row r="9436" spans="1:13" x14ac:dyDescent="0.25">
      <c r="A9436" s="8"/>
      <c r="C9436" s="5"/>
      <c r="M9436" s="9"/>
    </row>
    <row r="9437" spans="1:13" x14ac:dyDescent="0.25">
      <c r="A9437" s="8"/>
      <c r="C9437" s="5"/>
      <c r="M9437" s="9"/>
    </row>
    <row r="9438" spans="1:13" x14ac:dyDescent="0.25">
      <c r="A9438" s="8"/>
      <c r="C9438" s="5"/>
      <c r="M9438" s="9"/>
    </row>
    <row r="9439" spans="1:13" x14ac:dyDescent="0.25">
      <c r="A9439" s="8"/>
      <c r="C9439" s="5"/>
      <c r="M9439" s="9"/>
    </row>
    <row r="9440" spans="1:13" x14ac:dyDescent="0.25">
      <c r="A9440" s="8"/>
      <c r="C9440" s="5"/>
      <c r="M9440" s="9"/>
    </row>
    <row r="9441" spans="1:13" x14ac:dyDescent="0.25">
      <c r="A9441" s="8"/>
      <c r="C9441" s="5"/>
      <c r="M9441" s="9"/>
    </row>
    <row r="9442" spans="1:13" x14ac:dyDescent="0.25">
      <c r="A9442" s="8"/>
      <c r="C9442" s="5"/>
      <c r="M9442" s="9"/>
    </row>
    <row r="9443" spans="1:13" x14ac:dyDescent="0.25">
      <c r="A9443" s="8"/>
      <c r="C9443" s="5"/>
      <c r="M9443" s="9"/>
    </row>
    <row r="9444" spans="1:13" x14ac:dyDescent="0.25">
      <c r="A9444" s="8"/>
      <c r="C9444" s="5"/>
      <c r="M9444" s="9"/>
    </row>
    <row r="9445" spans="1:13" x14ac:dyDescent="0.25">
      <c r="A9445" s="8"/>
      <c r="C9445" s="5"/>
      <c r="M9445" s="9"/>
    </row>
    <row r="9446" spans="1:13" x14ac:dyDescent="0.25">
      <c r="A9446" s="8"/>
      <c r="C9446" s="5"/>
      <c r="M9446" s="9"/>
    </row>
    <row r="9447" spans="1:13" x14ac:dyDescent="0.25">
      <c r="A9447" s="8"/>
      <c r="C9447" s="5"/>
      <c r="M9447" s="9"/>
    </row>
    <row r="9448" spans="1:13" x14ac:dyDescent="0.25">
      <c r="A9448" s="8"/>
      <c r="C9448" s="5"/>
      <c r="M9448" s="9"/>
    </row>
    <row r="9449" spans="1:13" x14ac:dyDescent="0.25">
      <c r="A9449" s="8"/>
      <c r="C9449" s="5"/>
      <c r="M9449" s="9"/>
    </row>
    <row r="9450" spans="1:13" x14ac:dyDescent="0.25">
      <c r="A9450" s="8"/>
      <c r="C9450" s="5"/>
      <c r="M9450" s="9"/>
    </row>
    <row r="9451" spans="1:13" x14ac:dyDescent="0.25">
      <c r="A9451" s="8"/>
      <c r="C9451" s="5"/>
      <c r="M9451" s="9"/>
    </row>
    <row r="9452" spans="1:13" x14ac:dyDescent="0.25">
      <c r="A9452" s="8"/>
      <c r="C9452" s="5"/>
      <c r="M9452" s="9"/>
    </row>
    <row r="9453" spans="1:13" x14ac:dyDescent="0.25">
      <c r="A9453" s="8"/>
      <c r="C9453" s="5"/>
      <c r="M9453" s="9"/>
    </row>
    <row r="9454" spans="1:13" x14ac:dyDescent="0.25">
      <c r="A9454" s="8"/>
      <c r="C9454" s="5"/>
      <c r="M9454" s="9"/>
    </row>
    <row r="9455" spans="1:13" x14ac:dyDescent="0.25">
      <c r="A9455" s="8"/>
      <c r="C9455" s="5"/>
      <c r="M9455" s="9"/>
    </row>
    <row r="9456" spans="1:13" x14ac:dyDescent="0.25">
      <c r="A9456" s="8"/>
      <c r="C9456" s="5"/>
      <c r="M9456" s="9"/>
    </row>
    <row r="9457" spans="1:13" x14ac:dyDescent="0.25">
      <c r="A9457" s="8"/>
      <c r="C9457" s="5"/>
      <c r="M9457" s="9"/>
    </row>
    <row r="9458" spans="1:13" x14ac:dyDescent="0.25">
      <c r="A9458" s="8"/>
      <c r="C9458" s="5"/>
      <c r="M9458" s="9"/>
    </row>
    <row r="9459" spans="1:13" x14ac:dyDescent="0.25">
      <c r="A9459" s="8"/>
      <c r="C9459" s="5"/>
      <c r="M9459" s="9"/>
    </row>
    <row r="9460" spans="1:13" x14ac:dyDescent="0.25">
      <c r="A9460" s="8"/>
      <c r="C9460" s="5"/>
      <c r="M9460" s="9"/>
    </row>
    <row r="9461" spans="1:13" x14ac:dyDescent="0.25">
      <c r="A9461" s="8"/>
      <c r="C9461" s="5"/>
      <c r="M9461" s="9"/>
    </row>
    <row r="9462" spans="1:13" x14ac:dyDescent="0.25">
      <c r="A9462" s="8"/>
      <c r="C9462" s="5"/>
      <c r="M9462" s="9"/>
    </row>
    <row r="9463" spans="1:13" x14ac:dyDescent="0.25">
      <c r="A9463" s="8"/>
      <c r="C9463" s="5"/>
      <c r="M9463" s="9"/>
    </row>
    <row r="9464" spans="1:13" x14ac:dyDescent="0.25">
      <c r="A9464" s="8"/>
      <c r="C9464" s="5"/>
      <c r="M9464" s="9"/>
    </row>
    <row r="9465" spans="1:13" x14ac:dyDescent="0.25">
      <c r="A9465" s="8"/>
      <c r="C9465" s="5"/>
      <c r="M9465" s="9"/>
    </row>
    <row r="9466" spans="1:13" x14ac:dyDescent="0.25">
      <c r="A9466" s="8"/>
      <c r="C9466" s="5"/>
      <c r="M9466" s="9"/>
    </row>
    <row r="9467" spans="1:13" x14ac:dyDescent="0.25">
      <c r="A9467" s="8"/>
      <c r="C9467" s="5"/>
      <c r="M9467" s="9"/>
    </row>
    <row r="9468" spans="1:13" x14ac:dyDescent="0.25">
      <c r="A9468" s="8"/>
      <c r="C9468" s="5"/>
      <c r="M9468" s="9"/>
    </row>
    <row r="9469" spans="1:13" x14ac:dyDescent="0.25">
      <c r="A9469" s="8"/>
      <c r="C9469" s="5"/>
      <c r="M9469" s="9"/>
    </row>
    <row r="9470" spans="1:13" x14ac:dyDescent="0.25">
      <c r="A9470" s="8"/>
      <c r="C9470" s="5"/>
      <c r="M9470" s="9"/>
    </row>
    <row r="9471" spans="1:13" x14ac:dyDescent="0.25">
      <c r="A9471" s="8"/>
      <c r="C9471" s="5"/>
      <c r="M9471" s="9"/>
    </row>
    <row r="9472" spans="1:13" x14ac:dyDescent="0.25">
      <c r="A9472" s="8"/>
      <c r="C9472" s="5"/>
      <c r="M9472" s="9"/>
    </row>
    <row r="9473" spans="1:13" x14ac:dyDescent="0.25">
      <c r="A9473" s="8"/>
      <c r="C9473" s="5"/>
      <c r="M9473" s="9"/>
    </row>
    <row r="9474" spans="1:13" x14ac:dyDescent="0.25">
      <c r="A9474" s="8"/>
      <c r="C9474" s="5"/>
      <c r="M9474" s="9"/>
    </row>
    <row r="9475" spans="1:13" x14ac:dyDescent="0.25">
      <c r="A9475" s="8"/>
      <c r="C9475" s="5"/>
      <c r="M9475" s="9"/>
    </row>
    <row r="9476" spans="1:13" x14ac:dyDescent="0.25">
      <c r="A9476" s="8"/>
      <c r="C9476" s="5"/>
      <c r="M9476" s="9"/>
    </row>
    <row r="9477" spans="1:13" x14ac:dyDescent="0.25">
      <c r="A9477" s="8"/>
      <c r="C9477" s="5"/>
      <c r="M9477" s="9"/>
    </row>
    <row r="9478" spans="1:13" x14ac:dyDescent="0.25">
      <c r="A9478" s="8"/>
      <c r="C9478" s="5"/>
      <c r="M9478" s="9"/>
    </row>
    <row r="9479" spans="1:13" x14ac:dyDescent="0.25">
      <c r="A9479" s="8"/>
      <c r="C9479" s="5"/>
      <c r="M9479" s="9"/>
    </row>
    <row r="9480" spans="1:13" x14ac:dyDescent="0.25">
      <c r="A9480" s="8"/>
      <c r="C9480" s="5"/>
      <c r="M9480" s="9"/>
    </row>
    <row r="9481" spans="1:13" x14ac:dyDescent="0.25">
      <c r="A9481" s="8"/>
      <c r="C9481" s="5"/>
      <c r="M9481" s="9"/>
    </row>
    <row r="9482" spans="1:13" x14ac:dyDescent="0.25">
      <c r="A9482" s="8"/>
      <c r="C9482" s="5"/>
      <c r="M9482" s="9"/>
    </row>
    <row r="9483" spans="1:13" x14ac:dyDescent="0.25">
      <c r="A9483" s="8"/>
      <c r="C9483" s="5"/>
      <c r="M9483" s="9"/>
    </row>
    <row r="9484" spans="1:13" x14ac:dyDescent="0.25">
      <c r="A9484" s="8"/>
      <c r="C9484" s="5"/>
      <c r="M9484" s="9"/>
    </row>
    <row r="9485" spans="1:13" x14ac:dyDescent="0.25">
      <c r="A9485" s="8"/>
      <c r="C9485" s="5"/>
      <c r="M9485" s="9"/>
    </row>
    <row r="9486" spans="1:13" x14ac:dyDescent="0.25">
      <c r="A9486" s="8"/>
      <c r="C9486" s="5"/>
      <c r="M9486" s="9"/>
    </row>
    <row r="9487" spans="1:13" x14ac:dyDescent="0.25">
      <c r="A9487" s="8"/>
      <c r="C9487" s="5"/>
      <c r="M9487" s="9"/>
    </row>
    <row r="9488" spans="1:13" x14ac:dyDescent="0.25">
      <c r="A9488" s="8"/>
      <c r="C9488" s="5"/>
      <c r="M9488" s="9"/>
    </row>
    <row r="9489" spans="1:13" x14ac:dyDescent="0.25">
      <c r="A9489" s="8"/>
      <c r="C9489" s="5"/>
      <c r="M9489" s="9"/>
    </row>
    <row r="9490" spans="1:13" x14ac:dyDescent="0.25">
      <c r="A9490" s="8"/>
      <c r="C9490" s="5"/>
      <c r="M9490" s="9"/>
    </row>
    <row r="9491" spans="1:13" x14ac:dyDescent="0.25">
      <c r="A9491" s="8"/>
      <c r="C9491" s="5"/>
      <c r="M9491" s="9"/>
    </row>
    <row r="9492" spans="1:13" x14ac:dyDescent="0.25">
      <c r="A9492" s="8"/>
      <c r="C9492" s="5"/>
      <c r="M9492" s="9"/>
    </row>
    <row r="9493" spans="1:13" x14ac:dyDescent="0.25">
      <c r="A9493" s="8"/>
      <c r="C9493" s="5"/>
      <c r="M9493" s="9"/>
    </row>
    <row r="9494" spans="1:13" x14ac:dyDescent="0.25">
      <c r="A9494" s="8"/>
      <c r="C9494" s="5"/>
      <c r="M9494" s="9"/>
    </row>
    <row r="9495" spans="1:13" x14ac:dyDescent="0.25">
      <c r="A9495" s="8"/>
      <c r="C9495" s="5"/>
      <c r="M9495" s="9"/>
    </row>
    <row r="9496" spans="1:13" x14ac:dyDescent="0.25">
      <c r="A9496" s="8"/>
      <c r="C9496" s="5"/>
      <c r="M9496" s="9"/>
    </row>
    <row r="9497" spans="1:13" x14ac:dyDescent="0.25">
      <c r="A9497" s="8"/>
      <c r="C9497" s="5"/>
      <c r="M9497" s="9"/>
    </row>
    <row r="9498" spans="1:13" x14ac:dyDescent="0.25">
      <c r="A9498" s="8"/>
      <c r="C9498" s="5"/>
      <c r="M9498" s="9"/>
    </row>
    <row r="9499" spans="1:13" x14ac:dyDescent="0.25">
      <c r="A9499" s="8"/>
      <c r="C9499" s="5"/>
      <c r="M9499" s="9"/>
    </row>
    <row r="9500" spans="1:13" x14ac:dyDescent="0.25">
      <c r="A9500" s="8"/>
      <c r="C9500" s="5"/>
      <c r="M9500" s="9"/>
    </row>
    <row r="9501" spans="1:13" x14ac:dyDescent="0.25">
      <c r="A9501" s="8"/>
      <c r="C9501" s="5"/>
      <c r="M9501" s="9"/>
    </row>
    <row r="9502" spans="1:13" x14ac:dyDescent="0.25">
      <c r="A9502" s="8"/>
      <c r="C9502" s="5"/>
      <c r="M9502" s="9"/>
    </row>
    <row r="9503" spans="1:13" x14ac:dyDescent="0.25">
      <c r="A9503" s="8"/>
      <c r="C9503" s="5"/>
      <c r="M9503" s="9"/>
    </row>
    <row r="9504" spans="1:13" x14ac:dyDescent="0.25">
      <c r="A9504" s="8"/>
      <c r="C9504" s="5"/>
      <c r="M9504" s="9"/>
    </row>
    <row r="9505" spans="1:13" x14ac:dyDescent="0.25">
      <c r="A9505" s="8"/>
      <c r="C9505" s="5"/>
      <c r="M9505" s="9"/>
    </row>
    <row r="9506" spans="1:13" x14ac:dyDescent="0.25">
      <c r="A9506" s="8"/>
      <c r="C9506" s="5"/>
      <c r="M9506" s="9"/>
    </row>
    <row r="9507" spans="1:13" x14ac:dyDescent="0.25">
      <c r="A9507" s="8"/>
      <c r="C9507" s="5"/>
      <c r="M9507" s="9"/>
    </row>
    <row r="9508" spans="1:13" x14ac:dyDescent="0.25">
      <c r="A9508" s="8"/>
      <c r="C9508" s="5"/>
      <c r="M9508" s="9"/>
    </row>
    <row r="9509" spans="1:13" x14ac:dyDescent="0.25">
      <c r="A9509" s="8"/>
      <c r="C9509" s="5"/>
      <c r="M9509" s="9"/>
    </row>
    <row r="9510" spans="1:13" x14ac:dyDescent="0.25">
      <c r="A9510" s="8"/>
      <c r="C9510" s="5"/>
      <c r="M9510" s="9"/>
    </row>
    <row r="9511" spans="1:13" x14ac:dyDescent="0.25">
      <c r="A9511" s="8"/>
      <c r="C9511" s="5"/>
      <c r="M9511" s="9"/>
    </row>
    <row r="9512" spans="1:13" x14ac:dyDescent="0.25">
      <c r="A9512" s="8"/>
      <c r="C9512" s="5"/>
      <c r="M9512" s="9"/>
    </row>
    <row r="9513" spans="1:13" x14ac:dyDescent="0.25">
      <c r="A9513" s="8"/>
      <c r="C9513" s="5"/>
      <c r="M9513" s="9"/>
    </row>
    <row r="9514" spans="1:13" x14ac:dyDescent="0.25">
      <c r="A9514" s="8"/>
      <c r="C9514" s="5"/>
      <c r="M9514" s="9"/>
    </row>
    <row r="9515" spans="1:13" x14ac:dyDescent="0.25">
      <c r="A9515" s="8"/>
      <c r="C9515" s="5"/>
      <c r="M9515" s="9"/>
    </row>
    <row r="9516" spans="1:13" x14ac:dyDescent="0.25">
      <c r="A9516" s="8"/>
      <c r="C9516" s="5"/>
      <c r="M9516" s="9"/>
    </row>
    <row r="9517" spans="1:13" x14ac:dyDescent="0.25">
      <c r="A9517" s="8"/>
      <c r="C9517" s="5"/>
      <c r="M9517" s="9"/>
    </row>
    <row r="9518" spans="1:13" x14ac:dyDescent="0.25">
      <c r="A9518" s="8"/>
      <c r="C9518" s="5"/>
      <c r="M9518" s="9"/>
    </row>
    <row r="9519" spans="1:13" x14ac:dyDescent="0.25">
      <c r="A9519" s="8"/>
      <c r="C9519" s="5"/>
      <c r="M9519" s="9"/>
    </row>
    <row r="9520" spans="1:13" x14ac:dyDescent="0.25">
      <c r="A9520" s="8"/>
      <c r="C9520" s="5"/>
      <c r="M9520" s="9"/>
    </row>
    <row r="9521" spans="1:13" x14ac:dyDescent="0.25">
      <c r="A9521" s="8"/>
      <c r="C9521" s="5"/>
      <c r="M9521" s="9"/>
    </row>
    <row r="9522" spans="1:13" x14ac:dyDescent="0.25">
      <c r="A9522" s="8"/>
      <c r="C9522" s="5"/>
      <c r="M9522" s="9"/>
    </row>
    <row r="9523" spans="1:13" x14ac:dyDescent="0.25">
      <c r="A9523" s="8"/>
      <c r="C9523" s="5"/>
      <c r="M9523" s="9"/>
    </row>
    <row r="9524" spans="1:13" x14ac:dyDescent="0.25">
      <c r="A9524" s="8"/>
      <c r="C9524" s="5"/>
      <c r="M9524" s="9"/>
    </row>
    <row r="9525" spans="1:13" x14ac:dyDescent="0.25">
      <c r="A9525" s="8"/>
      <c r="C9525" s="5"/>
      <c r="M9525" s="9"/>
    </row>
    <row r="9526" spans="1:13" x14ac:dyDescent="0.25">
      <c r="A9526" s="8"/>
      <c r="C9526" s="5"/>
      <c r="M9526" s="9"/>
    </row>
    <row r="9527" spans="1:13" x14ac:dyDescent="0.25">
      <c r="A9527" s="8"/>
      <c r="C9527" s="5"/>
      <c r="M9527" s="9"/>
    </row>
    <row r="9528" spans="1:13" x14ac:dyDescent="0.25">
      <c r="A9528" s="8"/>
      <c r="C9528" s="5"/>
      <c r="M9528" s="9"/>
    </row>
    <row r="9529" spans="1:13" x14ac:dyDescent="0.25">
      <c r="A9529" s="8"/>
      <c r="C9529" s="5"/>
      <c r="M9529" s="9"/>
    </row>
    <row r="9530" spans="1:13" x14ac:dyDescent="0.25">
      <c r="A9530" s="8"/>
      <c r="C9530" s="5"/>
      <c r="M9530" s="9"/>
    </row>
    <row r="9531" spans="1:13" x14ac:dyDescent="0.25">
      <c r="A9531" s="8"/>
      <c r="C9531" s="5"/>
      <c r="M9531" s="9"/>
    </row>
    <row r="9532" spans="1:13" x14ac:dyDescent="0.25">
      <c r="A9532" s="8"/>
      <c r="C9532" s="5"/>
      <c r="M9532" s="9"/>
    </row>
    <row r="9533" spans="1:13" x14ac:dyDescent="0.25">
      <c r="A9533" s="8"/>
      <c r="C9533" s="5"/>
      <c r="M9533" s="9"/>
    </row>
    <row r="9534" spans="1:13" x14ac:dyDescent="0.25">
      <c r="A9534" s="8"/>
      <c r="C9534" s="5"/>
      <c r="M9534" s="9"/>
    </row>
    <row r="9535" spans="1:13" x14ac:dyDescent="0.25">
      <c r="A9535" s="8"/>
      <c r="C9535" s="5"/>
      <c r="M9535" s="9"/>
    </row>
    <row r="9536" spans="1:13" x14ac:dyDescent="0.25">
      <c r="A9536" s="8"/>
      <c r="C9536" s="5"/>
      <c r="M9536" s="9"/>
    </row>
    <row r="9537" spans="1:13" x14ac:dyDescent="0.25">
      <c r="A9537" s="8"/>
      <c r="C9537" s="5"/>
      <c r="M9537" s="9"/>
    </row>
    <row r="9538" spans="1:13" x14ac:dyDescent="0.25">
      <c r="A9538" s="8"/>
      <c r="C9538" s="5"/>
      <c r="M9538" s="9"/>
    </row>
    <row r="9539" spans="1:13" x14ac:dyDescent="0.25">
      <c r="A9539" s="8"/>
      <c r="C9539" s="5"/>
      <c r="M9539" s="9"/>
    </row>
    <row r="9540" spans="1:13" x14ac:dyDescent="0.25">
      <c r="A9540" s="8"/>
      <c r="C9540" s="5"/>
      <c r="M9540" s="9"/>
    </row>
    <row r="9541" spans="1:13" x14ac:dyDescent="0.25">
      <c r="A9541" s="8"/>
      <c r="C9541" s="5"/>
      <c r="M9541" s="9"/>
    </row>
    <row r="9542" spans="1:13" x14ac:dyDescent="0.25">
      <c r="A9542" s="8"/>
      <c r="C9542" s="5"/>
      <c r="M9542" s="9"/>
    </row>
    <row r="9543" spans="1:13" x14ac:dyDescent="0.25">
      <c r="A9543" s="8"/>
      <c r="C9543" s="5"/>
      <c r="M9543" s="9"/>
    </row>
    <row r="9544" spans="1:13" x14ac:dyDescent="0.25">
      <c r="A9544" s="8"/>
      <c r="C9544" s="5"/>
      <c r="M9544" s="9"/>
    </row>
    <row r="9545" spans="1:13" x14ac:dyDescent="0.25">
      <c r="A9545" s="8"/>
      <c r="C9545" s="5"/>
      <c r="M9545" s="9"/>
    </row>
    <row r="9546" spans="1:13" x14ac:dyDescent="0.25">
      <c r="A9546" s="8"/>
      <c r="C9546" s="5"/>
      <c r="M9546" s="9"/>
    </row>
    <row r="9547" spans="1:13" x14ac:dyDescent="0.25">
      <c r="A9547" s="8"/>
      <c r="C9547" s="5"/>
      <c r="M9547" s="9"/>
    </row>
    <row r="9548" spans="1:13" x14ac:dyDescent="0.25">
      <c r="A9548" s="8"/>
      <c r="C9548" s="5"/>
      <c r="M9548" s="9"/>
    </row>
    <row r="9549" spans="1:13" x14ac:dyDescent="0.25">
      <c r="A9549" s="8"/>
      <c r="C9549" s="5"/>
      <c r="M9549" s="9"/>
    </row>
    <row r="9550" spans="1:13" x14ac:dyDescent="0.25">
      <c r="A9550" s="8"/>
      <c r="C9550" s="5"/>
      <c r="M9550" s="9"/>
    </row>
    <row r="9551" spans="1:13" x14ac:dyDescent="0.25">
      <c r="A9551" s="8"/>
      <c r="C9551" s="5"/>
      <c r="M9551" s="9"/>
    </row>
    <row r="9552" spans="1:13" x14ac:dyDescent="0.25">
      <c r="A9552" s="8"/>
      <c r="C9552" s="5"/>
      <c r="M9552" s="9"/>
    </row>
    <row r="9553" spans="1:13" x14ac:dyDescent="0.25">
      <c r="A9553" s="8"/>
      <c r="C9553" s="5"/>
      <c r="M9553" s="9"/>
    </row>
    <row r="9554" spans="1:13" x14ac:dyDescent="0.25">
      <c r="A9554" s="8"/>
      <c r="C9554" s="5"/>
      <c r="M9554" s="9"/>
    </row>
    <row r="9555" spans="1:13" x14ac:dyDescent="0.25">
      <c r="A9555" s="8"/>
      <c r="C9555" s="5"/>
      <c r="M9555" s="9"/>
    </row>
    <row r="9556" spans="1:13" x14ac:dyDescent="0.25">
      <c r="A9556" s="8"/>
      <c r="C9556" s="5"/>
      <c r="M9556" s="9"/>
    </row>
    <row r="9557" spans="1:13" x14ac:dyDescent="0.25">
      <c r="A9557" s="8"/>
      <c r="C9557" s="5"/>
      <c r="M9557" s="9"/>
    </row>
    <row r="9558" spans="1:13" x14ac:dyDescent="0.25">
      <c r="A9558" s="8"/>
      <c r="C9558" s="5"/>
      <c r="M9558" s="9"/>
    </row>
    <row r="9559" spans="1:13" x14ac:dyDescent="0.25">
      <c r="A9559" s="8"/>
      <c r="C9559" s="5"/>
      <c r="M9559" s="9"/>
    </row>
    <row r="9560" spans="1:13" x14ac:dyDescent="0.25">
      <c r="A9560" s="8"/>
      <c r="C9560" s="5"/>
      <c r="M9560" s="9"/>
    </row>
    <row r="9561" spans="1:13" x14ac:dyDescent="0.25">
      <c r="A9561" s="8"/>
      <c r="C9561" s="5"/>
      <c r="M9561" s="9"/>
    </row>
    <row r="9562" spans="1:13" x14ac:dyDescent="0.25">
      <c r="A9562" s="8"/>
      <c r="C9562" s="5"/>
      <c r="M9562" s="9"/>
    </row>
    <row r="9563" spans="1:13" x14ac:dyDescent="0.25">
      <c r="A9563" s="8"/>
      <c r="C9563" s="5"/>
      <c r="M9563" s="9"/>
    </row>
    <row r="9564" spans="1:13" x14ac:dyDescent="0.25">
      <c r="A9564" s="8"/>
      <c r="C9564" s="5"/>
      <c r="M9564" s="9"/>
    </row>
    <row r="9565" spans="1:13" x14ac:dyDescent="0.25">
      <c r="A9565" s="8"/>
      <c r="C9565" s="5"/>
      <c r="M9565" s="9"/>
    </row>
    <row r="9566" spans="1:13" x14ac:dyDescent="0.25">
      <c r="A9566" s="8"/>
      <c r="C9566" s="5"/>
      <c r="M9566" s="9"/>
    </row>
    <row r="9567" spans="1:13" x14ac:dyDescent="0.25">
      <c r="A9567" s="8"/>
      <c r="C9567" s="5"/>
      <c r="M9567" s="9"/>
    </row>
    <row r="9568" spans="1:13" x14ac:dyDescent="0.25">
      <c r="A9568" s="8"/>
      <c r="C9568" s="5"/>
      <c r="M9568" s="9"/>
    </row>
    <row r="9569" spans="1:13" x14ac:dyDescent="0.25">
      <c r="A9569" s="8"/>
      <c r="C9569" s="5"/>
      <c r="M9569" s="9"/>
    </row>
    <row r="9570" spans="1:13" x14ac:dyDescent="0.25">
      <c r="A9570" s="8"/>
      <c r="C9570" s="5"/>
      <c r="M9570" s="9"/>
    </row>
    <row r="9571" spans="1:13" x14ac:dyDescent="0.25">
      <c r="A9571" s="8"/>
      <c r="C9571" s="5"/>
      <c r="M9571" s="9"/>
    </row>
    <row r="9572" spans="1:13" x14ac:dyDescent="0.25">
      <c r="A9572" s="8"/>
      <c r="C9572" s="5"/>
      <c r="M9572" s="9"/>
    </row>
    <row r="9573" spans="1:13" x14ac:dyDescent="0.25">
      <c r="A9573" s="8"/>
      <c r="C9573" s="5"/>
      <c r="M9573" s="9"/>
    </row>
    <row r="9574" spans="1:13" x14ac:dyDescent="0.25">
      <c r="A9574" s="8"/>
      <c r="C9574" s="5"/>
      <c r="M9574" s="9"/>
    </row>
    <row r="9575" spans="1:13" x14ac:dyDescent="0.25">
      <c r="A9575" s="8"/>
      <c r="C9575" s="5"/>
      <c r="M9575" s="9"/>
    </row>
    <row r="9576" spans="1:13" x14ac:dyDescent="0.25">
      <c r="A9576" s="8"/>
      <c r="C9576" s="5"/>
      <c r="M9576" s="9"/>
    </row>
    <row r="9577" spans="1:13" x14ac:dyDescent="0.25">
      <c r="A9577" s="8"/>
      <c r="C9577" s="5"/>
      <c r="M9577" s="9"/>
    </row>
    <row r="9578" spans="1:13" x14ac:dyDescent="0.25">
      <c r="A9578" s="8"/>
      <c r="C9578" s="5"/>
      <c r="M9578" s="9"/>
    </row>
    <row r="9579" spans="1:13" x14ac:dyDescent="0.25">
      <c r="A9579" s="8"/>
      <c r="C9579" s="5"/>
      <c r="M9579" s="9"/>
    </row>
    <row r="9580" spans="1:13" x14ac:dyDescent="0.25">
      <c r="A9580" s="8"/>
      <c r="C9580" s="5"/>
      <c r="M9580" s="9"/>
    </row>
    <row r="9581" spans="1:13" x14ac:dyDescent="0.25">
      <c r="A9581" s="8"/>
      <c r="C9581" s="5"/>
      <c r="M9581" s="9"/>
    </row>
    <row r="9582" spans="1:13" x14ac:dyDescent="0.25">
      <c r="A9582" s="8"/>
      <c r="C9582" s="5"/>
      <c r="M9582" s="9"/>
    </row>
    <row r="9583" spans="1:13" x14ac:dyDescent="0.25">
      <c r="A9583" s="8"/>
      <c r="C9583" s="5"/>
      <c r="M9583" s="9"/>
    </row>
    <row r="9584" spans="1:13" x14ac:dyDescent="0.25">
      <c r="A9584" s="8"/>
      <c r="C9584" s="5"/>
      <c r="M9584" s="9"/>
    </row>
    <row r="9585" spans="1:13" x14ac:dyDescent="0.25">
      <c r="A9585" s="8"/>
      <c r="C9585" s="5"/>
      <c r="M9585" s="9"/>
    </row>
    <row r="9586" spans="1:13" x14ac:dyDescent="0.25">
      <c r="A9586" s="8"/>
      <c r="C9586" s="5"/>
      <c r="M9586" s="9"/>
    </row>
    <row r="9587" spans="1:13" x14ac:dyDescent="0.25">
      <c r="A9587" s="8"/>
      <c r="C9587" s="5"/>
      <c r="M9587" s="9"/>
    </row>
    <row r="9588" spans="1:13" x14ac:dyDescent="0.25">
      <c r="A9588" s="8"/>
      <c r="C9588" s="5"/>
      <c r="M9588" s="9"/>
    </row>
    <row r="9589" spans="1:13" x14ac:dyDescent="0.25">
      <c r="A9589" s="8"/>
      <c r="C9589" s="5"/>
      <c r="M9589" s="9"/>
    </row>
    <row r="9590" spans="1:13" x14ac:dyDescent="0.25">
      <c r="A9590" s="8"/>
      <c r="C9590" s="5"/>
      <c r="M9590" s="9"/>
    </row>
    <row r="9591" spans="1:13" x14ac:dyDescent="0.25">
      <c r="A9591" s="8"/>
      <c r="C9591" s="5"/>
      <c r="M9591" s="9"/>
    </row>
    <row r="9592" spans="1:13" x14ac:dyDescent="0.25">
      <c r="A9592" s="8"/>
      <c r="C9592" s="5"/>
      <c r="M9592" s="9"/>
    </row>
    <row r="9593" spans="1:13" x14ac:dyDescent="0.25">
      <c r="A9593" s="8"/>
      <c r="C9593" s="5"/>
      <c r="M9593" s="9"/>
    </row>
    <row r="9594" spans="1:13" x14ac:dyDescent="0.25">
      <c r="A9594" s="8"/>
      <c r="C9594" s="5"/>
      <c r="M9594" s="9"/>
    </row>
    <row r="9595" spans="1:13" x14ac:dyDescent="0.25">
      <c r="A9595" s="8"/>
      <c r="C9595" s="5"/>
      <c r="M9595" s="9"/>
    </row>
    <row r="9596" spans="1:13" x14ac:dyDescent="0.25">
      <c r="A9596" s="8"/>
      <c r="C9596" s="5"/>
      <c r="M9596" s="9"/>
    </row>
    <row r="9597" spans="1:13" x14ac:dyDescent="0.25">
      <c r="A9597" s="8"/>
      <c r="C9597" s="5"/>
      <c r="M9597" s="9"/>
    </row>
    <row r="9598" spans="1:13" x14ac:dyDescent="0.25">
      <c r="A9598" s="8"/>
      <c r="C9598" s="5"/>
      <c r="M9598" s="9"/>
    </row>
    <row r="9599" spans="1:13" x14ac:dyDescent="0.25">
      <c r="A9599" s="8"/>
      <c r="C9599" s="5"/>
      <c r="M9599" s="9"/>
    </row>
    <row r="9600" spans="1:13" x14ac:dyDescent="0.25">
      <c r="A9600" s="8"/>
      <c r="C9600" s="5"/>
      <c r="M9600" s="9"/>
    </row>
    <row r="9601" spans="1:13" x14ac:dyDescent="0.25">
      <c r="A9601" s="8"/>
      <c r="C9601" s="5"/>
      <c r="M9601" s="9"/>
    </row>
    <row r="9602" spans="1:13" x14ac:dyDescent="0.25">
      <c r="A9602" s="8"/>
      <c r="C9602" s="5"/>
      <c r="M9602" s="9"/>
    </row>
    <row r="9603" spans="1:13" x14ac:dyDescent="0.25">
      <c r="A9603" s="8"/>
      <c r="C9603" s="5"/>
      <c r="M9603" s="9"/>
    </row>
    <row r="9604" spans="1:13" x14ac:dyDescent="0.25">
      <c r="A9604" s="8"/>
      <c r="C9604" s="5"/>
      <c r="M9604" s="9"/>
    </row>
    <row r="9605" spans="1:13" x14ac:dyDescent="0.25">
      <c r="A9605" s="8"/>
      <c r="C9605" s="5"/>
      <c r="M9605" s="9"/>
    </row>
    <row r="9606" spans="1:13" x14ac:dyDescent="0.25">
      <c r="A9606" s="8"/>
      <c r="C9606" s="5"/>
      <c r="M9606" s="9"/>
    </row>
    <row r="9607" spans="1:13" x14ac:dyDescent="0.25">
      <c r="A9607" s="8"/>
      <c r="C9607" s="5"/>
      <c r="M9607" s="9"/>
    </row>
    <row r="9608" spans="1:13" x14ac:dyDescent="0.25">
      <c r="A9608" s="8"/>
      <c r="C9608" s="5"/>
      <c r="M9608" s="9"/>
    </row>
    <row r="9609" spans="1:13" x14ac:dyDescent="0.25">
      <c r="A9609" s="8"/>
      <c r="C9609" s="5"/>
      <c r="M9609" s="9"/>
    </row>
    <row r="9610" spans="1:13" x14ac:dyDescent="0.25">
      <c r="A9610" s="8"/>
      <c r="C9610" s="5"/>
      <c r="M9610" s="9"/>
    </row>
    <row r="9611" spans="1:13" x14ac:dyDescent="0.25">
      <c r="A9611" s="8"/>
      <c r="C9611" s="5"/>
      <c r="M9611" s="9"/>
    </row>
    <row r="9612" spans="1:13" x14ac:dyDescent="0.25">
      <c r="A9612" s="8"/>
      <c r="C9612" s="5"/>
      <c r="M9612" s="9"/>
    </row>
    <row r="9613" spans="1:13" x14ac:dyDescent="0.25">
      <c r="A9613" s="8"/>
      <c r="C9613" s="5"/>
      <c r="M9613" s="9"/>
    </row>
    <row r="9614" spans="1:13" x14ac:dyDescent="0.25">
      <c r="A9614" s="8"/>
      <c r="C9614" s="5"/>
      <c r="M9614" s="9"/>
    </row>
    <row r="9615" spans="1:13" x14ac:dyDescent="0.25">
      <c r="A9615" s="8"/>
      <c r="C9615" s="5"/>
      <c r="M9615" s="9"/>
    </row>
    <row r="9616" spans="1:13" x14ac:dyDescent="0.25">
      <c r="A9616" s="8"/>
      <c r="C9616" s="5"/>
      <c r="M9616" s="9"/>
    </row>
    <row r="9617" spans="1:13" x14ac:dyDescent="0.25">
      <c r="A9617" s="8"/>
      <c r="C9617" s="5"/>
      <c r="M9617" s="9"/>
    </row>
    <row r="9618" spans="1:13" x14ac:dyDescent="0.25">
      <c r="A9618" s="8"/>
      <c r="C9618" s="5"/>
      <c r="M9618" s="9"/>
    </row>
    <row r="9619" spans="1:13" x14ac:dyDescent="0.25">
      <c r="A9619" s="8"/>
      <c r="C9619" s="5"/>
      <c r="M9619" s="9"/>
    </row>
    <row r="9620" spans="1:13" x14ac:dyDescent="0.25">
      <c r="A9620" s="8"/>
      <c r="C9620" s="5"/>
      <c r="M9620" s="9"/>
    </row>
    <row r="9621" spans="1:13" x14ac:dyDescent="0.25">
      <c r="A9621" s="8"/>
      <c r="C9621" s="5"/>
      <c r="M9621" s="9"/>
    </row>
    <row r="9622" spans="1:13" x14ac:dyDescent="0.25">
      <c r="A9622" s="8"/>
      <c r="C9622" s="5"/>
      <c r="M9622" s="9"/>
    </row>
    <row r="9623" spans="1:13" x14ac:dyDescent="0.25">
      <c r="A9623" s="8"/>
      <c r="C9623" s="5"/>
      <c r="M9623" s="9"/>
    </row>
    <row r="9624" spans="1:13" x14ac:dyDescent="0.25">
      <c r="A9624" s="8"/>
      <c r="C9624" s="5"/>
      <c r="M9624" s="9"/>
    </row>
    <row r="9625" spans="1:13" x14ac:dyDescent="0.25">
      <c r="A9625" s="8"/>
      <c r="C9625" s="5"/>
      <c r="M9625" s="9"/>
    </row>
    <row r="9626" spans="1:13" x14ac:dyDescent="0.25">
      <c r="A9626" s="8"/>
      <c r="C9626" s="5"/>
      <c r="M9626" s="9"/>
    </row>
    <row r="9627" spans="1:13" x14ac:dyDescent="0.25">
      <c r="A9627" s="8"/>
      <c r="C9627" s="5"/>
      <c r="M9627" s="9"/>
    </row>
    <row r="9628" spans="1:13" x14ac:dyDescent="0.25">
      <c r="A9628" s="8"/>
      <c r="C9628" s="5"/>
      <c r="M9628" s="9"/>
    </row>
    <row r="9629" spans="1:13" x14ac:dyDescent="0.25">
      <c r="A9629" s="8"/>
      <c r="C9629" s="5"/>
      <c r="M9629" s="9"/>
    </row>
    <row r="9630" spans="1:13" x14ac:dyDescent="0.25">
      <c r="A9630" s="8"/>
      <c r="C9630" s="5"/>
      <c r="M9630" s="9"/>
    </row>
    <row r="9631" spans="1:13" x14ac:dyDescent="0.25">
      <c r="A9631" s="8"/>
      <c r="C9631" s="5"/>
      <c r="M9631" s="9"/>
    </row>
    <row r="9632" spans="1:13" x14ac:dyDescent="0.25">
      <c r="A9632" s="8"/>
      <c r="C9632" s="5"/>
      <c r="M9632" s="9"/>
    </row>
    <row r="9633" spans="1:13" x14ac:dyDescent="0.25">
      <c r="A9633" s="8"/>
      <c r="C9633" s="5"/>
      <c r="M9633" s="9"/>
    </row>
    <row r="9634" spans="1:13" x14ac:dyDescent="0.25">
      <c r="A9634" s="8"/>
      <c r="C9634" s="5"/>
      <c r="M9634" s="9"/>
    </row>
    <row r="9635" spans="1:13" x14ac:dyDescent="0.25">
      <c r="A9635" s="8"/>
      <c r="C9635" s="5"/>
      <c r="M9635" s="9"/>
    </row>
    <row r="9636" spans="1:13" x14ac:dyDescent="0.25">
      <c r="A9636" s="8"/>
      <c r="C9636" s="5"/>
      <c r="M9636" s="9"/>
    </row>
    <row r="9637" spans="1:13" x14ac:dyDescent="0.25">
      <c r="A9637" s="8"/>
      <c r="C9637" s="5"/>
      <c r="M9637" s="9"/>
    </row>
    <row r="9638" spans="1:13" x14ac:dyDescent="0.25">
      <c r="A9638" s="8"/>
      <c r="C9638" s="5"/>
      <c r="M9638" s="9"/>
    </row>
    <row r="9639" spans="1:13" x14ac:dyDescent="0.25">
      <c r="A9639" s="8"/>
      <c r="C9639" s="5"/>
      <c r="M9639" s="9"/>
    </row>
    <row r="9640" spans="1:13" x14ac:dyDescent="0.25">
      <c r="A9640" s="8"/>
      <c r="C9640" s="5"/>
      <c r="M9640" s="9"/>
    </row>
    <row r="9641" spans="1:13" x14ac:dyDescent="0.25">
      <c r="A9641" s="8"/>
      <c r="C9641" s="5"/>
      <c r="M9641" s="9"/>
    </row>
    <row r="9642" spans="1:13" x14ac:dyDescent="0.25">
      <c r="A9642" s="8"/>
      <c r="C9642" s="5"/>
      <c r="M9642" s="9"/>
    </row>
    <row r="9643" spans="1:13" x14ac:dyDescent="0.25">
      <c r="A9643" s="8"/>
      <c r="C9643" s="5"/>
      <c r="M9643" s="9"/>
    </row>
    <row r="9644" spans="1:13" x14ac:dyDescent="0.25">
      <c r="A9644" s="8"/>
      <c r="C9644" s="5"/>
      <c r="M9644" s="9"/>
    </row>
    <row r="9645" spans="1:13" x14ac:dyDescent="0.25">
      <c r="A9645" s="8"/>
      <c r="C9645" s="5"/>
      <c r="M9645" s="9"/>
    </row>
    <row r="9646" spans="1:13" x14ac:dyDescent="0.25">
      <c r="A9646" s="8"/>
      <c r="C9646" s="5"/>
      <c r="M9646" s="9"/>
    </row>
    <row r="9647" spans="1:13" x14ac:dyDescent="0.25">
      <c r="A9647" s="8"/>
      <c r="C9647" s="5"/>
      <c r="M9647" s="9"/>
    </row>
    <row r="9648" spans="1:13" x14ac:dyDescent="0.25">
      <c r="A9648" s="8"/>
      <c r="C9648" s="5"/>
      <c r="M9648" s="9"/>
    </row>
    <row r="9649" spans="1:13" x14ac:dyDescent="0.25">
      <c r="A9649" s="8"/>
      <c r="C9649" s="5"/>
      <c r="M9649" s="9"/>
    </row>
    <row r="9650" spans="1:13" x14ac:dyDescent="0.25">
      <c r="A9650" s="8"/>
      <c r="C9650" s="5"/>
      <c r="M9650" s="9"/>
    </row>
    <row r="9651" spans="1:13" x14ac:dyDescent="0.25">
      <c r="A9651" s="8"/>
      <c r="C9651" s="5"/>
      <c r="M9651" s="9"/>
    </row>
    <row r="9652" spans="1:13" x14ac:dyDescent="0.25">
      <c r="A9652" s="8"/>
      <c r="C9652" s="5"/>
      <c r="M9652" s="9"/>
    </row>
    <row r="9653" spans="1:13" x14ac:dyDescent="0.25">
      <c r="A9653" s="8"/>
      <c r="C9653" s="5"/>
      <c r="M9653" s="9"/>
    </row>
    <row r="9654" spans="1:13" x14ac:dyDescent="0.25">
      <c r="A9654" s="8"/>
      <c r="C9654" s="5"/>
      <c r="M9654" s="9"/>
    </row>
    <row r="9655" spans="1:13" x14ac:dyDescent="0.25">
      <c r="A9655" s="8"/>
      <c r="C9655" s="5"/>
      <c r="M9655" s="9"/>
    </row>
    <row r="9656" spans="1:13" x14ac:dyDescent="0.25">
      <c r="A9656" s="8"/>
      <c r="C9656" s="5"/>
      <c r="M9656" s="9"/>
    </row>
    <row r="9657" spans="1:13" x14ac:dyDescent="0.25">
      <c r="A9657" s="8"/>
      <c r="C9657" s="5"/>
      <c r="M9657" s="9"/>
    </row>
    <row r="9658" spans="1:13" x14ac:dyDescent="0.25">
      <c r="A9658" s="8"/>
      <c r="C9658" s="5"/>
      <c r="M9658" s="9"/>
    </row>
    <row r="9659" spans="1:13" x14ac:dyDescent="0.25">
      <c r="A9659" s="8"/>
      <c r="C9659" s="5"/>
      <c r="M9659" s="9"/>
    </row>
    <row r="9660" spans="1:13" x14ac:dyDescent="0.25">
      <c r="A9660" s="8"/>
      <c r="C9660" s="5"/>
      <c r="M9660" s="9"/>
    </row>
    <row r="9661" spans="1:13" x14ac:dyDescent="0.25">
      <c r="A9661" s="8"/>
      <c r="C9661" s="5"/>
      <c r="M9661" s="9"/>
    </row>
    <row r="9662" spans="1:13" x14ac:dyDescent="0.25">
      <c r="A9662" s="8"/>
      <c r="C9662" s="5"/>
      <c r="M9662" s="9"/>
    </row>
    <row r="9663" spans="1:13" x14ac:dyDescent="0.25">
      <c r="A9663" s="8"/>
      <c r="C9663" s="5"/>
      <c r="M9663" s="9"/>
    </row>
    <row r="9664" spans="1:13" x14ac:dyDescent="0.25">
      <c r="A9664" s="8"/>
      <c r="C9664" s="5"/>
      <c r="M9664" s="9"/>
    </row>
    <row r="9665" spans="1:13" x14ac:dyDescent="0.25">
      <c r="A9665" s="8"/>
      <c r="C9665" s="5"/>
      <c r="M9665" s="9"/>
    </row>
    <row r="9666" spans="1:13" x14ac:dyDescent="0.25">
      <c r="A9666" s="8"/>
      <c r="C9666" s="5"/>
      <c r="M9666" s="9"/>
    </row>
    <row r="9667" spans="1:13" x14ac:dyDescent="0.25">
      <c r="A9667" s="8"/>
      <c r="C9667" s="5"/>
      <c r="M9667" s="9"/>
    </row>
    <row r="9668" spans="1:13" x14ac:dyDescent="0.25">
      <c r="A9668" s="8"/>
      <c r="C9668" s="5"/>
      <c r="M9668" s="9"/>
    </row>
    <row r="9669" spans="1:13" x14ac:dyDescent="0.25">
      <c r="A9669" s="8"/>
      <c r="C9669" s="5"/>
      <c r="M9669" s="9"/>
    </row>
    <row r="9670" spans="1:13" x14ac:dyDescent="0.25">
      <c r="A9670" s="8"/>
      <c r="C9670" s="5"/>
      <c r="M9670" s="9"/>
    </row>
    <row r="9671" spans="1:13" x14ac:dyDescent="0.25">
      <c r="A9671" s="8"/>
      <c r="C9671" s="5"/>
      <c r="M9671" s="9"/>
    </row>
    <row r="9672" spans="1:13" x14ac:dyDescent="0.25">
      <c r="A9672" s="8"/>
      <c r="C9672" s="5"/>
      <c r="M9672" s="9"/>
    </row>
    <row r="9673" spans="1:13" x14ac:dyDescent="0.25">
      <c r="A9673" s="8"/>
      <c r="C9673" s="5"/>
      <c r="M9673" s="9"/>
    </row>
    <row r="9674" spans="1:13" x14ac:dyDescent="0.25">
      <c r="A9674" s="8"/>
      <c r="C9674" s="5"/>
      <c r="M9674" s="9"/>
    </row>
    <row r="9675" spans="1:13" x14ac:dyDescent="0.25">
      <c r="A9675" s="8"/>
      <c r="C9675" s="5"/>
      <c r="M9675" s="9"/>
    </row>
    <row r="9676" spans="1:13" x14ac:dyDescent="0.25">
      <c r="A9676" s="8"/>
      <c r="C9676" s="5"/>
      <c r="M9676" s="9"/>
    </row>
    <row r="9677" spans="1:13" x14ac:dyDescent="0.25">
      <c r="A9677" s="8"/>
      <c r="C9677" s="5"/>
      <c r="M9677" s="9"/>
    </row>
    <row r="9678" spans="1:13" x14ac:dyDescent="0.25">
      <c r="A9678" s="8"/>
      <c r="C9678" s="5"/>
      <c r="M9678" s="9"/>
    </row>
    <row r="9679" spans="1:13" x14ac:dyDescent="0.25">
      <c r="A9679" s="8"/>
      <c r="C9679" s="5"/>
      <c r="M9679" s="9"/>
    </row>
    <row r="9680" spans="1:13" x14ac:dyDescent="0.25">
      <c r="A9680" s="8"/>
      <c r="C9680" s="5"/>
      <c r="M9680" s="9"/>
    </row>
    <row r="9681" spans="1:13" x14ac:dyDescent="0.25">
      <c r="A9681" s="8"/>
      <c r="C9681" s="5"/>
      <c r="M9681" s="9"/>
    </row>
    <row r="9682" spans="1:13" x14ac:dyDescent="0.25">
      <c r="A9682" s="8"/>
      <c r="C9682" s="5"/>
      <c r="M9682" s="9"/>
    </row>
    <row r="9683" spans="1:13" x14ac:dyDescent="0.25">
      <c r="A9683" s="8"/>
      <c r="C9683" s="5"/>
      <c r="M9683" s="9"/>
    </row>
    <row r="9684" spans="1:13" x14ac:dyDescent="0.25">
      <c r="A9684" s="8"/>
      <c r="C9684" s="5"/>
      <c r="M9684" s="9"/>
    </row>
    <row r="9685" spans="1:13" x14ac:dyDescent="0.25">
      <c r="A9685" s="8"/>
      <c r="C9685" s="5"/>
      <c r="M9685" s="9"/>
    </row>
    <row r="9686" spans="1:13" x14ac:dyDescent="0.25">
      <c r="A9686" s="8"/>
      <c r="C9686" s="5"/>
      <c r="M9686" s="9"/>
    </row>
    <row r="9687" spans="1:13" x14ac:dyDescent="0.25">
      <c r="A9687" s="8"/>
      <c r="C9687" s="5"/>
      <c r="M9687" s="9"/>
    </row>
    <row r="9688" spans="1:13" x14ac:dyDescent="0.25">
      <c r="A9688" s="8"/>
      <c r="C9688" s="5"/>
      <c r="M9688" s="9"/>
    </row>
    <row r="9689" spans="1:13" x14ac:dyDescent="0.25">
      <c r="A9689" s="8"/>
      <c r="C9689" s="5"/>
      <c r="M9689" s="9"/>
    </row>
    <row r="9690" spans="1:13" x14ac:dyDescent="0.25">
      <c r="A9690" s="8"/>
      <c r="C9690" s="5"/>
      <c r="M9690" s="9"/>
    </row>
    <row r="9691" spans="1:13" x14ac:dyDescent="0.25">
      <c r="A9691" s="8"/>
      <c r="C9691" s="5"/>
      <c r="M9691" s="9"/>
    </row>
    <row r="9692" spans="1:13" x14ac:dyDescent="0.25">
      <c r="A9692" s="8"/>
      <c r="C9692" s="5"/>
      <c r="M9692" s="9"/>
    </row>
    <row r="9693" spans="1:13" x14ac:dyDescent="0.25">
      <c r="A9693" s="8"/>
      <c r="C9693" s="5"/>
      <c r="M9693" s="9"/>
    </row>
    <row r="9694" spans="1:13" x14ac:dyDescent="0.25">
      <c r="A9694" s="8"/>
      <c r="C9694" s="5"/>
      <c r="M9694" s="9"/>
    </row>
    <row r="9695" spans="1:13" x14ac:dyDescent="0.25">
      <c r="A9695" s="8"/>
      <c r="C9695" s="5"/>
      <c r="M9695" s="9"/>
    </row>
    <row r="9696" spans="1:13" x14ac:dyDescent="0.25">
      <c r="A9696" s="8"/>
      <c r="C9696" s="5"/>
      <c r="M9696" s="9"/>
    </row>
    <row r="9697" spans="1:13" x14ac:dyDescent="0.25">
      <c r="A9697" s="8"/>
      <c r="C9697" s="5"/>
      <c r="M9697" s="9"/>
    </row>
    <row r="9698" spans="1:13" x14ac:dyDescent="0.25">
      <c r="A9698" s="8"/>
      <c r="C9698" s="5"/>
      <c r="M9698" s="9"/>
    </row>
    <row r="9699" spans="1:13" x14ac:dyDescent="0.25">
      <c r="A9699" s="8"/>
      <c r="C9699" s="5"/>
      <c r="M9699" s="9"/>
    </row>
    <row r="9700" spans="1:13" x14ac:dyDescent="0.25">
      <c r="A9700" s="8"/>
      <c r="C9700" s="5"/>
      <c r="M9700" s="9"/>
    </row>
    <row r="9701" spans="1:13" x14ac:dyDescent="0.25">
      <c r="A9701" s="8"/>
      <c r="C9701" s="5"/>
      <c r="M9701" s="9"/>
    </row>
    <row r="9702" spans="1:13" x14ac:dyDescent="0.25">
      <c r="A9702" s="8"/>
      <c r="C9702" s="5"/>
      <c r="M9702" s="9"/>
    </row>
    <row r="9703" spans="1:13" x14ac:dyDescent="0.25">
      <c r="A9703" s="8"/>
      <c r="C9703" s="5"/>
      <c r="M9703" s="9"/>
    </row>
    <row r="9704" spans="1:13" x14ac:dyDescent="0.25">
      <c r="A9704" s="8"/>
      <c r="C9704" s="5"/>
      <c r="M9704" s="9"/>
    </row>
    <row r="9705" spans="1:13" x14ac:dyDescent="0.25">
      <c r="A9705" s="8"/>
      <c r="C9705" s="5"/>
      <c r="M9705" s="9"/>
    </row>
    <row r="9706" spans="1:13" x14ac:dyDescent="0.25">
      <c r="A9706" s="8"/>
      <c r="C9706" s="5"/>
      <c r="M9706" s="9"/>
    </row>
    <row r="9707" spans="1:13" x14ac:dyDescent="0.25">
      <c r="A9707" s="8"/>
      <c r="C9707" s="5"/>
      <c r="M9707" s="9"/>
    </row>
    <row r="9708" spans="1:13" x14ac:dyDescent="0.25">
      <c r="A9708" s="8"/>
      <c r="C9708" s="5"/>
      <c r="M9708" s="9"/>
    </row>
    <row r="9709" spans="1:13" x14ac:dyDescent="0.25">
      <c r="A9709" s="8"/>
      <c r="C9709" s="5"/>
      <c r="M9709" s="9"/>
    </row>
    <row r="9710" spans="1:13" x14ac:dyDescent="0.25">
      <c r="A9710" s="8"/>
      <c r="C9710" s="5"/>
      <c r="M9710" s="9"/>
    </row>
    <row r="9711" spans="1:13" x14ac:dyDescent="0.25">
      <c r="A9711" s="8"/>
      <c r="C9711" s="5"/>
      <c r="M9711" s="9"/>
    </row>
    <row r="9712" spans="1:13" x14ac:dyDescent="0.25">
      <c r="A9712" s="8"/>
      <c r="C9712" s="5"/>
      <c r="M9712" s="9"/>
    </row>
    <row r="9713" spans="1:13" x14ac:dyDescent="0.25">
      <c r="A9713" s="8"/>
      <c r="C9713" s="5"/>
      <c r="M9713" s="9"/>
    </row>
    <row r="9714" spans="1:13" x14ac:dyDescent="0.25">
      <c r="A9714" s="8"/>
      <c r="C9714" s="5"/>
      <c r="M9714" s="9"/>
    </row>
    <row r="9715" spans="1:13" x14ac:dyDescent="0.25">
      <c r="A9715" s="8"/>
      <c r="C9715" s="5"/>
      <c r="M9715" s="9"/>
    </row>
    <row r="9716" spans="1:13" x14ac:dyDescent="0.25">
      <c r="A9716" s="8"/>
      <c r="C9716" s="5"/>
      <c r="M9716" s="9"/>
    </row>
    <row r="9717" spans="1:13" x14ac:dyDescent="0.25">
      <c r="A9717" s="8"/>
      <c r="C9717" s="5"/>
      <c r="M9717" s="9"/>
    </row>
    <row r="9718" spans="1:13" x14ac:dyDescent="0.25">
      <c r="A9718" s="8"/>
      <c r="C9718" s="5"/>
      <c r="M9718" s="9"/>
    </row>
    <row r="9719" spans="1:13" x14ac:dyDescent="0.25">
      <c r="A9719" s="8"/>
      <c r="C9719" s="5"/>
      <c r="M9719" s="9"/>
    </row>
    <row r="9720" spans="1:13" x14ac:dyDescent="0.25">
      <c r="A9720" s="8"/>
      <c r="C9720" s="5"/>
      <c r="M9720" s="9"/>
    </row>
    <row r="9721" spans="1:13" x14ac:dyDescent="0.25">
      <c r="A9721" s="8"/>
      <c r="C9721" s="5"/>
      <c r="M9721" s="9"/>
    </row>
    <row r="9722" spans="1:13" x14ac:dyDescent="0.25">
      <c r="A9722" s="8"/>
      <c r="C9722" s="5"/>
      <c r="M9722" s="9"/>
    </row>
    <row r="9723" spans="1:13" x14ac:dyDescent="0.25">
      <c r="A9723" s="8"/>
      <c r="C9723" s="5"/>
      <c r="M9723" s="9"/>
    </row>
    <row r="9724" spans="1:13" x14ac:dyDescent="0.25">
      <c r="A9724" s="8"/>
      <c r="C9724" s="5"/>
      <c r="M9724" s="9"/>
    </row>
    <row r="9725" spans="1:13" x14ac:dyDescent="0.25">
      <c r="A9725" s="8"/>
      <c r="C9725" s="5"/>
      <c r="M9725" s="9"/>
    </row>
    <row r="9726" spans="1:13" x14ac:dyDescent="0.25">
      <c r="A9726" s="8"/>
      <c r="C9726" s="5"/>
      <c r="M9726" s="9"/>
    </row>
    <row r="9727" spans="1:13" x14ac:dyDescent="0.25">
      <c r="A9727" s="8"/>
      <c r="C9727" s="5"/>
      <c r="M9727" s="9"/>
    </row>
    <row r="9728" spans="1:13" x14ac:dyDescent="0.25">
      <c r="A9728" s="8"/>
      <c r="C9728" s="5"/>
      <c r="M9728" s="9"/>
    </row>
    <row r="9729" spans="1:13" x14ac:dyDescent="0.25">
      <c r="A9729" s="8"/>
      <c r="C9729" s="5"/>
      <c r="M9729" s="9"/>
    </row>
    <row r="9730" spans="1:13" x14ac:dyDescent="0.25">
      <c r="A9730" s="8"/>
      <c r="C9730" s="5"/>
      <c r="M9730" s="9"/>
    </row>
    <row r="9731" spans="1:13" x14ac:dyDescent="0.25">
      <c r="A9731" s="8"/>
      <c r="C9731" s="5"/>
      <c r="M9731" s="9"/>
    </row>
    <row r="9732" spans="1:13" x14ac:dyDescent="0.25">
      <c r="A9732" s="8"/>
      <c r="C9732" s="5"/>
      <c r="M9732" s="9"/>
    </row>
    <row r="9733" spans="1:13" x14ac:dyDescent="0.25">
      <c r="A9733" s="8"/>
      <c r="C9733" s="5"/>
      <c r="M9733" s="9"/>
    </row>
    <row r="9734" spans="1:13" x14ac:dyDescent="0.25">
      <c r="A9734" s="8"/>
      <c r="C9734" s="5"/>
      <c r="M9734" s="9"/>
    </row>
    <row r="9735" spans="1:13" x14ac:dyDescent="0.25">
      <c r="A9735" s="8"/>
      <c r="C9735" s="5"/>
      <c r="M9735" s="9"/>
    </row>
    <row r="9736" spans="1:13" x14ac:dyDescent="0.25">
      <c r="A9736" s="8"/>
      <c r="C9736" s="5"/>
      <c r="M9736" s="9"/>
    </row>
    <row r="9737" spans="1:13" x14ac:dyDescent="0.25">
      <c r="A9737" s="8"/>
      <c r="C9737" s="5"/>
      <c r="M9737" s="9"/>
    </row>
    <row r="9738" spans="1:13" x14ac:dyDescent="0.25">
      <c r="A9738" s="8"/>
      <c r="C9738" s="5"/>
      <c r="M9738" s="9"/>
    </row>
    <row r="9739" spans="1:13" x14ac:dyDescent="0.25">
      <c r="A9739" s="8"/>
      <c r="C9739" s="5"/>
      <c r="M9739" s="9"/>
    </row>
    <row r="9740" spans="1:13" x14ac:dyDescent="0.25">
      <c r="A9740" s="8"/>
      <c r="C9740" s="5"/>
      <c r="M9740" s="9"/>
    </row>
    <row r="9741" spans="1:13" x14ac:dyDescent="0.25">
      <c r="A9741" s="8"/>
      <c r="C9741" s="5"/>
      <c r="M9741" s="9"/>
    </row>
    <row r="9742" spans="1:13" x14ac:dyDescent="0.25">
      <c r="A9742" s="8"/>
      <c r="C9742" s="5"/>
      <c r="M9742" s="9"/>
    </row>
    <row r="9743" spans="1:13" x14ac:dyDescent="0.25">
      <c r="A9743" s="8"/>
      <c r="C9743" s="5"/>
      <c r="M9743" s="9"/>
    </row>
    <row r="9744" spans="1:13" x14ac:dyDescent="0.25">
      <c r="A9744" s="8"/>
      <c r="C9744" s="5"/>
      <c r="M9744" s="9"/>
    </row>
    <row r="9745" spans="1:13" x14ac:dyDescent="0.25">
      <c r="A9745" s="8"/>
      <c r="C9745" s="5"/>
      <c r="M9745" s="9"/>
    </row>
    <row r="9746" spans="1:13" x14ac:dyDescent="0.25">
      <c r="A9746" s="8"/>
      <c r="C9746" s="5"/>
      <c r="M9746" s="9"/>
    </row>
    <row r="9747" spans="1:13" x14ac:dyDescent="0.25">
      <c r="A9747" s="8"/>
      <c r="C9747" s="5"/>
      <c r="M9747" s="9"/>
    </row>
    <row r="9748" spans="1:13" x14ac:dyDescent="0.25">
      <c r="A9748" s="8"/>
      <c r="C9748" s="5"/>
      <c r="M9748" s="9"/>
    </row>
    <row r="9749" spans="1:13" x14ac:dyDescent="0.25">
      <c r="A9749" s="8"/>
      <c r="C9749" s="5"/>
      <c r="M9749" s="9"/>
    </row>
    <row r="9750" spans="1:13" x14ac:dyDescent="0.25">
      <c r="A9750" s="8"/>
      <c r="C9750" s="5"/>
      <c r="M9750" s="9"/>
    </row>
    <row r="9751" spans="1:13" x14ac:dyDescent="0.25">
      <c r="A9751" s="8"/>
      <c r="C9751" s="5"/>
      <c r="M9751" s="9"/>
    </row>
    <row r="9752" spans="1:13" x14ac:dyDescent="0.25">
      <c r="A9752" s="8"/>
      <c r="C9752" s="5"/>
      <c r="M9752" s="9"/>
    </row>
    <row r="9753" spans="1:13" x14ac:dyDescent="0.25">
      <c r="A9753" s="8"/>
      <c r="C9753" s="5"/>
      <c r="M9753" s="9"/>
    </row>
    <row r="9754" spans="1:13" x14ac:dyDescent="0.25">
      <c r="A9754" s="8"/>
      <c r="C9754" s="5"/>
      <c r="M9754" s="9"/>
    </row>
    <row r="9755" spans="1:13" x14ac:dyDescent="0.25">
      <c r="A9755" s="8"/>
      <c r="C9755" s="5"/>
      <c r="M9755" s="9"/>
    </row>
    <row r="9756" spans="1:13" x14ac:dyDescent="0.25">
      <c r="A9756" s="8"/>
      <c r="C9756" s="5"/>
      <c r="M9756" s="9"/>
    </row>
    <row r="9757" spans="1:13" x14ac:dyDescent="0.25">
      <c r="A9757" s="8"/>
      <c r="C9757" s="5"/>
      <c r="M9757" s="9"/>
    </row>
    <row r="9758" spans="1:13" x14ac:dyDescent="0.25">
      <c r="A9758" s="8"/>
      <c r="C9758" s="5"/>
      <c r="M9758" s="9"/>
    </row>
    <row r="9759" spans="1:13" x14ac:dyDescent="0.25">
      <c r="A9759" s="8"/>
      <c r="C9759" s="5"/>
      <c r="M9759" s="9"/>
    </row>
    <row r="9760" spans="1:13" x14ac:dyDescent="0.25">
      <c r="A9760" s="8"/>
      <c r="C9760" s="5"/>
      <c r="M9760" s="9"/>
    </row>
    <row r="9761" spans="1:13" x14ac:dyDescent="0.25">
      <c r="A9761" s="8"/>
      <c r="C9761" s="5"/>
      <c r="M9761" s="9"/>
    </row>
    <row r="9762" spans="1:13" x14ac:dyDescent="0.25">
      <c r="A9762" s="8"/>
      <c r="C9762" s="5"/>
      <c r="M9762" s="9"/>
    </row>
    <row r="9763" spans="1:13" x14ac:dyDescent="0.25">
      <c r="A9763" s="8"/>
      <c r="C9763" s="5"/>
      <c r="M9763" s="9"/>
    </row>
    <row r="9764" spans="1:13" x14ac:dyDescent="0.25">
      <c r="A9764" s="8"/>
      <c r="C9764" s="5"/>
      <c r="M9764" s="9"/>
    </row>
    <row r="9765" spans="1:13" x14ac:dyDescent="0.25">
      <c r="A9765" s="8"/>
      <c r="C9765" s="5"/>
      <c r="M9765" s="9"/>
    </row>
    <row r="9766" spans="1:13" x14ac:dyDescent="0.25">
      <c r="A9766" s="8"/>
      <c r="C9766" s="5"/>
      <c r="M9766" s="9"/>
    </row>
    <row r="9767" spans="1:13" x14ac:dyDescent="0.25">
      <c r="A9767" s="8"/>
      <c r="C9767" s="5"/>
      <c r="M9767" s="9"/>
    </row>
    <row r="9768" spans="1:13" x14ac:dyDescent="0.25">
      <c r="A9768" s="8"/>
      <c r="C9768" s="5"/>
      <c r="M9768" s="9"/>
    </row>
    <row r="9769" spans="1:13" x14ac:dyDescent="0.25">
      <c r="A9769" s="8"/>
      <c r="C9769" s="5"/>
      <c r="M9769" s="9"/>
    </row>
    <row r="9770" spans="1:13" x14ac:dyDescent="0.25">
      <c r="A9770" s="8"/>
      <c r="C9770" s="5"/>
      <c r="M9770" s="9"/>
    </row>
    <row r="9771" spans="1:13" x14ac:dyDescent="0.25">
      <c r="A9771" s="8"/>
      <c r="C9771" s="5"/>
      <c r="M9771" s="9"/>
    </row>
    <row r="9772" spans="1:13" x14ac:dyDescent="0.25">
      <c r="A9772" s="8"/>
      <c r="C9772" s="5"/>
      <c r="M9772" s="9"/>
    </row>
    <row r="9773" spans="1:13" x14ac:dyDescent="0.25">
      <c r="A9773" s="8"/>
      <c r="C9773" s="5"/>
      <c r="M9773" s="9"/>
    </row>
    <row r="9774" spans="1:13" x14ac:dyDescent="0.25">
      <c r="A9774" s="8"/>
      <c r="C9774" s="5"/>
      <c r="M9774" s="9"/>
    </row>
    <row r="9775" spans="1:13" x14ac:dyDescent="0.25">
      <c r="A9775" s="8"/>
      <c r="C9775" s="5"/>
      <c r="M9775" s="9"/>
    </row>
    <row r="9776" spans="1:13" x14ac:dyDescent="0.25">
      <c r="A9776" s="8"/>
      <c r="C9776" s="5"/>
      <c r="M9776" s="9"/>
    </row>
    <row r="9777" spans="1:13" x14ac:dyDescent="0.25">
      <c r="A9777" s="8"/>
      <c r="C9777" s="5"/>
      <c r="M9777" s="9"/>
    </row>
    <row r="9778" spans="1:13" x14ac:dyDescent="0.25">
      <c r="A9778" s="8"/>
      <c r="C9778" s="5"/>
      <c r="M9778" s="9"/>
    </row>
    <row r="9779" spans="1:13" x14ac:dyDescent="0.25">
      <c r="A9779" s="8"/>
      <c r="C9779" s="5"/>
      <c r="M9779" s="9"/>
    </row>
    <row r="9780" spans="1:13" x14ac:dyDescent="0.25">
      <c r="A9780" s="8"/>
      <c r="C9780" s="5"/>
      <c r="M9780" s="9"/>
    </row>
    <row r="9781" spans="1:13" x14ac:dyDescent="0.25">
      <c r="A9781" s="8"/>
      <c r="C9781" s="5"/>
      <c r="M9781" s="9"/>
    </row>
    <row r="9782" spans="1:13" x14ac:dyDescent="0.25">
      <c r="A9782" s="8"/>
      <c r="C9782" s="5"/>
      <c r="M9782" s="9"/>
    </row>
    <row r="9783" spans="1:13" x14ac:dyDescent="0.25">
      <c r="A9783" s="8"/>
      <c r="C9783" s="5"/>
      <c r="M9783" s="9"/>
    </row>
    <row r="9784" spans="1:13" x14ac:dyDescent="0.25">
      <c r="A9784" s="8"/>
      <c r="C9784" s="5"/>
      <c r="M9784" s="9"/>
    </row>
    <row r="9785" spans="1:13" x14ac:dyDescent="0.25">
      <c r="A9785" s="8"/>
      <c r="C9785" s="5"/>
      <c r="M9785" s="9"/>
    </row>
    <row r="9786" spans="1:13" x14ac:dyDescent="0.25">
      <c r="A9786" s="8"/>
      <c r="C9786" s="5"/>
      <c r="M9786" s="9"/>
    </row>
    <row r="9787" spans="1:13" x14ac:dyDescent="0.25">
      <c r="A9787" s="8"/>
      <c r="C9787" s="5"/>
      <c r="M9787" s="9"/>
    </row>
    <row r="9788" spans="1:13" x14ac:dyDescent="0.25">
      <c r="A9788" s="8"/>
      <c r="C9788" s="5"/>
      <c r="M9788" s="9"/>
    </row>
    <row r="9789" spans="1:13" x14ac:dyDescent="0.25">
      <c r="A9789" s="8"/>
      <c r="C9789" s="5"/>
      <c r="M9789" s="9"/>
    </row>
    <row r="9790" spans="1:13" x14ac:dyDescent="0.25">
      <c r="A9790" s="8"/>
      <c r="C9790" s="5"/>
      <c r="M9790" s="9"/>
    </row>
    <row r="9791" spans="1:13" x14ac:dyDescent="0.25">
      <c r="A9791" s="8"/>
      <c r="C9791" s="5"/>
      <c r="M9791" s="9"/>
    </row>
    <row r="9792" spans="1:13" x14ac:dyDescent="0.25">
      <c r="A9792" s="8"/>
      <c r="C9792" s="5"/>
      <c r="M9792" s="9"/>
    </row>
    <row r="9793" spans="1:13" x14ac:dyDescent="0.25">
      <c r="A9793" s="8"/>
      <c r="C9793" s="5"/>
      <c r="M9793" s="9"/>
    </row>
    <row r="9794" spans="1:13" x14ac:dyDescent="0.25">
      <c r="A9794" s="8"/>
      <c r="C9794" s="5"/>
      <c r="M9794" s="9"/>
    </row>
    <row r="9795" spans="1:13" x14ac:dyDescent="0.25">
      <c r="A9795" s="8"/>
      <c r="C9795" s="5"/>
      <c r="M9795" s="9"/>
    </row>
    <row r="9796" spans="1:13" x14ac:dyDescent="0.25">
      <c r="A9796" s="8"/>
      <c r="C9796" s="5"/>
      <c r="M9796" s="9"/>
    </row>
    <row r="9797" spans="1:13" x14ac:dyDescent="0.25">
      <c r="A9797" s="8"/>
      <c r="C9797" s="5"/>
      <c r="M9797" s="9"/>
    </row>
    <row r="9798" spans="1:13" x14ac:dyDescent="0.25">
      <c r="A9798" s="8"/>
      <c r="C9798" s="5"/>
      <c r="M9798" s="9"/>
    </row>
    <row r="9799" spans="1:13" x14ac:dyDescent="0.25">
      <c r="A9799" s="8"/>
      <c r="C9799" s="5"/>
      <c r="M9799" s="9"/>
    </row>
    <row r="9800" spans="1:13" x14ac:dyDescent="0.25">
      <c r="A9800" s="8"/>
      <c r="C9800" s="5"/>
      <c r="M9800" s="9"/>
    </row>
    <row r="9801" spans="1:13" x14ac:dyDescent="0.25">
      <c r="A9801" s="8"/>
      <c r="C9801" s="5"/>
      <c r="M9801" s="9"/>
    </row>
    <row r="9802" spans="1:13" x14ac:dyDescent="0.25">
      <c r="A9802" s="8"/>
      <c r="C9802" s="5"/>
      <c r="M9802" s="9"/>
    </row>
    <row r="9803" spans="1:13" x14ac:dyDescent="0.25">
      <c r="A9803" s="8"/>
      <c r="C9803" s="5"/>
      <c r="M9803" s="9"/>
    </row>
    <row r="9804" spans="1:13" x14ac:dyDescent="0.25">
      <c r="A9804" s="8"/>
      <c r="C9804" s="5"/>
      <c r="M9804" s="9"/>
    </row>
    <row r="9805" spans="1:13" x14ac:dyDescent="0.25">
      <c r="A9805" s="8"/>
      <c r="C9805" s="5"/>
      <c r="M9805" s="9"/>
    </row>
    <row r="9806" spans="1:13" x14ac:dyDescent="0.25">
      <c r="A9806" s="8"/>
      <c r="C9806" s="5"/>
      <c r="M9806" s="9"/>
    </row>
    <row r="9807" spans="1:13" x14ac:dyDescent="0.25">
      <c r="A9807" s="8"/>
      <c r="C9807" s="5"/>
      <c r="M9807" s="9"/>
    </row>
    <row r="9808" spans="1:13" x14ac:dyDescent="0.25">
      <c r="A9808" s="8"/>
      <c r="C9808" s="5"/>
      <c r="M9808" s="9"/>
    </row>
    <row r="9809" spans="1:13" x14ac:dyDescent="0.25">
      <c r="A9809" s="8"/>
      <c r="C9809" s="5"/>
      <c r="M9809" s="9"/>
    </row>
    <row r="9810" spans="1:13" x14ac:dyDescent="0.25">
      <c r="A9810" s="8"/>
      <c r="C9810" s="5"/>
      <c r="M9810" s="9"/>
    </row>
    <row r="9811" spans="1:13" x14ac:dyDescent="0.25">
      <c r="A9811" s="8"/>
      <c r="C9811" s="5"/>
      <c r="M9811" s="9"/>
    </row>
    <row r="9812" spans="1:13" x14ac:dyDescent="0.25">
      <c r="A9812" s="8"/>
      <c r="C9812" s="5"/>
      <c r="M9812" s="9"/>
    </row>
    <row r="9813" spans="1:13" x14ac:dyDescent="0.25">
      <c r="A9813" s="8"/>
      <c r="C9813" s="5"/>
      <c r="M9813" s="9"/>
    </row>
    <row r="9814" spans="1:13" x14ac:dyDescent="0.25">
      <c r="A9814" s="8"/>
      <c r="C9814" s="5"/>
      <c r="M9814" s="9"/>
    </row>
    <row r="9815" spans="1:13" x14ac:dyDescent="0.25">
      <c r="A9815" s="8"/>
      <c r="C9815" s="5"/>
      <c r="M9815" s="9"/>
    </row>
    <row r="9816" spans="1:13" x14ac:dyDescent="0.25">
      <c r="A9816" s="8"/>
      <c r="C9816" s="5"/>
      <c r="M9816" s="9"/>
    </row>
    <row r="9817" spans="1:13" x14ac:dyDescent="0.25">
      <c r="A9817" s="8"/>
      <c r="C9817" s="5"/>
      <c r="M9817" s="9"/>
    </row>
    <row r="9818" spans="1:13" x14ac:dyDescent="0.25">
      <c r="A9818" s="8"/>
      <c r="C9818" s="5"/>
      <c r="M9818" s="9"/>
    </row>
    <row r="9819" spans="1:13" x14ac:dyDescent="0.25">
      <c r="A9819" s="8"/>
      <c r="C9819" s="5"/>
      <c r="M9819" s="9"/>
    </row>
    <row r="9820" spans="1:13" x14ac:dyDescent="0.25">
      <c r="A9820" s="8"/>
      <c r="C9820" s="5"/>
      <c r="M9820" s="9"/>
    </row>
    <row r="9821" spans="1:13" x14ac:dyDescent="0.25">
      <c r="A9821" s="8"/>
      <c r="C9821" s="5"/>
      <c r="M9821" s="9"/>
    </row>
    <row r="9822" spans="1:13" x14ac:dyDescent="0.25">
      <c r="A9822" s="8"/>
      <c r="C9822" s="5"/>
      <c r="M9822" s="9"/>
    </row>
    <row r="9823" spans="1:13" x14ac:dyDescent="0.25">
      <c r="A9823" s="8"/>
      <c r="C9823" s="5"/>
      <c r="M9823" s="9"/>
    </row>
    <row r="9824" spans="1:13" x14ac:dyDescent="0.25">
      <c r="A9824" s="8"/>
      <c r="C9824" s="5"/>
      <c r="M9824" s="9"/>
    </row>
    <row r="9825" spans="1:13" x14ac:dyDescent="0.25">
      <c r="A9825" s="8"/>
      <c r="C9825" s="5"/>
      <c r="M9825" s="9"/>
    </row>
    <row r="9826" spans="1:13" x14ac:dyDescent="0.25">
      <c r="A9826" s="8"/>
      <c r="C9826" s="5"/>
      <c r="M9826" s="9"/>
    </row>
    <row r="9827" spans="1:13" x14ac:dyDescent="0.25">
      <c r="A9827" s="8"/>
      <c r="C9827" s="5"/>
      <c r="M9827" s="9"/>
    </row>
    <row r="9828" spans="1:13" x14ac:dyDescent="0.25">
      <c r="A9828" s="8"/>
      <c r="C9828" s="5"/>
      <c r="M9828" s="9"/>
    </row>
    <row r="9829" spans="1:13" x14ac:dyDescent="0.25">
      <c r="A9829" s="8"/>
      <c r="C9829" s="5"/>
      <c r="M9829" s="9"/>
    </row>
    <row r="9830" spans="1:13" x14ac:dyDescent="0.25">
      <c r="A9830" s="8"/>
      <c r="C9830" s="5"/>
      <c r="M9830" s="9"/>
    </row>
    <row r="9831" spans="1:13" x14ac:dyDescent="0.25">
      <c r="A9831" s="8"/>
      <c r="C9831" s="5"/>
      <c r="M9831" s="9"/>
    </row>
    <row r="9832" spans="1:13" x14ac:dyDescent="0.25">
      <c r="A9832" s="8"/>
      <c r="C9832" s="5"/>
      <c r="M9832" s="9"/>
    </row>
    <row r="9833" spans="1:13" x14ac:dyDescent="0.25">
      <c r="A9833" s="8"/>
      <c r="C9833" s="5"/>
      <c r="M9833" s="9"/>
    </row>
    <row r="9834" spans="1:13" x14ac:dyDescent="0.25">
      <c r="A9834" s="8"/>
      <c r="C9834" s="5"/>
      <c r="M9834" s="9"/>
    </row>
    <row r="9835" spans="1:13" x14ac:dyDescent="0.25">
      <c r="A9835" s="8"/>
      <c r="C9835" s="5"/>
      <c r="M9835" s="9"/>
    </row>
    <row r="9836" spans="1:13" x14ac:dyDescent="0.25">
      <c r="A9836" s="8"/>
      <c r="C9836" s="5"/>
      <c r="M9836" s="9"/>
    </row>
    <row r="9837" spans="1:13" x14ac:dyDescent="0.25">
      <c r="A9837" s="8"/>
      <c r="C9837" s="5"/>
      <c r="M9837" s="9"/>
    </row>
    <row r="9838" spans="1:13" x14ac:dyDescent="0.25">
      <c r="A9838" s="8"/>
      <c r="C9838" s="5"/>
      <c r="M9838" s="9"/>
    </row>
    <row r="9839" spans="1:13" x14ac:dyDescent="0.25">
      <c r="A9839" s="8"/>
      <c r="C9839" s="5"/>
      <c r="M9839" s="9"/>
    </row>
    <row r="9840" spans="1:13" x14ac:dyDescent="0.25">
      <c r="A9840" s="8"/>
      <c r="C9840" s="5"/>
      <c r="M9840" s="9"/>
    </row>
    <row r="9841" spans="1:13" x14ac:dyDescent="0.25">
      <c r="A9841" s="8"/>
      <c r="C9841" s="5"/>
      <c r="M9841" s="9"/>
    </row>
    <row r="9842" spans="1:13" x14ac:dyDescent="0.25">
      <c r="A9842" s="8"/>
      <c r="C9842" s="5"/>
      <c r="M9842" s="9"/>
    </row>
    <row r="9843" spans="1:13" x14ac:dyDescent="0.25">
      <c r="A9843" s="8"/>
      <c r="C9843" s="5"/>
      <c r="M9843" s="9"/>
    </row>
    <row r="9844" spans="1:13" x14ac:dyDescent="0.25">
      <c r="A9844" s="8"/>
      <c r="C9844" s="5"/>
      <c r="M9844" s="9"/>
    </row>
    <row r="9845" spans="1:13" x14ac:dyDescent="0.25">
      <c r="A9845" s="8"/>
      <c r="C9845" s="5"/>
      <c r="M9845" s="9"/>
    </row>
    <row r="9846" spans="1:13" x14ac:dyDescent="0.25">
      <c r="A9846" s="8"/>
      <c r="C9846" s="5"/>
      <c r="M9846" s="9"/>
    </row>
    <row r="9847" spans="1:13" x14ac:dyDescent="0.25">
      <c r="A9847" s="8"/>
      <c r="C9847" s="5"/>
      <c r="M9847" s="9"/>
    </row>
    <row r="9848" spans="1:13" x14ac:dyDescent="0.25">
      <c r="A9848" s="8"/>
      <c r="C9848" s="5"/>
      <c r="M9848" s="9"/>
    </row>
    <row r="9849" spans="1:13" x14ac:dyDescent="0.25">
      <c r="A9849" s="8"/>
      <c r="C9849" s="5"/>
      <c r="M9849" s="9"/>
    </row>
    <row r="9850" spans="1:13" x14ac:dyDescent="0.25">
      <c r="A9850" s="8"/>
      <c r="C9850" s="5"/>
      <c r="M9850" s="9"/>
    </row>
    <row r="9851" spans="1:13" x14ac:dyDescent="0.25">
      <c r="A9851" s="8"/>
      <c r="C9851" s="5"/>
      <c r="M9851" s="9"/>
    </row>
    <row r="9852" spans="1:13" x14ac:dyDescent="0.25">
      <c r="A9852" s="8"/>
      <c r="C9852" s="5"/>
      <c r="M9852" s="9"/>
    </row>
    <row r="9853" spans="1:13" x14ac:dyDescent="0.25">
      <c r="A9853" s="8"/>
      <c r="C9853" s="5"/>
      <c r="M9853" s="9"/>
    </row>
    <row r="9854" spans="1:13" x14ac:dyDescent="0.25">
      <c r="A9854" s="8"/>
      <c r="C9854" s="5"/>
      <c r="M9854" s="9"/>
    </row>
    <row r="9855" spans="1:13" x14ac:dyDescent="0.25">
      <c r="A9855" s="8"/>
      <c r="C9855" s="5"/>
      <c r="M9855" s="9"/>
    </row>
    <row r="9856" spans="1:13" x14ac:dyDescent="0.25">
      <c r="A9856" s="8"/>
      <c r="C9856" s="5"/>
      <c r="M9856" s="9"/>
    </row>
    <row r="9857" spans="1:13" x14ac:dyDescent="0.25">
      <c r="A9857" s="8"/>
      <c r="C9857" s="5"/>
      <c r="M9857" s="9"/>
    </row>
    <row r="9858" spans="1:13" x14ac:dyDescent="0.25">
      <c r="A9858" s="8"/>
      <c r="C9858" s="5"/>
      <c r="M9858" s="9"/>
    </row>
    <row r="9859" spans="1:13" x14ac:dyDescent="0.25">
      <c r="A9859" s="8"/>
      <c r="C9859" s="5"/>
      <c r="M9859" s="9"/>
    </row>
    <row r="9860" spans="1:13" x14ac:dyDescent="0.25">
      <c r="A9860" s="8"/>
      <c r="C9860" s="5"/>
      <c r="M9860" s="9"/>
    </row>
    <row r="9861" spans="1:13" x14ac:dyDescent="0.25">
      <c r="A9861" s="8"/>
      <c r="C9861" s="5"/>
      <c r="M9861" s="9"/>
    </row>
    <row r="9862" spans="1:13" x14ac:dyDescent="0.25">
      <c r="A9862" s="8"/>
      <c r="C9862" s="5"/>
      <c r="M9862" s="9"/>
    </row>
    <row r="9863" spans="1:13" x14ac:dyDescent="0.25">
      <c r="A9863" s="8"/>
      <c r="C9863" s="5"/>
      <c r="M9863" s="9"/>
    </row>
    <row r="9864" spans="1:13" x14ac:dyDescent="0.25">
      <c r="A9864" s="8"/>
      <c r="C9864" s="5"/>
      <c r="M9864" s="9"/>
    </row>
    <row r="9865" spans="1:13" x14ac:dyDescent="0.25">
      <c r="A9865" s="8"/>
      <c r="C9865" s="5"/>
      <c r="M9865" s="9"/>
    </row>
    <row r="9866" spans="1:13" x14ac:dyDescent="0.25">
      <c r="A9866" s="8"/>
      <c r="C9866" s="5"/>
      <c r="M9866" s="9"/>
    </row>
    <row r="9867" spans="1:13" x14ac:dyDescent="0.25">
      <c r="A9867" s="8"/>
      <c r="C9867" s="5"/>
      <c r="M9867" s="9"/>
    </row>
    <row r="9868" spans="1:13" x14ac:dyDescent="0.25">
      <c r="A9868" s="8"/>
      <c r="C9868" s="5"/>
      <c r="M9868" s="9"/>
    </row>
    <row r="9869" spans="1:13" x14ac:dyDescent="0.25">
      <c r="A9869" s="8"/>
      <c r="C9869" s="5"/>
      <c r="M9869" s="9"/>
    </row>
    <row r="9870" spans="1:13" x14ac:dyDescent="0.25">
      <c r="A9870" s="8"/>
      <c r="C9870" s="5"/>
      <c r="M9870" s="9"/>
    </row>
    <row r="9871" spans="1:13" x14ac:dyDescent="0.25">
      <c r="A9871" s="8"/>
      <c r="C9871" s="5"/>
      <c r="M9871" s="9"/>
    </row>
    <row r="9872" spans="1:13" x14ac:dyDescent="0.25">
      <c r="A9872" s="8"/>
      <c r="C9872" s="5"/>
      <c r="M9872" s="9"/>
    </row>
    <row r="9873" spans="1:13" x14ac:dyDescent="0.25">
      <c r="A9873" s="8"/>
      <c r="C9873" s="5"/>
      <c r="M9873" s="9"/>
    </row>
    <row r="9874" spans="1:13" x14ac:dyDescent="0.25">
      <c r="A9874" s="8"/>
      <c r="C9874" s="5"/>
      <c r="M9874" s="9"/>
    </row>
    <row r="9875" spans="1:13" x14ac:dyDescent="0.25">
      <c r="A9875" s="8"/>
      <c r="C9875" s="5"/>
      <c r="M9875" s="9"/>
    </row>
    <row r="9876" spans="1:13" x14ac:dyDescent="0.25">
      <c r="A9876" s="8"/>
      <c r="C9876" s="5"/>
      <c r="M9876" s="9"/>
    </row>
    <row r="9877" spans="1:13" x14ac:dyDescent="0.25">
      <c r="A9877" s="8"/>
      <c r="C9877" s="5"/>
      <c r="M9877" s="9"/>
    </row>
    <row r="9878" spans="1:13" x14ac:dyDescent="0.25">
      <c r="A9878" s="8"/>
      <c r="C9878" s="5"/>
      <c r="M9878" s="9"/>
    </row>
    <row r="9879" spans="1:13" x14ac:dyDescent="0.25">
      <c r="A9879" s="8"/>
      <c r="C9879" s="5"/>
      <c r="M9879" s="9"/>
    </row>
    <row r="9880" spans="1:13" x14ac:dyDescent="0.25">
      <c r="A9880" s="8"/>
      <c r="C9880" s="5"/>
      <c r="M9880" s="9"/>
    </row>
    <row r="9881" spans="1:13" x14ac:dyDescent="0.25">
      <c r="A9881" s="8"/>
      <c r="C9881" s="5"/>
      <c r="M9881" s="9"/>
    </row>
    <row r="9882" spans="1:13" x14ac:dyDescent="0.25">
      <c r="A9882" s="8"/>
      <c r="C9882" s="5"/>
      <c r="M9882" s="9"/>
    </row>
    <row r="9883" spans="1:13" x14ac:dyDescent="0.25">
      <c r="A9883" s="8"/>
      <c r="C9883" s="5"/>
      <c r="M9883" s="9"/>
    </row>
    <row r="9884" spans="1:13" x14ac:dyDescent="0.25">
      <c r="A9884" s="8"/>
      <c r="C9884" s="5"/>
      <c r="M9884" s="9"/>
    </row>
    <row r="9885" spans="1:13" x14ac:dyDescent="0.25">
      <c r="A9885" s="8"/>
      <c r="C9885" s="5"/>
      <c r="M9885" s="9"/>
    </row>
    <row r="9886" spans="1:13" x14ac:dyDescent="0.25">
      <c r="A9886" s="8"/>
      <c r="C9886" s="5"/>
      <c r="M9886" s="9"/>
    </row>
    <row r="9887" spans="1:13" x14ac:dyDescent="0.25">
      <c r="A9887" s="8"/>
      <c r="C9887" s="5"/>
      <c r="M9887" s="9"/>
    </row>
    <row r="9888" spans="1:13" x14ac:dyDescent="0.25">
      <c r="A9888" s="8"/>
      <c r="C9888" s="5"/>
      <c r="M9888" s="9"/>
    </row>
    <row r="9889" spans="1:13" x14ac:dyDescent="0.25">
      <c r="A9889" s="8"/>
      <c r="C9889" s="5"/>
      <c r="M9889" s="9"/>
    </row>
    <row r="9890" spans="1:13" x14ac:dyDescent="0.25">
      <c r="A9890" s="8"/>
      <c r="C9890" s="5"/>
      <c r="M9890" s="9"/>
    </row>
    <row r="9891" spans="1:13" x14ac:dyDescent="0.25">
      <c r="A9891" s="8"/>
      <c r="C9891" s="5"/>
      <c r="M9891" s="9"/>
    </row>
    <row r="9892" spans="1:13" x14ac:dyDescent="0.25">
      <c r="A9892" s="8"/>
      <c r="C9892" s="5"/>
      <c r="M9892" s="9"/>
    </row>
    <row r="9893" spans="1:13" x14ac:dyDescent="0.25">
      <c r="A9893" s="8"/>
      <c r="C9893" s="5"/>
      <c r="M9893" s="9"/>
    </row>
    <row r="9894" spans="1:13" x14ac:dyDescent="0.25">
      <c r="A9894" s="8"/>
      <c r="C9894" s="5"/>
      <c r="M9894" s="9"/>
    </row>
    <row r="9895" spans="1:13" x14ac:dyDescent="0.25">
      <c r="A9895" s="8"/>
      <c r="C9895" s="5"/>
      <c r="M9895" s="9"/>
    </row>
    <row r="9896" spans="1:13" x14ac:dyDescent="0.25">
      <c r="A9896" s="8"/>
      <c r="C9896" s="5"/>
      <c r="M9896" s="9"/>
    </row>
    <row r="9897" spans="1:13" x14ac:dyDescent="0.25">
      <c r="A9897" s="8"/>
      <c r="C9897" s="5"/>
      <c r="M9897" s="9"/>
    </row>
    <row r="9898" spans="1:13" x14ac:dyDescent="0.25">
      <c r="A9898" s="8"/>
      <c r="C9898" s="5"/>
      <c r="M9898" s="9"/>
    </row>
    <row r="9899" spans="1:13" x14ac:dyDescent="0.25">
      <c r="A9899" s="8"/>
      <c r="C9899" s="5"/>
      <c r="M9899" s="9"/>
    </row>
    <row r="9900" spans="1:13" x14ac:dyDescent="0.25">
      <c r="A9900" s="8"/>
      <c r="C9900" s="5"/>
      <c r="M9900" s="9"/>
    </row>
    <row r="9901" spans="1:13" x14ac:dyDescent="0.25">
      <c r="A9901" s="8"/>
      <c r="C9901" s="5"/>
      <c r="M9901" s="9"/>
    </row>
    <row r="9902" spans="1:13" x14ac:dyDescent="0.25">
      <c r="A9902" s="8"/>
      <c r="C9902" s="5"/>
      <c r="M9902" s="9"/>
    </row>
    <row r="9903" spans="1:13" x14ac:dyDescent="0.25">
      <c r="A9903" s="8"/>
      <c r="C9903" s="5"/>
      <c r="M9903" s="9"/>
    </row>
    <row r="9904" spans="1:13" x14ac:dyDescent="0.25">
      <c r="A9904" s="8"/>
      <c r="C9904" s="5"/>
      <c r="M9904" s="9"/>
    </row>
    <row r="9905" spans="1:13" x14ac:dyDescent="0.25">
      <c r="A9905" s="8"/>
      <c r="C9905" s="5"/>
      <c r="M9905" s="9"/>
    </row>
    <row r="9906" spans="1:13" x14ac:dyDescent="0.25">
      <c r="A9906" s="8"/>
      <c r="C9906" s="5"/>
      <c r="M9906" s="9"/>
    </row>
    <row r="9907" spans="1:13" x14ac:dyDescent="0.25">
      <c r="A9907" s="8"/>
      <c r="C9907" s="5"/>
      <c r="M9907" s="9"/>
    </row>
    <row r="9908" spans="1:13" x14ac:dyDescent="0.25">
      <c r="A9908" s="8"/>
      <c r="C9908" s="5"/>
      <c r="M9908" s="9"/>
    </row>
    <row r="9909" spans="1:13" x14ac:dyDescent="0.25">
      <c r="A9909" s="8"/>
      <c r="C9909" s="5"/>
      <c r="M9909" s="9"/>
    </row>
    <row r="9910" spans="1:13" x14ac:dyDescent="0.25">
      <c r="A9910" s="8"/>
      <c r="C9910" s="5"/>
      <c r="M9910" s="9"/>
    </row>
    <row r="9911" spans="1:13" x14ac:dyDescent="0.25">
      <c r="A9911" s="8"/>
      <c r="C9911" s="5"/>
      <c r="M9911" s="9"/>
    </row>
    <row r="9912" spans="1:13" x14ac:dyDescent="0.25">
      <c r="A9912" s="8"/>
      <c r="C9912" s="5"/>
      <c r="M9912" s="9"/>
    </row>
    <row r="9913" spans="1:13" x14ac:dyDescent="0.25">
      <c r="A9913" s="8"/>
      <c r="C9913" s="5"/>
      <c r="M9913" s="9"/>
    </row>
    <row r="9914" spans="1:13" x14ac:dyDescent="0.25">
      <c r="A9914" s="8"/>
      <c r="C9914" s="5"/>
      <c r="M9914" s="9"/>
    </row>
    <row r="9915" spans="1:13" x14ac:dyDescent="0.25">
      <c r="A9915" s="8"/>
      <c r="C9915" s="5"/>
      <c r="M9915" s="9"/>
    </row>
    <row r="9916" spans="1:13" x14ac:dyDescent="0.25">
      <c r="A9916" s="8"/>
      <c r="C9916" s="5"/>
      <c r="M9916" s="9"/>
    </row>
    <row r="9917" spans="1:13" x14ac:dyDescent="0.25">
      <c r="A9917" s="8"/>
      <c r="C9917" s="5"/>
      <c r="M9917" s="9"/>
    </row>
    <row r="9918" spans="1:13" x14ac:dyDescent="0.25">
      <c r="A9918" s="8"/>
      <c r="C9918" s="5"/>
      <c r="M9918" s="9"/>
    </row>
    <row r="9919" spans="1:13" x14ac:dyDescent="0.25">
      <c r="A9919" s="8"/>
      <c r="C9919" s="5"/>
      <c r="M9919" s="9"/>
    </row>
    <row r="9920" spans="1:13" x14ac:dyDescent="0.25">
      <c r="A9920" s="8"/>
      <c r="C9920" s="5"/>
      <c r="M9920" s="9"/>
    </row>
    <row r="9921" spans="1:13" x14ac:dyDescent="0.25">
      <c r="A9921" s="8"/>
      <c r="C9921" s="5"/>
      <c r="M9921" s="9"/>
    </row>
    <row r="9922" spans="1:13" x14ac:dyDescent="0.25">
      <c r="A9922" s="8"/>
      <c r="C9922" s="5"/>
      <c r="M9922" s="9"/>
    </row>
    <row r="9923" spans="1:13" x14ac:dyDescent="0.25">
      <c r="A9923" s="8"/>
      <c r="C9923" s="5"/>
      <c r="M9923" s="9"/>
    </row>
    <row r="9924" spans="1:13" x14ac:dyDescent="0.25">
      <c r="A9924" s="8"/>
      <c r="C9924" s="5"/>
      <c r="M9924" s="9"/>
    </row>
    <row r="9925" spans="1:13" x14ac:dyDescent="0.25">
      <c r="A9925" s="8"/>
      <c r="C9925" s="5"/>
      <c r="M9925" s="9"/>
    </row>
    <row r="9926" spans="1:13" x14ac:dyDescent="0.25">
      <c r="A9926" s="8"/>
      <c r="C9926" s="5"/>
      <c r="M9926" s="9"/>
    </row>
    <row r="9927" spans="1:13" x14ac:dyDescent="0.25">
      <c r="A9927" s="8"/>
      <c r="C9927" s="5"/>
      <c r="M9927" s="9"/>
    </row>
    <row r="9928" spans="1:13" x14ac:dyDescent="0.25">
      <c r="A9928" s="8"/>
      <c r="C9928" s="5"/>
      <c r="M9928" s="9"/>
    </row>
    <row r="9929" spans="1:13" x14ac:dyDescent="0.25">
      <c r="A9929" s="8"/>
      <c r="C9929" s="5"/>
      <c r="M9929" s="9"/>
    </row>
    <row r="9930" spans="1:13" x14ac:dyDescent="0.25">
      <c r="A9930" s="8"/>
      <c r="C9930" s="5"/>
      <c r="M9930" s="9"/>
    </row>
    <row r="9931" spans="1:13" x14ac:dyDescent="0.25">
      <c r="A9931" s="8"/>
      <c r="C9931" s="5"/>
      <c r="M9931" s="9"/>
    </row>
    <row r="9932" spans="1:13" x14ac:dyDescent="0.25">
      <c r="A9932" s="8"/>
      <c r="C9932" s="5"/>
      <c r="M9932" s="9"/>
    </row>
    <row r="9933" spans="1:13" x14ac:dyDescent="0.25">
      <c r="A9933" s="8"/>
      <c r="C9933" s="5"/>
      <c r="M9933" s="9"/>
    </row>
    <row r="9934" spans="1:13" x14ac:dyDescent="0.25">
      <c r="A9934" s="8"/>
      <c r="C9934" s="5"/>
      <c r="M9934" s="9"/>
    </row>
    <row r="9935" spans="1:13" x14ac:dyDescent="0.25">
      <c r="A9935" s="8"/>
      <c r="C9935" s="5"/>
      <c r="M9935" s="9"/>
    </row>
    <row r="9936" spans="1:13" x14ac:dyDescent="0.25">
      <c r="A9936" s="8"/>
      <c r="C9936" s="5"/>
      <c r="M9936" s="9"/>
    </row>
    <row r="9937" spans="1:13" x14ac:dyDescent="0.25">
      <c r="A9937" s="8"/>
      <c r="C9937" s="5"/>
      <c r="M9937" s="9"/>
    </row>
    <row r="9938" spans="1:13" x14ac:dyDescent="0.25">
      <c r="A9938" s="8"/>
      <c r="C9938" s="5"/>
      <c r="M9938" s="9"/>
    </row>
    <row r="9939" spans="1:13" x14ac:dyDescent="0.25">
      <c r="A9939" s="8"/>
      <c r="C9939" s="5"/>
      <c r="M9939" s="9"/>
    </row>
    <row r="9940" spans="1:13" x14ac:dyDescent="0.25">
      <c r="A9940" s="8"/>
      <c r="C9940" s="5"/>
      <c r="M9940" s="9"/>
    </row>
    <row r="9941" spans="1:13" x14ac:dyDescent="0.25">
      <c r="A9941" s="8"/>
      <c r="C9941" s="5"/>
      <c r="M9941" s="9"/>
    </row>
    <row r="9942" spans="1:13" x14ac:dyDescent="0.25">
      <c r="A9942" s="8"/>
      <c r="C9942" s="5"/>
      <c r="M9942" s="9"/>
    </row>
    <row r="9943" spans="1:13" x14ac:dyDescent="0.25">
      <c r="A9943" s="8"/>
      <c r="C9943" s="5"/>
      <c r="M9943" s="9"/>
    </row>
    <row r="9944" spans="1:13" x14ac:dyDescent="0.25">
      <c r="A9944" s="8"/>
      <c r="C9944" s="5"/>
      <c r="M9944" s="9"/>
    </row>
    <row r="9945" spans="1:13" x14ac:dyDescent="0.25">
      <c r="A9945" s="8"/>
      <c r="C9945" s="5"/>
      <c r="M9945" s="9"/>
    </row>
    <row r="9946" spans="1:13" x14ac:dyDescent="0.25">
      <c r="A9946" s="8"/>
      <c r="C9946" s="5"/>
      <c r="M9946" s="9"/>
    </row>
    <row r="9947" spans="1:13" x14ac:dyDescent="0.25">
      <c r="A9947" s="8"/>
      <c r="C9947" s="5"/>
      <c r="M9947" s="9"/>
    </row>
    <row r="9948" spans="1:13" x14ac:dyDescent="0.25">
      <c r="A9948" s="8"/>
      <c r="C9948" s="5"/>
      <c r="M9948" s="9"/>
    </row>
    <row r="9949" spans="1:13" x14ac:dyDescent="0.25">
      <c r="A9949" s="8"/>
      <c r="C9949" s="5"/>
      <c r="M9949" s="9"/>
    </row>
    <row r="9950" spans="1:13" x14ac:dyDescent="0.25">
      <c r="A9950" s="8"/>
      <c r="C9950" s="5"/>
      <c r="M9950" s="9"/>
    </row>
    <row r="9951" spans="1:13" x14ac:dyDescent="0.25">
      <c r="A9951" s="8"/>
      <c r="C9951" s="5"/>
      <c r="M9951" s="9"/>
    </row>
    <row r="9952" spans="1:13" x14ac:dyDescent="0.25">
      <c r="A9952" s="8"/>
      <c r="C9952" s="5"/>
      <c r="M9952" s="9"/>
    </row>
    <row r="9953" spans="1:13" x14ac:dyDescent="0.25">
      <c r="A9953" s="8"/>
      <c r="C9953" s="5"/>
      <c r="M9953" s="9"/>
    </row>
    <row r="9954" spans="1:13" x14ac:dyDescent="0.25">
      <c r="A9954" s="8"/>
      <c r="C9954" s="5"/>
      <c r="M9954" s="9"/>
    </row>
    <row r="9955" spans="1:13" x14ac:dyDescent="0.25">
      <c r="A9955" s="8"/>
      <c r="C9955" s="5"/>
      <c r="M9955" s="9"/>
    </row>
    <row r="9956" spans="1:13" x14ac:dyDescent="0.25">
      <c r="A9956" s="8"/>
      <c r="C9956" s="5"/>
      <c r="M9956" s="9"/>
    </row>
    <row r="9957" spans="1:13" x14ac:dyDescent="0.25">
      <c r="A9957" s="8"/>
      <c r="C9957" s="5"/>
      <c r="M9957" s="9"/>
    </row>
    <row r="9958" spans="1:13" x14ac:dyDescent="0.25">
      <c r="A9958" s="8"/>
      <c r="C9958" s="5"/>
      <c r="M9958" s="9"/>
    </row>
    <row r="9959" spans="1:13" x14ac:dyDescent="0.25">
      <c r="A9959" s="8"/>
      <c r="C9959" s="5"/>
      <c r="M9959" s="9"/>
    </row>
    <row r="9960" spans="1:13" x14ac:dyDescent="0.25">
      <c r="A9960" s="8"/>
      <c r="C9960" s="5"/>
      <c r="M9960" s="9"/>
    </row>
    <row r="9961" spans="1:13" x14ac:dyDescent="0.25">
      <c r="A9961" s="8"/>
      <c r="C9961" s="5"/>
      <c r="M9961" s="9"/>
    </row>
    <row r="9962" spans="1:13" x14ac:dyDescent="0.25">
      <c r="A9962" s="8"/>
      <c r="C9962" s="5"/>
      <c r="M9962" s="9"/>
    </row>
    <row r="9963" spans="1:13" x14ac:dyDescent="0.25">
      <c r="A9963" s="8"/>
      <c r="C9963" s="5"/>
      <c r="M9963" s="9"/>
    </row>
    <row r="9964" spans="1:13" x14ac:dyDescent="0.25">
      <c r="A9964" s="8"/>
      <c r="C9964" s="5"/>
      <c r="M9964" s="9"/>
    </row>
    <row r="9965" spans="1:13" x14ac:dyDescent="0.25">
      <c r="A9965" s="8"/>
      <c r="C9965" s="5"/>
      <c r="M9965" s="9"/>
    </row>
    <row r="9966" spans="1:13" x14ac:dyDescent="0.25">
      <c r="A9966" s="8"/>
      <c r="C9966" s="5"/>
      <c r="M9966" s="9"/>
    </row>
    <row r="9967" spans="1:13" x14ac:dyDescent="0.25">
      <c r="A9967" s="8"/>
      <c r="C9967" s="5"/>
      <c r="M9967" s="9"/>
    </row>
    <row r="9968" spans="1:13" x14ac:dyDescent="0.25">
      <c r="A9968" s="8"/>
      <c r="C9968" s="5"/>
      <c r="M9968" s="9"/>
    </row>
    <row r="9969" spans="1:13" x14ac:dyDescent="0.25">
      <c r="A9969" s="8"/>
      <c r="C9969" s="5"/>
      <c r="M9969" s="9"/>
    </row>
    <row r="9970" spans="1:13" x14ac:dyDescent="0.25">
      <c r="A9970" s="8"/>
      <c r="C9970" s="5"/>
      <c r="M9970" s="9"/>
    </row>
    <row r="9971" spans="1:13" x14ac:dyDescent="0.25">
      <c r="A9971" s="8"/>
      <c r="C9971" s="5"/>
      <c r="M9971" s="9"/>
    </row>
    <row r="9972" spans="1:13" x14ac:dyDescent="0.25">
      <c r="A9972" s="8"/>
      <c r="C9972" s="5"/>
      <c r="M9972" s="9"/>
    </row>
    <row r="9973" spans="1:13" x14ac:dyDescent="0.25">
      <c r="A9973" s="8"/>
      <c r="C9973" s="5"/>
      <c r="M9973" s="9"/>
    </row>
    <row r="9974" spans="1:13" x14ac:dyDescent="0.25">
      <c r="A9974" s="8"/>
      <c r="C9974" s="5"/>
      <c r="M9974" s="9"/>
    </row>
    <row r="9975" spans="1:13" x14ac:dyDescent="0.25">
      <c r="A9975" s="8"/>
      <c r="C9975" s="5"/>
      <c r="M9975" s="9"/>
    </row>
    <row r="9976" spans="1:13" x14ac:dyDescent="0.25">
      <c r="A9976" s="8"/>
      <c r="C9976" s="5"/>
      <c r="M9976" s="9"/>
    </row>
    <row r="9977" spans="1:13" x14ac:dyDescent="0.25">
      <c r="A9977" s="8"/>
      <c r="C9977" s="5"/>
      <c r="M9977" s="9"/>
    </row>
    <row r="9978" spans="1:13" x14ac:dyDescent="0.25">
      <c r="A9978" s="8"/>
      <c r="C9978" s="5"/>
      <c r="M9978" s="9"/>
    </row>
    <row r="9979" spans="1:13" x14ac:dyDescent="0.25">
      <c r="A9979" s="8"/>
      <c r="C9979" s="5"/>
      <c r="M9979" s="9"/>
    </row>
    <row r="9980" spans="1:13" x14ac:dyDescent="0.25">
      <c r="A9980" s="8"/>
      <c r="C9980" s="5"/>
      <c r="M9980" s="9"/>
    </row>
    <row r="9981" spans="1:13" x14ac:dyDescent="0.25">
      <c r="A9981" s="8"/>
      <c r="C9981" s="5"/>
      <c r="M9981" s="9"/>
    </row>
    <row r="9982" spans="1:13" x14ac:dyDescent="0.25">
      <c r="A9982" s="8"/>
      <c r="C9982" s="5"/>
      <c r="M9982" s="9"/>
    </row>
    <row r="9983" spans="1:13" x14ac:dyDescent="0.25">
      <c r="A9983" s="8"/>
      <c r="C9983" s="5"/>
      <c r="M9983" s="9"/>
    </row>
    <row r="9984" spans="1:13" x14ac:dyDescent="0.25">
      <c r="A9984" s="8"/>
      <c r="C9984" s="5"/>
      <c r="M9984" s="9"/>
    </row>
    <row r="9985" spans="1:13" x14ac:dyDescent="0.25">
      <c r="A9985" s="8"/>
      <c r="C9985" s="5"/>
      <c r="M9985" s="9"/>
    </row>
    <row r="9986" spans="1:13" x14ac:dyDescent="0.25">
      <c r="A9986" s="8"/>
      <c r="C9986" s="5"/>
      <c r="M9986" s="9"/>
    </row>
    <row r="9987" spans="1:13" x14ac:dyDescent="0.25">
      <c r="A9987" s="8"/>
      <c r="C9987" s="5"/>
      <c r="M9987" s="9"/>
    </row>
    <row r="9988" spans="1:13" x14ac:dyDescent="0.25">
      <c r="A9988" s="8"/>
      <c r="C9988" s="5"/>
      <c r="M9988" s="9"/>
    </row>
    <row r="9989" spans="1:13" x14ac:dyDescent="0.25">
      <c r="A9989" s="8"/>
      <c r="C9989" s="5"/>
      <c r="M9989" s="9"/>
    </row>
    <row r="9990" spans="1:13" x14ac:dyDescent="0.25">
      <c r="A9990" s="8"/>
      <c r="C9990" s="5"/>
      <c r="M9990" s="9"/>
    </row>
    <row r="9991" spans="1:13" x14ac:dyDescent="0.25">
      <c r="A9991" s="8"/>
      <c r="C9991" s="5"/>
      <c r="M9991" s="9"/>
    </row>
    <row r="9992" spans="1:13" x14ac:dyDescent="0.25">
      <c r="A9992" s="8"/>
      <c r="C9992" s="5"/>
      <c r="M9992" s="9"/>
    </row>
    <row r="9993" spans="1:13" x14ac:dyDescent="0.25">
      <c r="A9993" s="8"/>
      <c r="C9993" s="5"/>
      <c r="M9993" s="9"/>
    </row>
    <row r="9994" spans="1:13" x14ac:dyDescent="0.25">
      <c r="A9994" s="8"/>
      <c r="C9994" s="5"/>
      <c r="M9994" s="9"/>
    </row>
    <row r="9995" spans="1:13" x14ac:dyDescent="0.25">
      <c r="A9995" s="8"/>
      <c r="C9995" s="5"/>
      <c r="M9995" s="9"/>
    </row>
    <row r="9996" spans="1:13" x14ac:dyDescent="0.25">
      <c r="A9996" s="8"/>
      <c r="C9996" s="5"/>
      <c r="M9996" s="9"/>
    </row>
    <row r="9997" spans="1:13" x14ac:dyDescent="0.25">
      <c r="A9997" s="8"/>
      <c r="C9997" s="5"/>
      <c r="M9997" s="9"/>
    </row>
    <row r="9998" spans="1:13" x14ac:dyDescent="0.25">
      <c r="A9998" s="8"/>
      <c r="C9998" s="5"/>
      <c r="M9998" s="9"/>
    </row>
    <row r="9999" spans="1:13" x14ac:dyDescent="0.25">
      <c r="A9999" s="8"/>
      <c r="C9999" s="5"/>
      <c r="M9999" s="9"/>
    </row>
    <row r="10000" spans="1:13" x14ac:dyDescent="0.25">
      <c r="A10000" s="8"/>
      <c r="C10000" s="5"/>
      <c r="M10000" s="9"/>
    </row>
    <row r="10001" spans="1:13" x14ac:dyDescent="0.25">
      <c r="A10001" s="8"/>
      <c r="M10001" s="9"/>
    </row>
    <row r="10002" spans="1:13" x14ac:dyDescent="0.25">
      <c r="A10002" s="8"/>
      <c r="M10002" s="9"/>
    </row>
    <row r="10003" spans="1:13" x14ac:dyDescent="0.25">
      <c r="A10003" s="8"/>
      <c r="M10003" s="9"/>
    </row>
    <row r="10004" spans="1:13" x14ac:dyDescent="0.25">
      <c r="A10004" s="8"/>
      <c r="M10004" s="9"/>
    </row>
    <row r="10005" spans="1:13" x14ac:dyDescent="0.25">
      <c r="A10005" s="8"/>
      <c r="M10005" s="9"/>
    </row>
    <row r="10006" spans="1:13" x14ac:dyDescent="0.25">
      <c r="A10006" s="8"/>
      <c r="M10006" s="9"/>
    </row>
    <row r="10007" spans="1:13" x14ac:dyDescent="0.25">
      <c r="A10007" s="8"/>
      <c r="M10007" s="9"/>
    </row>
    <row r="10008" spans="1:13" x14ac:dyDescent="0.25">
      <c r="A10008" s="8"/>
      <c r="M10008" s="9"/>
    </row>
    <row r="10009" spans="1:13" x14ac:dyDescent="0.25">
      <c r="A10009" s="8"/>
      <c r="M10009" s="9"/>
    </row>
    <row r="10010" spans="1:13" x14ac:dyDescent="0.25">
      <c r="A10010" s="8"/>
      <c r="M10010" s="9"/>
    </row>
    <row r="10011" spans="1:13" x14ac:dyDescent="0.25">
      <c r="A10011" s="8"/>
      <c r="M10011" s="9"/>
    </row>
    <row r="10012" spans="1:13" x14ac:dyDescent="0.25">
      <c r="A10012" s="8"/>
      <c r="M10012" s="9"/>
    </row>
    <row r="10013" spans="1:13" x14ac:dyDescent="0.25">
      <c r="A10013" s="8"/>
      <c r="M10013" s="9"/>
    </row>
    <row r="10014" spans="1:13" x14ac:dyDescent="0.25">
      <c r="A10014" s="8"/>
      <c r="M10014" s="9"/>
    </row>
    <row r="10015" spans="1:13" x14ac:dyDescent="0.25">
      <c r="A10015" s="8"/>
      <c r="M10015" s="9"/>
    </row>
    <row r="10016" spans="1:13" x14ac:dyDescent="0.25">
      <c r="A10016" s="8"/>
      <c r="M10016" s="9"/>
    </row>
    <row r="10017" spans="1:13" x14ac:dyDescent="0.25">
      <c r="A10017" s="8"/>
      <c r="M10017" s="9"/>
    </row>
    <row r="10018" spans="1:13" x14ac:dyDescent="0.25">
      <c r="A10018" s="8"/>
      <c r="M10018" s="9"/>
    </row>
    <row r="10019" spans="1:13" x14ac:dyDescent="0.25">
      <c r="A10019" s="8"/>
      <c r="M10019" s="9"/>
    </row>
    <row r="10020" spans="1:13" x14ac:dyDescent="0.25">
      <c r="A10020" s="8"/>
      <c r="M10020" s="9"/>
    </row>
    <row r="10021" spans="1:13" x14ac:dyDescent="0.25">
      <c r="A10021" s="8"/>
      <c r="M10021" s="9"/>
    </row>
    <row r="10022" spans="1:13" x14ac:dyDescent="0.25">
      <c r="A10022" s="8"/>
      <c r="M10022" s="9"/>
    </row>
    <row r="10023" spans="1:13" x14ac:dyDescent="0.25">
      <c r="A10023" s="8"/>
      <c r="M10023" s="9"/>
    </row>
    <row r="10024" spans="1:13" x14ac:dyDescent="0.25">
      <c r="A10024" s="8"/>
      <c r="M10024" s="9"/>
    </row>
    <row r="10025" spans="1:13" x14ac:dyDescent="0.25">
      <c r="A10025" s="8"/>
      <c r="M10025" s="9"/>
    </row>
    <row r="10026" spans="1:13" x14ac:dyDescent="0.25">
      <c r="A10026" s="8"/>
      <c r="M10026" s="9"/>
    </row>
    <row r="10027" spans="1:13" x14ac:dyDescent="0.25">
      <c r="A10027" s="8"/>
      <c r="M10027" s="9"/>
    </row>
    <row r="10028" spans="1:13" x14ac:dyDescent="0.25">
      <c r="A10028" s="8"/>
      <c r="M10028" s="9"/>
    </row>
    <row r="10029" spans="1:13" x14ac:dyDescent="0.25">
      <c r="A10029" s="8"/>
      <c r="M10029" s="9"/>
    </row>
    <row r="10030" spans="1:13" x14ac:dyDescent="0.25">
      <c r="A10030" s="8"/>
      <c r="M10030" s="9"/>
    </row>
    <row r="10031" spans="1:13" x14ac:dyDescent="0.25">
      <c r="A10031" s="8"/>
      <c r="M10031" s="9"/>
    </row>
    <row r="10032" spans="1:13" x14ac:dyDescent="0.25">
      <c r="A10032" s="8"/>
      <c r="M10032" s="9"/>
    </row>
    <row r="10033" spans="1:13" x14ac:dyDescent="0.25">
      <c r="A10033" s="8"/>
      <c r="M10033" s="9"/>
    </row>
    <row r="10034" spans="1:13" x14ac:dyDescent="0.25">
      <c r="A10034" s="8"/>
      <c r="M10034" s="9"/>
    </row>
    <row r="10035" spans="1:13" x14ac:dyDescent="0.25">
      <c r="A10035" s="8"/>
      <c r="M10035" s="9"/>
    </row>
    <row r="10036" spans="1:13" x14ac:dyDescent="0.25">
      <c r="A10036" s="8"/>
      <c r="M10036" s="9"/>
    </row>
    <row r="10037" spans="1:13" x14ac:dyDescent="0.25">
      <c r="A10037" s="8"/>
      <c r="M10037" s="9"/>
    </row>
    <row r="10038" spans="1:13" x14ac:dyDescent="0.25">
      <c r="A10038" s="8"/>
      <c r="M10038" s="9"/>
    </row>
    <row r="10039" spans="1:13" x14ac:dyDescent="0.25">
      <c r="A10039" s="8"/>
      <c r="M10039" s="9"/>
    </row>
    <row r="10040" spans="1:13" x14ac:dyDescent="0.25">
      <c r="A10040" s="8"/>
      <c r="M10040" s="9"/>
    </row>
    <row r="10041" spans="1:13" x14ac:dyDescent="0.25">
      <c r="A10041" s="8"/>
      <c r="M10041" s="9"/>
    </row>
    <row r="10042" spans="1:13" x14ac:dyDescent="0.25">
      <c r="A10042" s="8"/>
      <c r="M10042" s="9"/>
    </row>
    <row r="10043" spans="1:13" x14ac:dyDescent="0.25">
      <c r="A10043" s="8"/>
      <c r="M10043" s="9"/>
    </row>
    <row r="10044" spans="1:13" x14ac:dyDescent="0.25">
      <c r="A10044" s="8"/>
      <c r="M10044" s="9"/>
    </row>
    <row r="10045" spans="1:13" x14ac:dyDescent="0.25">
      <c r="A10045" s="8"/>
      <c r="M10045" s="9"/>
    </row>
    <row r="10046" spans="1:13" x14ac:dyDescent="0.25">
      <c r="A10046" s="8"/>
      <c r="M10046" s="9"/>
    </row>
    <row r="10047" spans="1:13" x14ac:dyDescent="0.25">
      <c r="A10047" s="8"/>
      <c r="M10047" s="9"/>
    </row>
    <row r="10048" spans="1:13" x14ac:dyDescent="0.25">
      <c r="A10048" s="8"/>
      <c r="M10048" s="9"/>
    </row>
    <row r="10049" spans="1:13" x14ac:dyDescent="0.25">
      <c r="A10049" s="8"/>
      <c r="M10049" s="9"/>
    </row>
    <row r="10050" spans="1:13" x14ac:dyDescent="0.25">
      <c r="A10050" s="8"/>
      <c r="M10050" s="9"/>
    </row>
    <row r="10051" spans="1:13" x14ac:dyDescent="0.25">
      <c r="A10051" s="8"/>
      <c r="M10051" s="9"/>
    </row>
    <row r="10052" spans="1:13" x14ac:dyDescent="0.25">
      <c r="A10052" s="8"/>
      <c r="M10052" s="9"/>
    </row>
    <row r="10053" spans="1:13" x14ac:dyDescent="0.25">
      <c r="A10053" s="8"/>
      <c r="M10053" s="9"/>
    </row>
    <row r="10054" spans="1:13" x14ac:dyDescent="0.25">
      <c r="A10054" s="8"/>
      <c r="M10054" s="9"/>
    </row>
    <row r="10055" spans="1:13" x14ac:dyDescent="0.25">
      <c r="A10055" s="8"/>
      <c r="M10055" s="9"/>
    </row>
    <row r="10056" spans="1:13" x14ac:dyDescent="0.25">
      <c r="A10056" s="8"/>
      <c r="M10056" s="9"/>
    </row>
    <row r="10057" spans="1:13" x14ac:dyDescent="0.25">
      <c r="A10057" s="8"/>
      <c r="M10057" s="9"/>
    </row>
    <row r="10058" spans="1:13" x14ac:dyDescent="0.25">
      <c r="A10058" s="8"/>
      <c r="M10058" s="9"/>
    </row>
    <row r="10059" spans="1:13" x14ac:dyDescent="0.25">
      <c r="A10059" s="8"/>
      <c r="M10059" s="9"/>
    </row>
    <row r="10060" spans="1:13" x14ac:dyDescent="0.25">
      <c r="A10060" s="8"/>
      <c r="M10060" s="9"/>
    </row>
    <row r="10061" spans="1:13" x14ac:dyDescent="0.25">
      <c r="A10061" s="8"/>
      <c r="M10061" s="9"/>
    </row>
    <row r="10062" spans="1:13" x14ac:dyDescent="0.25">
      <c r="A10062" s="8"/>
      <c r="M10062" s="9"/>
    </row>
    <row r="10063" spans="1:13" x14ac:dyDescent="0.25">
      <c r="A10063" s="8"/>
      <c r="M10063" s="9"/>
    </row>
    <row r="10064" spans="1:13" x14ac:dyDescent="0.25">
      <c r="A10064" s="8"/>
      <c r="M10064" s="9"/>
    </row>
    <row r="10065" spans="1:13" x14ac:dyDescent="0.25">
      <c r="A10065" s="8"/>
      <c r="M10065" s="9"/>
    </row>
    <row r="10066" spans="1:13" x14ac:dyDescent="0.25">
      <c r="A10066" s="8"/>
      <c r="M10066" s="9"/>
    </row>
    <row r="10067" spans="1:13" x14ac:dyDescent="0.25">
      <c r="A10067" s="8"/>
      <c r="M10067" s="9"/>
    </row>
    <row r="10068" spans="1:13" x14ac:dyDescent="0.25">
      <c r="A10068" s="8"/>
      <c r="M10068" s="9"/>
    </row>
    <row r="10069" spans="1:13" x14ac:dyDescent="0.25">
      <c r="A10069" s="8"/>
      <c r="M10069" s="9"/>
    </row>
    <row r="10070" spans="1:13" x14ac:dyDescent="0.25">
      <c r="A10070" s="8"/>
      <c r="M10070" s="9"/>
    </row>
    <row r="10071" spans="1:13" x14ac:dyDescent="0.25">
      <c r="A10071" s="8"/>
      <c r="M10071" s="9"/>
    </row>
    <row r="10072" spans="1:13" x14ac:dyDescent="0.25">
      <c r="A10072" s="8"/>
      <c r="M10072" s="9"/>
    </row>
    <row r="10073" spans="1:13" x14ac:dyDescent="0.25">
      <c r="A10073" s="8"/>
      <c r="M10073" s="9"/>
    </row>
    <row r="10074" spans="1:13" x14ac:dyDescent="0.25">
      <c r="A10074" s="8"/>
      <c r="M10074" s="9"/>
    </row>
    <row r="10075" spans="1:13" x14ac:dyDescent="0.25">
      <c r="A10075" s="8"/>
      <c r="M10075" s="9"/>
    </row>
    <row r="10076" spans="1:13" x14ac:dyDescent="0.25">
      <c r="A10076" s="8"/>
      <c r="M10076" s="9"/>
    </row>
    <row r="10077" spans="1:13" x14ac:dyDescent="0.25">
      <c r="A10077" s="8"/>
      <c r="M10077" s="9"/>
    </row>
    <row r="10078" spans="1:13" x14ac:dyDescent="0.25">
      <c r="A10078" s="8"/>
      <c r="M10078" s="9"/>
    </row>
    <row r="10079" spans="1:13" x14ac:dyDescent="0.25">
      <c r="A10079" s="8"/>
      <c r="M10079" s="9"/>
    </row>
    <row r="10080" spans="1:13" x14ac:dyDescent="0.25">
      <c r="A10080" s="8"/>
      <c r="M10080" s="9"/>
    </row>
    <row r="10081" spans="1:13" x14ac:dyDescent="0.25">
      <c r="A10081" s="8"/>
      <c r="M10081" s="9"/>
    </row>
    <row r="10082" spans="1:13" x14ac:dyDescent="0.25">
      <c r="A10082" s="8"/>
      <c r="M10082" s="9"/>
    </row>
    <row r="10083" spans="1:13" x14ac:dyDescent="0.25">
      <c r="A10083" s="8"/>
      <c r="M10083" s="9"/>
    </row>
    <row r="10084" spans="1:13" x14ac:dyDescent="0.25">
      <c r="A10084" s="8"/>
      <c r="M10084" s="9"/>
    </row>
    <row r="10085" spans="1:13" x14ac:dyDescent="0.25">
      <c r="A10085" s="8"/>
      <c r="M10085" s="9"/>
    </row>
    <row r="10086" spans="1:13" x14ac:dyDescent="0.25">
      <c r="A10086" s="8"/>
      <c r="M10086" s="9"/>
    </row>
    <row r="10087" spans="1:13" x14ac:dyDescent="0.25">
      <c r="A10087" s="8"/>
      <c r="M10087" s="9"/>
    </row>
    <row r="10088" spans="1:13" x14ac:dyDescent="0.25">
      <c r="A10088" s="8"/>
      <c r="M10088" s="9"/>
    </row>
    <row r="10089" spans="1:13" x14ac:dyDescent="0.25">
      <c r="A10089" s="8"/>
      <c r="M10089" s="9"/>
    </row>
    <row r="10090" spans="1:13" x14ac:dyDescent="0.25">
      <c r="A10090" s="8"/>
      <c r="M10090" s="9"/>
    </row>
    <row r="10091" spans="1:13" x14ac:dyDescent="0.25">
      <c r="A10091" s="8"/>
      <c r="M10091" s="9"/>
    </row>
    <row r="10092" spans="1:13" x14ac:dyDescent="0.25">
      <c r="A10092" s="8"/>
      <c r="M10092" s="9"/>
    </row>
    <row r="10093" spans="1:13" x14ac:dyDescent="0.25">
      <c r="A10093" s="8"/>
      <c r="M10093" s="9"/>
    </row>
    <row r="10094" spans="1:13" x14ac:dyDescent="0.25">
      <c r="A10094" s="8"/>
      <c r="M10094" s="9"/>
    </row>
    <row r="10095" spans="1:13" x14ac:dyDescent="0.25">
      <c r="A10095" s="8"/>
      <c r="M10095" s="9"/>
    </row>
    <row r="10096" spans="1:13" x14ac:dyDescent="0.25">
      <c r="A10096" s="8"/>
      <c r="M10096" s="9"/>
    </row>
    <row r="10097" spans="1:13" x14ac:dyDescent="0.25">
      <c r="A10097" s="8"/>
      <c r="M10097" s="9"/>
    </row>
    <row r="10098" spans="1:13" x14ac:dyDescent="0.25">
      <c r="A10098" s="8"/>
      <c r="M10098" s="9"/>
    </row>
    <row r="10099" spans="1:13" x14ac:dyDescent="0.25">
      <c r="A10099" s="8"/>
      <c r="M10099" s="9"/>
    </row>
    <row r="10100" spans="1:13" x14ac:dyDescent="0.25">
      <c r="A10100" s="8"/>
      <c r="M10100" s="9"/>
    </row>
    <row r="10101" spans="1:13" x14ac:dyDescent="0.25">
      <c r="A10101" s="8"/>
      <c r="M10101" s="9"/>
    </row>
    <row r="10102" spans="1:13" x14ac:dyDescent="0.25">
      <c r="A10102" s="8"/>
      <c r="M10102" s="9"/>
    </row>
    <row r="10103" spans="1:13" x14ac:dyDescent="0.25">
      <c r="A10103" s="8"/>
      <c r="M10103" s="9"/>
    </row>
    <row r="10104" spans="1:13" x14ac:dyDescent="0.25">
      <c r="A10104" s="8"/>
      <c r="M10104" s="9"/>
    </row>
    <row r="10105" spans="1:13" x14ac:dyDescent="0.25">
      <c r="A10105" s="8"/>
      <c r="M10105" s="9"/>
    </row>
    <row r="10106" spans="1:13" x14ac:dyDescent="0.25">
      <c r="A10106" s="8"/>
      <c r="M10106" s="9"/>
    </row>
    <row r="10107" spans="1:13" x14ac:dyDescent="0.25">
      <c r="A10107" s="8"/>
      <c r="M10107" s="9"/>
    </row>
    <row r="10108" spans="1:13" x14ac:dyDescent="0.25">
      <c r="A10108" s="8"/>
      <c r="M10108" s="9"/>
    </row>
    <row r="10109" spans="1:13" x14ac:dyDescent="0.25">
      <c r="A10109" s="8"/>
      <c r="M10109" s="9"/>
    </row>
    <row r="10110" spans="1:13" x14ac:dyDescent="0.25">
      <c r="A10110" s="8"/>
      <c r="M10110" s="9"/>
    </row>
    <row r="10111" spans="1:13" x14ac:dyDescent="0.25">
      <c r="A10111" s="8"/>
      <c r="M10111" s="9"/>
    </row>
    <row r="10112" spans="1:13" x14ac:dyDescent="0.25">
      <c r="A10112" s="8"/>
      <c r="M10112" s="9"/>
    </row>
    <row r="10113" spans="1:13" x14ac:dyDescent="0.25">
      <c r="A10113" s="8"/>
      <c r="M10113" s="9"/>
    </row>
    <row r="10114" spans="1:13" x14ac:dyDescent="0.25">
      <c r="A10114" s="8"/>
      <c r="M10114" s="9"/>
    </row>
    <row r="10115" spans="1:13" x14ac:dyDescent="0.25">
      <c r="A10115" s="8"/>
      <c r="M10115" s="9"/>
    </row>
    <row r="10116" spans="1:13" x14ac:dyDescent="0.25">
      <c r="A10116" s="8"/>
      <c r="M10116" s="9"/>
    </row>
    <row r="10117" spans="1:13" x14ac:dyDescent="0.25">
      <c r="A10117" s="8"/>
      <c r="M10117" s="9"/>
    </row>
    <row r="10118" spans="1:13" x14ac:dyDescent="0.25">
      <c r="A10118" s="8"/>
      <c r="M10118" s="9"/>
    </row>
    <row r="10119" spans="1:13" x14ac:dyDescent="0.25">
      <c r="A10119" s="8"/>
      <c r="M10119" s="9"/>
    </row>
    <row r="10120" spans="1:13" x14ac:dyDescent="0.25">
      <c r="A10120" s="8"/>
      <c r="M10120" s="9"/>
    </row>
    <row r="10121" spans="1:13" x14ac:dyDescent="0.25">
      <c r="A10121" s="8"/>
      <c r="M10121" s="9"/>
    </row>
    <row r="10122" spans="1:13" x14ac:dyDescent="0.25">
      <c r="A10122" s="8"/>
      <c r="M10122" s="9"/>
    </row>
    <row r="10123" spans="1:13" x14ac:dyDescent="0.25">
      <c r="A10123" s="8"/>
      <c r="M10123" s="9"/>
    </row>
    <row r="10124" spans="1:13" x14ac:dyDescent="0.25">
      <c r="A10124" s="8"/>
      <c r="M10124" s="9"/>
    </row>
    <row r="10125" spans="1:13" x14ac:dyDescent="0.25">
      <c r="A10125" s="8"/>
      <c r="M10125" s="9"/>
    </row>
    <row r="10126" spans="1:13" x14ac:dyDescent="0.25">
      <c r="A10126" s="8"/>
      <c r="M10126" s="9"/>
    </row>
    <row r="10127" spans="1:13" x14ac:dyDescent="0.25">
      <c r="A10127" s="8"/>
      <c r="M10127" s="9"/>
    </row>
    <row r="10128" spans="1:13" x14ac:dyDescent="0.25">
      <c r="A10128" s="8"/>
      <c r="M10128" s="9"/>
    </row>
    <row r="10129" spans="1:13" x14ac:dyDescent="0.25">
      <c r="A10129" s="8"/>
      <c r="M10129" s="9"/>
    </row>
    <row r="10130" spans="1:13" x14ac:dyDescent="0.25">
      <c r="A10130" s="8"/>
      <c r="M10130" s="9"/>
    </row>
    <row r="10131" spans="1:13" x14ac:dyDescent="0.25">
      <c r="A10131" s="8"/>
      <c r="M10131" s="9"/>
    </row>
    <row r="10132" spans="1:13" x14ac:dyDescent="0.25">
      <c r="A10132" s="8"/>
      <c r="M10132" s="9"/>
    </row>
    <row r="10133" spans="1:13" x14ac:dyDescent="0.25">
      <c r="A10133" s="8"/>
      <c r="M10133" s="9"/>
    </row>
    <row r="10134" spans="1:13" x14ac:dyDescent="0.25">
      <c r="A10134" s="8"/>
      <c r="M10134" s="9"/>
    </row>
    <row r="10135" spans="1:13" x14ac:dyDescent="0.25">
      <c r="A10135" s="8"/>
      <c r="M10135" s="9"/>
    </row>
    <row r="10136" spans="1:13" x14ac:dyDescent="0.25">
      <c r="A10136" s="8"/>
      <c r="M10136" s="9"/>
    </row>
    <row r="10137" spans="1:13" x14ac:dyDescent="0.25">
      <c r="A10137" s="8"/>
      <c r="M10137" s="9"/>
    </row>
    <row r="10138" spans="1:13" x14ac:dyDescent="0.25">
      <c r="A10138" s="8"/>
      <c r="M10138" s="9"/>
    </row>
    <row r="10139" spans="1:13" x14ac:dyDescent="0.25">
      <c r="A10139" s="8"/>
      <c r="M10139" s="9"/>
    </row>
    <row r="10140" spans="1:13" x14ac:dyDescent="0.25">
      <c r="A10140" s="8"/>
      <c r="M10140" s="9"/>
    </row>
    <row r="10141" spans="1:13" x14ac:dyDescent="0.25">
      <c r="A10141" s="8"/>
      <c r="M10141" s="9"/>
    </row>
    <row r="10142" spans="1:13" x14ac:dyDescent="0.25">
      <c r="A10142" s="8"/>
      <c r="M10142" s="9"/>
    </row>
    <row r="10143" spans="1:13" x14ac:dyDescent="0.25">
      <c r="A10143" s="8"/>
      <c r="M10143" s="9"/>
    </row>
    <row r="10144" spans="1:13" x14ac:dyDescent="0.25">
      <c r="A10144" s="8"/>
      <c r="M10144" s="9"/>
    </row>
    <row r="10145" spans="1:13" x14ac:dyDescent="0.25">
      <c r="A10145" s="8"/>
      <c r="M10145" s="9"/>
    </row>
    <row r="10146" spans="1:13" x14ac:dyDescent="0.25">
      <c r="A10146" s="8"/>
      <c r="M10146" s="9"/>
    </row>
    <row r="10147" spans="1:13" x14ac:dyDescent="0.25">
      <c r="A10147" s="8"/>
      <c r="M10147" s="9"/>
    </row>
    <row r="10148" spans="1:13" x14ac:dyDescent="0.25">
      <c r="A10148" s="8"/>
      <c r="M10148" s="9"/>
    </row>
    <row r="10149" spans="1:13" x14ac:dyDescent="0.25">
      <c r="A10149" s="8"/>
      <c r="M10149" s="9"/>
    </row>
    <row r="10150" spans="1:13" x14ac:dyDescent="0.25">
      <c r="A10150" s="8"/>
      <c r="M10150" s="9"/>
    </row>
    <row r="10151" spans="1:13" x14ac:dyDescent="0.25">
      <c r="A10151" s="8"/>
      <c r="M10151" s="9"/>
    </row>
    <row r="10152" spans="1:13" x14ac:dyDescent="0.25">
      <c r="A10152" s="8"/>
      <c r="M10152" s="9"/>
    </row>
    <row r="10153" spans="1:13" x14ac:dyDescent="0.25">
      <c r="A10153" s="8"/>
      <c r="M10153" s="9"/>
    </row>
    <row r="10154" spans="1:13" x14ac:dyDescent="0.25">
      <c r="A10154" s="8"/>
      <c r="M10154" s="9"/>
    </row>
    <row r="10155" spans="1:13" x14ac:dyDescent="0.25">
      <c r="A10155" s="8"/>
      <c r="M10155" s="9"/>
    </row>
    <row r="10156" spans="1:13" x14ac:dyDescent="0.25">
      <c r="A10156" s="8"/>
      <c r="M10156" s="9"/>
    </row>
    <row r="10157" spans="1:13" x14ac:dyDescent="0.25">
      <c r="A10157" s="8"/>
      <c r="M10157" s="9"/>
    </row>
    <row r="10158" spans="1:13" x14ac:dyDescent="0.25">
      <c r="A10158" s="8"/>
      <c r="M10158" s="9"/>
    </row>
    <row r="10159" spans="1:13" x14ac:dyDescent="0.25">
      <c r="A10159" s="8"/>
      <c r="M10159" s="9"/>
    </row>
    <row r="10160" spans="1:13" x14ac:dyDescent="0.25">
      <c r="A10160" s="8"/>
      <c r="M10160" s="9"/>
    </row>
    <row r="10161" spans="1:13" x14ac:dyDescent="0.25">
      <c r="A10161" s="8"/>
      <c r="M10161" s="9"/>
    </row>
    <row r="10162" spans="1:13" x14ac:dyDescent="0.25">
      <c r="A10162" s="8"/>
      <c r="M10162" s="9"/>
    </row>
    <row r="10163" spans="1:13" x14ac:dyDescent="0.25">
      <c r="A10163" s="8"/>
      <c r="M10163" s="9"/>
    </row>
    <row r="10164" spans="1:13" x14ac:dyDescent="0.25">
      <c r="A10164" s="8"/>
      <c r="M10164" s="9"/>
    </row>
    <row r="10165" spans="1:13" x14ac:dyDescent="0.25">
      <c r="A10165" s="8"/>
      <c r="M10165" s="9"/>
    </row>
    <row r="10166" spans="1:13" x14ac:dyDescent="0.25">
      <c r="A10166" s="8"/>
      <c r="M10166" s="9"/>
    </row>
    <row r="10167" spans="1:13" x14ac:dyDescent="0.25">
      <c r="A10167" s="8"/>
      <c r="M10167" s="9"/>
    </row>
    <row r="10168" spans="1:13" x14ac:dyDescent="0.25">
      <c r="A10168" s="8"/>
      <c r="M10168" s="9"/>
    </row>
    <row r="10169" spans="1:13" x14ac:dyDescent="0.25">
      <c r="A10169" s="8"/>
      <c r="M10169" s="9"/>
    </row>
    <row r="10170" spans="1:13" x14ac:dyDescent="0.25">
      <c r="A10170" s="8"/>
      <c r="M10170" s="9"/>
    </row>
    <row r="10171" spans="1:13" x14ac:dyDescent="0.25">
      <c r="A10171" s="8"/>
      <c r="M10171" s="9"/>
    </row>
    <row r="10172" spans="1:13" x14ac:dyDescent="0.25">
      <c r="A10172" s="8"/>
      <c r="M10172" s="9"/>
    </row>
    <row r="10173" spans="1:13" x14ac:dyDescent="0.25">
      <c r="A10173" s="8"/>
      <c r="M10173" s="9"/>
    </row>
    <row r="10174" spans="1:13" x14ac:dyDescent="0.25">
      <c r="A10174" s="8"/>
      <c r="M10174" s="9"/>
    </row>
    <row r="10175" spans="1:13" x14ac:dyDescent="0.25">
      <c r="A10175" s="8"/>
      <c r="M10175" s="9"/>
    </row>
    <row r="10176" spans="1:13" x14ac:dyDescent="0.25">
      <c r="A10176" s="8"/>
      <c r="M10176" s="9"/>
    </row>
    <row r="10177" spans="1:13" x14ac:dyDescent="0.25">
      <c r="A10177" s="8"/>
      <c r="M10177" s="9"/>
    </row>
    <row r="10178" spans="1:13" x14ac:dyDescent="0.25">
      <c r="A10178" s="8"/>
      <c r="M10178" s="9"/>
    </row>
    <row r="10179" spans="1:13" x14ac:dyDescent="0.25">
      <c r="A10179" s="8"/>
      <c r="M10179" s="9"/>
    </row>
    <row r="10180" spans="1:13" x14ac:dyDescent="0.25">
      <c r="A10180" s="8"/>
      <c r="M10180" s="9"/>
    </row>
    <row r="10181" spans="1:13" x14ac:dyDescent="0.25">
      <c r="A10181" s="8"/>
      <c r="M10181" s="9"/>
    </row>
    <row r="10182" spans="1:13" x14ac:dyDescent="0.25">
      <c r="A10182" s="8"/>
      <c r="M10182" s="9"/>
    </row>
    <row r="10183" spans="1:13" x14ac:dyDescent="0.25">
      <c r="A10183" s="8"/>
      <c r="M10183" s="9"/>
    </row>
    <row r="10184" spans="1:13" x14ac:dyDescent="0.25">
      <c r="A10184" s="8"/>
      <c r="M10184" s="9"/>
    </row>
    <row r="10185" spans="1:13" x14ac:dyDescent="0.25">
      <c r="A10185" s="8"/>
      <c r="M10185" s="9"/>
    </row>
    <row r="10186" spans="1:13" x14ac:dyDescent="0.25">
      <c r="A10186" s="8"/>
      <c r="M10186" s="9"/>
    </row>
    <row r="10187" spans="1:13" x14ac:dyDescent="0.25">
      <c r="A10187" s="8"/>
      <c r="M10187" s="9"/>
    </row>
    <row r="10188" spans="1:13" x14ac:dyDescent="0.25">
      <c r="A10188" s="8"/>
      <c r="M10188" s="9"/>
    </row>
    <row r="10189" spans="1:13" x14ac:dyDescent="0.25">
      <c r="A10189" s="8"/>
      <c r="M10189" s="9"/>
    </row>
    <row r="10190" spans="1:13" x14ac:dyDescent="0.25">
      <c r="A10190" s="8"/>
      <c r="M10190" s="9"/>
    </row>
    <row r="10191" spans="1:13" x14ac:dyDescent="0.25">
      <c r="A10191" s="8"/>
      <c r="M10191" s="9"/>
    </row>
    <row r="10192" spans="1:13" x14ac:dyDescent="0.25">
      <c r="A10192" s="8"/>
      <c r="M10192" s="9"/>
    </row>
    <row r="10193" spans="1:13" x14ac:dyDescent="0.25">
      <c r="A10193" s="8"/>
      <c r="M10193" s="9"/>
    </row>
    <row r="10194" spans="1:13" x14ac:dyDescent="0.25">
      <c r="A10194" s="8"/>
      <c r="M10194" s="9"/>
    </row>
    <row r="10195" spans="1:13" x14ac:dyDescent="0.25">
      <c r="A10195" s="8"/>
      <c r="M10195" s="9"/>
    </row>
    <row r="10196" spans="1:13" x14ac:dyDescent="0.25">
      <c r="A10196" s="8"/>
      <c r="M10196" s="9"/>
    </row>
    <row r="10197" spans="1:13" x14ac:dyDescent="0.25">
      <c r="A10197" s="8"/>
      <c r="M10197" s="9"/>
    </row>
    <row r="10198" spans="1:13" x14ac:dyDescent="0.25">
      <c r="A10198" s="8"/>
      <c r="M10198" s="9"/>
    </row>
    <row r="10199" spans="1:13" x14ac:dyDescent="0.25">
      <c r="A10199" s="8"/>
      <c r="M10199" s="9"/>
    </row>
    <row r="10200" spans="1:13" x14ac:dyDescent="0.25">
      <c r="A10200" s="8"/>
      <c r="M10200" s="9"/>
    </row>
    <row r="10201" spans="1:13" x14ac:dyDescent="0.25">
      <c r="A10201" s="8"/>
      <c r="M10201" s="9"/>
    </row>
    <row r="10202" spans="1:13" x14ac:dyDescent="0.25">
      <c r="A10202" s="8"/>
      <c r="M10202" s="9"/>
    </row>
    <row r="10203" spans="1:13" x14ac:dyDescent="0.25">
      <c r="A10203" s="8"/>
      <c r="M10203" s="9"/>
    </row>
    <row r="10204" spans="1:13" x14ac:dyDescent="0.25">
      <c r="A10204" s="8"/>
      <c r="M10204" s="9"/>
    </row>
    <row r="10205" spans="1:13" x14ac:dyDescent="0.25">
      <c r="A10205" s="8"/>
      <c r="M10205" s="9"/>
    </row>
    <row r="10206" spans="1:13" x14ac:dyDescent="0.25">
      <c r="A10206" s="8"/>
      <c r="M10206" s="9"/>
    </row>
    <row r="10207" spans="1:13" x14ac:dyDescent="0.25">
      <c r="A10207" s="8"/>
      <c r="M10207" s="9"/>
    </row>
    <row r="10208" spans="1:13" x14ac:dyDescent="0.25">
      <c r="A10208" s="8"/>
      <c r="M10208" s="9"/>
    </row>
    <row r="10209" spans="1:13" x14ac:dyDescent="0.25">
      <c r="A10209" s="8"/>
      <c r="M10209" s="9"/>
    </row>
    <row r="10210" spans="1:13" x14ac:dyDescent="0.25">
      <c r="A10210" s="8"/>
      <c r="M10210" s="9"/>
    </row>
    <row r="10211" spans="1:13" x14ac:dyDescent="0.25">
      <c r="A10211" s="8"/>
      <c r="M10211" s="9"/>
    </row>
    <row r="10212" spans="1:13" x14ac:dyDescent="0.25">
      <c r="A10212" s="8"/>
      <c r="M10212" s="9"/>
    </row>
    <row r="10213" spans="1:13" x14ac:dyDescent="0.25">
      <c r="A10213" s="8"/>
      <c r="M10213" s="9"/>
    </row>
    <row r="10214" spans="1:13" x14ac:dyDescent="0.25">
      <c r="A10214" s="8"/>
      <c r="M10214" s="9"/>
    </row>
    <row r="10215" spans="1:13" x14ac:dyDescent="0.25">
      <c r="A10215" s="8"/>
      <c r="M10215" s="9"/>
    </row>
    <row r="10216" spans="1:13" x14ac:dyDescent="0.25">
      <c r="A10216" s="8"/>
      <c r="M10216" s="9"/>
    </row>
    <row r="10217" spans="1:13" x14ac:dyDescent="0.25">
      <c r="A10217" s="8"/>
      <c r="M10217" s="9"/>
    </row>
    <row r="10218" spans="1:13" x14ac:dyDescent="0.25">
      <c r="A10218" s="8"/>
      <c r="M10218" s="9"/>
    </row>
    <row r="10219" spans="1:13" x14ac:dyDescent="0.25">
      <c r="A10219" s="8"/>
      <c r="M10219" s="9"/>
    </row>
    <row r="10220" spans="1:13" x14ac:dyDescent="0.25">
      <c r="A10220" s="8"/>
      <c r="M10220" s="9"/>
    </row>
    <row r="10221" spans="1:13" x14ac:dyDescent="0.25">
      <c r="A10221" s="8"/>
      <c r="M10221" s="9"/>
    </row>
    <row r="10222" spans="1:13" x14ac:dyDescent="0.25">
      <c r="A10222" s="8"/>
      <c r="M10222" s="9"/>
    </row>
    <row r="10223" spans="1:13" x14ac:dyDescent="0.25">
      <c r="A10223" s="8"/>
      <c r="M10223" s="9"/>
    </row>
    <row r="10224" spans="1:13" x14ac:dyDescent="0.25">
      <c r="A10224" s="8"/>
      <c r="M10224" s="9"/>
    </row>
    <row r="10225" spans="1:13" x14ac:dyDescent="0.25">
      <c r="A10225" s="8"/>
      <c r="M10225" s="9"/>
    </row>
    <row r="10226" spans="1:13" x14ac:dyDescent="0.25">
      <c r="A10226" s="8"/>
      <c r="M10226" s="9"/>
    </row>
    <row r="10227" spans="1:13" x14ac:dyDescent="0.25">
      <c r="A10227" s="8"/>
      <c r="M10227" s="9"/>
    </row>
    <row r="10228" spans="1:13" x14ac:dyDescent="0.25">
      <c r="A10228" s="8"/>
      <c r="M10228" s="9"/>
    </row>
    <row r="10229" spans="1:13" x14ac:dyDescent="0.25">
      <c r="A10229" s="8"/>
      <c r="M10229" s="9"/>
    </row>
    <row r="10230" spans="1:13" x14ac:dyDescent="0.25">
      <c r="A10230" s="8"/>
      <c r="M10230" s="9"/>
    </row>
    <row r="10231" spans="1:13" x14ac:dyDescent="0.25">
      <c r="A10231" s="8"/>
      <c r="M10231" s="9"/>
    </row>
    <row r="10232" spans="1:13" x14ac:dyDescent="0.25">
      <c r="A10232" s="8"/>
      <c r="M10232" s="9"/>
    </row>
    <row r="10233" spans="1:13" x14ac:dyDescent="0.25">
      <c r="A10233" s="8"/>
      <c r="M10233" s="9"/>
    </row>
    <row r="10234" spans="1:13" x14ac:dyDescent="0.25">
      <c r="A10234" s="8"/>
      <c r="M10234" s="9"/>
    </row>
    <row r="10235" spans="1:13" x14ac:dyDescent="0.25">
      <c r="A10235" s="8"/>
      <c r="M10235" s="9"/>
    </row>
    <row r="10236" spans="1:13" x14ac:dyDescent="0.25">
      <c r="A10236" s="8"/>
      <c r="M10236" s="9"/>
    </row>
    <row r="10237" spans="1:13" x14ac:dyDescent="0.25">
      <c r="A10237" s="8"/>
      <c r="M10237" s="9"/>
    </row>
    <row r="10238" spans="1:13" x14ac:dyDescent="0.25">
      <c r="A10238" s="8"/>
      <c r="M10238" s="9"/>
    </row>
    <row r="10239" spans="1:13" x14ac:dyDescent="0.25">
      <c r="A10239" s="8"/>
      <c r="M10239" s="9"/>
    </row>
    <row r="10240" spans="1:13" x14ac:dyDescent="0.25">
      <c r="A10240" s="8"/>
      <c r="M10240" s="9"/>
    </row>
    <row r="10241" spans="1:13" x14ac:dyDescent="0.25">
      <c r="A10241" s="8"/>
      <c r="M10241" s="9"/>
    </row>
    <row r="10242" spans="1:13" x14ac:dyDescent="0.25">
      <c r="A10242" s="8"/>
      <c r="M10242" s="9"/>
    </row>
    <row r="10243" spans="1:13" x14ac:dyDescent="0.25">
      <c r="A10243" s="8"/>
      <c r="M10243" s="9"/>
    </row>
    <row r="10244" spans="1:13" x14ac:dyDescent="0.25">
      <c r="A10244" s="8"/>
      <c r="M10244" s="9"/>
    </row>
    <row r="10245" spans="1:13" x14ac:dyDescent="0.25">
      <c r="A10245" s="8"/>
      <c r="M10245" s="9"/>
    </row>
    <row r="10246" spans="1:13" x14ac:dyDescent="0.25">
      <c r="A10246" s="8"/>
      <c r="M10246" s="9"/>
    </row>
    <row r="10247" spans="1:13" x14ac:dyDescent="0.25">
      <c r="A10247" s="8"/>
      <c r="M10247" s="9"/>
    </row>
    <row r="10248" spans="1:13" x14ac:dyDescent="0.25">
      <c r="A10248" s="8"/>
      <c r="M10248" s="9"/>
    </row>
    <row r="10249" spans="1:13" x14ac:dyDescent="0.25">
      <c r="A10249" s="8"/>
      <c r="M10249" s="9"/>
    </row>
    <row r="10250" spans="1:13" x14ac:dyDescent="0.25">
      <c r="A10250" s="8"/>
      <c r="M10250" s="9"/>
    </row>
    <row r="10251" spans="1:13" x14ac:dyDescent="0.25">
      <c r="A10251" s="8"/>
      <c r="M10251" s="9"/>
    </row>
    <row r="10252" spans="1:13" x14ac:dyDescent="0.25">
      <c r="A10252" s="8"/>
      <c r="M10252" s="9"/>
    </row>
    <row r="10253" spans="1:13" x14ac:dyDescent="0.25">
      <c r="A10253" s="8"/>
      <c r="M10253" s="9"/>
    </row>
    <row r="10254" spans="1:13" x14ac:dyDescent="0.25">
      <c r="A10254" s="8"/>
      <c r="M10254" s="9"/>
    </row>
    <row r="10255" spans="1:13" x14ac:dyDescent="0.25">
      <c r="A10255" s="8"/>
      <c r="M10255" s="9"/>
    </row>
    <row r="10256" spans="1:13" x14ac:dyDescent="0.25">
      <c r="A10256" s="8"/>
      <c r="M10256" s="9"/>
    </row>
    <row r="10257" spans="1:13" x14ac:dyDescent="0.25">
      <c r="A10257" s="8"/>
      <c r="M10257" s="9"/>
    </row>
    <row r="10258" spans="1:13" x14ac:dyDescent="0.25">
      <c r="A10258" s="8"/>
      <c r="M10258" s="9"/>
    </row>
    <row r="10259" spans="1:13" x14ac:dyDescent="0.25">
      <c r="A10259" s="8"/>
      <c r="M10259" s="9"/>
    </row>
    <row r="10260" spans="1:13" x14ac:dyDescent="0.25">
      <c r="A10260" s="8"/>
      <c r="M10260" s="9"/>
    </row>
    <row r="10261" spans="1:13" x14ac:dyDescent="0.25">
      <c r="A10261" s="8"/>
      <c r="M10261" s="9"/>
    </row>
    <row r="10262" spans="1:13" x14ac:dyDescent="0.25">
      <c r="A10262" s="8"/>
      <c r="M10262" s="9"/>
    </row>
    <row r="10263" spans="1:13" x14ac:dyDescent="0.25">
      <c r="A10263" s="8"/>
      <c r="M10263" s="9"/>
    </row>
    <row r="10264" spans="1:13" x14ac:dyDescent="0.25">
      <c r="A10264" s="8"/>
      <c r="M10264" s="9"/>
    </row>
    <row r="10265" spans="1:13" x14ac:dyDescent="0.25">
      <c r="A10265" s="8"/>
      <c r="M10265" s="9"/>
    </row>
    <row r="10266" spans="1:13" x14ac:dyDescent="0.25">
      <c r="A10266" s="8"/>
      <c r="M10266" s="9"/>
    </row>
    <row r="10267" spans="1:13" x14ac:dyDescent="0.25">
      <c r="A10267" s="8"/>
      <c r="M10267" s="9"/>
    </row>
    <row r="10268" spans="1:13" x14ac:dyDescent="0.25">
      <c r="A10268" s="8"/>
      <c r="M10268" s="9"/>
    </row>
    <row r="10269" spans="1:13" x14ac:dyDescent="0.25">
      <c r="A10269" s="8"/>
      <c r="M10269" s="9"/>
    </row>
    <row r="10270" spans="1:13" x14ac:dyDescent="0.25">
      <c r="A10270" s="8"/>
      <c r="M10270" s="9"/>
    </row>
    <row r="10271" spans="1:13" x14ac:dyDescent="0.25">
      <c r="A10271" s="8"/>
      <c r="M10271" s="9"/>
    </row>
    <row r="10272" spans="1:13" x14ac:dyDescent="0.25">
      <c r="A10272" s="8"/>
      <c r="M10272" s="9"/>
    </row>
    <row r="10273" spans="1:13" x14ac:dyDescent="0.25">
      <c r="A10273" s="8"/>
      <c r="M10273" s="9"/>
    </row>
    <row r="10274" spans="1:13" x14ac:dyDescent="0.25">
      <c r="A10274" s="8"/>
      <c r="M10274" s="9"/>
    </row>
    <row r="10275" spans="1:13" x14ac:dyDescent="0.25">
      <c r="A10275" s="8"/>
      <c r="M10275" s="9"/>
    </row>
    <row r="10276" spans="1:13" x14ac:dyDescent="0.25">
      <c r="A10276" s="8"/>
      <c r="M10276" s="9"/>
    </row>
    <row r="10277" spans="1:13" x14ac:dyDescent="0.25">
      <c r="A10277" s="8"/>
      <c r="M10277" s="9"/>
    </row>
    <row r="10278" spans="1:13" x14ac:dyDescent="0.25">
      <c r="A10278" s="8"/>
      <c r="M10278" s="9"/>
    </row>
    <row r="10279" spans="1:13" x14ac:dyDescent="0.25">
      <c r="A10279" s="8"/>
      <c r="M10279" s="9"/>
    </row>
    <row r="10280" spans="1:13" x14ac:dyDescent="0.25">
      <c r="A10280" s="8"/>
      <c r="M10280" s="9"/>
    </row>
    <row r="10281" spans="1:13" x14ac:dyDescent="0.25">
      <c r="A10281" s="8"/>
      <c r="M10281" s="9"/>
    </row>
    <row r="10282" spans="1:13" x14ac:dyDescent="0.25">
      <c r="A10282" s="8"/>
      <c r="M10282" s="9"/>
    </row>
    <row r="10283" spans="1:13" x14ac:dyDescent="0.25">
      <c r="A10283" s="8"/>
      <c r="M10283" s="9"/>
    </row>
    <row r="10284" spans="1:13" x14ac:dyDescent="0.25">
      <c r="A10284" s="8"/>
      <c r="M10284" s="9"/>
    </row>
    <row r="10285" spans="1:13" x14ac:dyDescent="0.25">
      <c r="A10285" s="8"/>
      <c r="M10285" s="9"/>
    </row>
    <row r="10286" spans="1:13" x14ac:dyDescent="0.25">
      <c r="A10286" s="8"/>
      <c r="M10286" s="9"/>
    </row>
    <row r="10287" spans="1:13" x14ac:dyDescent="0.25">
      <c r="A10287" s="8"/>
      <c r="M10287" s="9"/>
    </row>
    <row r="10288" spans="1:13" x14ac:dyDescent="0.25">
      <c r="A10288" s="8"/>
      <c r="M10288" s="9"/>
    </row>
    <row r="10289" spans="1:13" x14ac:dyDescent="0.25">
      <c r="A10289" s="8"/>
      <c r="M10289" s="9"/>
    </row>
    <row r="10290" spans="1:13" x14ac:dyDescent="0.25">
      <c r="A10290" s="8"/>
      <c r="M10290" s="9"/>
    </row>
    <row r="10291" spans="1:13" x14ac:dyDescent="0.25">
      <c r="A10291" s="8"/>
      <c r="M10291" s="9"/>
    </row>
    <row r="10292" spans="1:13" x14ac:dyDescent="0.25">
      <c r="A10292" s="8"/>
      <c r="M10292" s="9"/>
    </row>
    <row r="10293" spans="1:13" x14ac:dyDescent="0.25">
      <c r="A10293" s="8"/>
      <c r="M10293" s="9"/>
    </row>
    <row r="10294" spans="1:13" x14ac:dyDescent="0.25">
      <c r="A10294" s="8"/>
      <c r="M10294" s="9"/>
    </row>
    <row r="10295" spans="1:13" x14ac:dyDescent="0.25">
      <c r="A10295" s="8"/>
      <c r="M10295" s="9"/>
    </row>
    <row r="10296" spans="1:13" x14ac:dyDescent="0.25">
      <c r="A10296" s="8"/>
      <c r="M10296" s="9"/>
    </row>
    <row r="10297" spans="1:13" x14ac:dyDescent="0.25">
      <c r="A10297" s="8"/>
      <c r="M10297" s="9"/>
    </row>
    <row r="10298" spans="1:13" x14ac:dyDescent="0.25">
      <c r="A10298" s="8"/>
      <c r="M10298" s="9"/>
    </row>
    <row r="10299" spans="1:13" x14ac:dyDescent="0.25">
      <c r="A10299" s="8"/>
      <c r="M10299" s="9"/>
    </row>
    <row r="10300" spans="1:13" x14ac:dyDescent="0.25">
      <c r="A10300" s="8"/>
      <c r="M10300" s="9"/>
    </row>
    <row r="10301" spans="1:13" x14ac:dyDescent="0.25">
      <c r="A10301" s="8"/>
      <c r="M10301" s="9"/>
    </row>
    <row r="10302" spans="1:13" x14ac:dyDescent="0.25">
      <c r="A10302" s="8"/>
      <c r="M10302" s="9"/>
    </row>
    <row r="10303" spans="1:13" x14ac:dyDescent="0.25">
      <c r="A10303" s="8"/>
      <c r="M10303" s="9"/>
    </row>
    <row r="10304" spans="1:13" x14ac:dyDescent="0.25">
      <c r="A10304" s="8"/>
      <c r="M10304" s="9"/>
    </row>
    <row r="10305" spans="1:13" x14ac:dyDescent="0.25">
      <c r="A10305" s="8"/>
      <c r="M10305" s="9"/>
    </row>
    <row r="10306" spans="1:13" x14ac:dyDescent="0.25">
      <c r="A10306" s="8"/>
      <c r="M10306" s="9"/>
    </row>
    <row r="10307" spans="1:13" x14ac:dyDescent="0.25">
      <c r="A10307" s="8"/>
      <c r="M10307" s="9"/>
    </row>
    <row r="10308" spans="1:13" x14ac:dyDescent="0.25">
      <c r="A10308" s="8"/>
      <c r="M10308" s="9"/>
    </row>
    <row r="10309" spans="1:13" x14ac:dyDescent="0.25">
      <c r="A10309" s="8"/>
      <c r="M10309" s="9"/>
    </row>
    <row r="10310" spans="1:13" x14ac:dyDescent="0.25">
      <c r="A10310" s="8"/>
      <c r="M10310" s="9"/>
    </row>
    <row r="10311" spans="1:13" x14ac:dyDescent="0.25">
      <c r="A10311" s="8"/>
      <c r="M10311" s="9"/>
    </row>
    <row r="10312" spans="1:13" x14ac:dyDescent="0.25">
      <c r="A10312" s="8"/>
      <c r="M10312" s="9"/>
    </row>
    <row r="10313" spans="1:13" x14ac:dyDescent="0.25">
      <c r="A10313" s="8"/>
      <c r="M10313" s="9"/>
    </row>
    <row r="10314" spans="1:13" x14ac:dyDescent="0.25">
      <c r="A10314" s="8"/>
      <c r="M10314" s="9"/>
    </row>
    <row r="10315" spans="1:13" x14ac:dyDescent="0.25">
      <c r="A10315" s="8"/>
      <c r="M10315" s="9"/>
    </row>
    <row r="10316" spans="1:13" x14ac:dyDescent="0.25">
      <c r="A10316" s="8"/>
      <c r="M10316" s="9"/>
    </row>
    <row r="10317" spans="1:13" x14ac:dyDescent="0.25">
      <c r="A10317" s="8"/>
      <c r="M10317" s="9"/>
    </row>
    <row r="10318" spans="1:13" x14ac:dyDescent="0.25">
      <c r="A10318" s="8"/>
      <c r="M10318" s="9"/>
    </row>
    <row r="10319" spans="1:13" x14ac:dyDescent="0.25">
      <c r="A10319" s="8"/>
      <c r="M10319" s="9"/>
    </row>
    <row r="10320" spans="1:13" x14ac:dyDescent="0.25">
      <c r="A10320" s="8"/>
      <c r="M10320" s="9"/>
    </row>
    <row r="10321" spans="1:13" x14ac:dyDescent="0.25">
      <c r="A10321" s="8"/>
      <c r="M10321" s="9"/>
    </row>
    <row r="10322" spans="1:13" x14ac:dyDescent="0.25">
      <c r="A10322" s="8"/>
      <c r="M10322" s="9"/>
    </row>
    <row r="10323" spans="1:13" x14ac:dyDescent="0.25">
      <c r="A10323" s="8"/>
      <c r="M10323" s="9"/>
    </row>
    <row r="10324" spans="1:13" x14ac:dyDescent="0.25">
      <c r="A10324" s="8"/>
      <c r="M10324" s="9"/>
    </row>
    <row r="10325" spans="1:13" x14ac:dyDescent="0.25">
      <c r="A10325" s="8"/>
      <c r="M10325" s="9"/>
    </row>
    <row r="10326" spans="1:13" x14ac:dyDescent="0.25">
      <c r="A10326" s="8"/>
      <c r="M10326" s="9"/>
    </row>
    <row r="10327" spans="1:13" x14ac:dyDescent="0.25">
      <c r="A10327" s="8"/>
      <c r="M10327" s="9"/>
    </row>
    <row r="10328" spans="1:13" x14ac:dyDescent="0.25">
      <c r="A10328" s="8"/>
      <c r="M10328" s="9"/>
    </row>
    <row r="10329" spans="1:13" x14ac:dyDescent="0.25">
      <c r="A10329" s="8"/>
      <c r="M10329" s="9"/>
    </row>
    <row r="10330" spans="1:13" x14ac:dyDescent="0.25">
      <c r="A10330" s="8"/>
      <c r="M10330" s="9"/>
    </row>
    <row r="10331" spans="1:13" x14ac:dyDescent="0.25">
      <c r="A10331" s="8"/>
      <c r="M10331" s="9"/>
    </row>
    <row r="10332" spans="1:13" x14ac:dyDescent="0.25">
      <c r="A10332" s="8"/>
      <c r="M10332" s="9"/>
    </row>
    <row r="10333" spans="1:13" x14ac:dyDescent="0.25">
      <c r="A10333" s="8"/>
      <c r="M10333" s="9"/>
    </row>
    <row r="10334" spans="1:13" x14ac:dyDescent="0.25">
      <c r="A10334" s="8"/>
      <c r="M10334" s="9"/>
    </row>
    <row r="10335" spans="1:13" x14ac:dyDescent="0.25">
      <c r="A10335" s="8"/>
      <c r="M10335" s="9"/>
    </row>
    <row r="10336" spans="1:13" x14ac:dyDescent="0.25">
      <c r="A10336" s="8"/>
      <c r="M10336" s="9"/>
    </row>
    <row r="10337" spans="1:13" x14ac:dyDescent="0.25">
      <c r="A10337" s="8"/>
      <c r="M10337" s="9"/>
    </row>
    <row r="10338" spans="1:13" x14ac:dyDescent="0.25">
      <c r="A10338" s="8"/>
      <c r="M10338" s="9"/>
    </row>
    <row r="10339" spans="1:13" x14ac:dyDescent="0.25">
      <c r="A10339" s="8"/>
      <c r="M10339" s="9"/>
    </row>
    <row r="10340" spans="1:13" x14ac:dyDescent="0.25">
      <c r="A10340" s="8"/>
      <c r="M10340" s="9"/>
    </row>
    <row r="10341" spans="1:13" x14ac:dyDescent="0.25">
      <c r="A10341" s="8"/>
      <c r="M10341" s="9"/>
    </row>
    <row r="10342" spans="1:13" x14ac:dyDescent="0.25">
      <c r="A10342" s="8"/>
      <c r="M10342" s="9"/>
    </row>
    <row r="10343" spans="1:13" x14ac:dyDescent="0.25">
      <c r="A10343" s="8"/>
      <c r="M10343" s="9"/>
    </row>
    <row r="10344" spans="1:13" x14ac:dyDescent="0.25">
      <c r="A10344" s="8"/>
      <c r="M10344" s="9"/>
    </row>
    <row r="10345" spans="1:13" x14ac:dyDescent="0.25">
      <c r="A10345" s="8"/>
      <c r="M10345" s="9"/>
    </row>
    <row r="10346" spans="1:13" x14ac:dyDescent="0.25">
      <c r="A10346" s="8"/>
      <c r="M10346" s="9"/>
    </row>
    <row r="10347" spans="1:13" x14ac:dyDescent="0.25">
      <c r="A10347" s="8"/>
      <c r="M10347" s="9"/>
    </row>
    <row r="10348" spans="1:13" x14ac:dyDescent="0.25">
      <c r="A10348" s="8"/>
      <c r="M10348" s="9"/>
    </row>
    <row r="10349" spans="1:13" x14ac:dyDescent="0.25">
      <c r="A10349" s="8"/>
      <c r="M10349" s="9"/>
    </row>
    <row r="10350" spans="1:13" x14ac:dyDescent="0.25">
      <c r="A10350" s="8"/>
      <c r="M10350" s="9"/>
    </row>
    <row r="10351" spans="1:13" x14ac:dyDescent="0.25">
      <c r="A10351" s="8"/>
      <c r="M10351" s="9"/>
    </row>
    <row r="10352" spans="1:13" x14ac:dyDescent="0.25">
      <c r="A10352" s="8"/>
      <c r="M10352" s="9"/>
    </row>
    <row r="10353" spans="1:13" x14ac:dyDescent="0.25">
      <c r="A10353" s="8"/>
      <c r="M10353" s="9"/>
    </row>
    <row r="10354" spans="1:13" x14ac:dyDescent="0.25">
      <c r="A10354" s="8"/>
      <c r="M10354" s="9"/>
    </row>
    <row r="10355" spans="1:13" x14ac:dyDescent="0.25">
      <c r="A10355" s="8"/>
      <c r="M10355" s="9"/>
    </row>
    <row r="10356" spans="1:13" x14ac:dyDescent="0.25">
      <c r="A10356" s="8"/>
      <c r="M10356" s="9"/>
    </row>
    <row r="10357" spans="1:13" x14ac:dyDescent="0.25">
      <c r="A10357" s="8"/>
      <c r="M10357" s="9"/>
    </row>
    <row r="10358" spans="1:13" x14ac:dyDescent="0.25">
      <c r="A10358" s="8"/>
      <c r="M10358" s="9"/>
    </row>
    <row r="10359" spans="1:13" x14ac:dyDescent="0.25">
      <c r="A10359" s="8"/>
      <c r="M10359" s="9"/>
    </row>
    <row r="10360" spans="1:13" x14ac:dyDescent="0.25">
      <c r="A10360" s="8"/>
      <c r="M10360" s="9"/>
    </row>
    <row r="10361" spans="1:13" x14ac:dyDescent="0.25">
      <c r="A10361" s="8"/>
      <c r="M10361" s="9"/>
    </row>
    <row r="10362" spans="1:13" x14ac:dyDescent="0.25">
      <c r="A10362" s="8"/>
      <c r="M10362" s="9"/>
    </row>
    <row r="10363" spans="1:13" x14ac:dyDescent="0.25">
      <c r="A10363" s="8"/>
      <c r="M10363" s="9"/>
    </row>
    <row r="10364" spans="1:13" x14ac:dyDescent="0.25">
      <c r="A10364" s="8"/>
      <c r="M10364" s="9"/>
    </row>
    <row r="10365" spans="1:13" x14ac:dyDescent="0.25">
      <c r="A10365" s="8"/>
      <c r="M10365" s="9"/>
    </row>
    <row r="10366" spans="1:13" x14ac:dyDescent="0.25">
      <c r="A10366" s="8"/>
      <c r="M10366" s="9"/>
    </row>
    <row r="10367" spans="1:13" x14ac:dyDescent="0.25">
      <c r="A10367" s="8"/>
      <c r="M10367" s="9"/>
    </row>
    <row r="10368" spans="1:13" x14ac:dyDescent="0.25">
      <c r="A10368" s="8"/>
      <c r="M10368" s="9"/>
    </row>
    <row r="10369" spans="1:13" x14ac:dyDescent="0.25">
      <c r="A10369" s="8"/>
      <c r="M10369" s="9"/>
    </row>
    <row r="10370" spans="1:13" x14ac:dyDescent="0.25">
      <c r="A10370" s="8"/>
      <c r="M10370" s="9"/>
    </row>
    <row r="10371" spans="1:13" x14ac:dyDescent="0.25">
      <c r="A10371" s="8"/>
      <c r="M10371" s="9"/>
    </row>
    <row r="10372" spans="1:13" x14ac:dyDescent="0.25">
      <c r="A10372" s="8"/>
      <c r="M10372" s="9"/>
    </row>
    <row r="10373" spans="1:13" x14ac:dyDescent="0.25">
      <c r="A10373" s="8"/>
      <c r="M10373" s="9"/>
    </row>
    <row r="10374" spans="1:13" x14ac:dyDescent="0.25">
      <c r="A10374" s="8"/>
      <c r="M10374" s="9"/>
    </row>
    <row r="10375" spans="1:13" x14ac:dyDescent="0.25">
      <c r="A10375" s="8"/>
      <c r="M10375" s="9"/>
    </row>
    <row r="10376" spans="1:13" x14ac:dyDescent="0.25">
      <c r="A10376" s="8"/>
      <c r="M10376" s="9"/>
    </row>
    <row r="10377" spans="1:13" x14ac:dyDescent="0.25">
      <c r="A10377" s="8"/>
      <c r="M10377" s="9"/>
    </row>
    <row r="10378" spans="1:13" x14ac:dyDescent="0.25">
      <c r="A10378" s="8"/>
      <c r="M10378" s="9"/>
    </row>
    <row r="10379" spans="1:13" x14ac:dyDescent="0.25">
      <c r="A10379" s="8"/>
      <c r="M10379" s="9"/>
    </row>
    <row r="10380" spans="1:13" x14ac:dyDescent="0.25">
      <c r="A10380" s="8"/>
      <c r="M10380" s="9"/>
    </row>
    <row r="10381" spans="1:13" x14ac:dyDescent="0.25">
      <c r="A10381" s="8"/>
      <c r="M10381" s="9"/>
    </row>
    <row r="10382" spans="1:13" x14ac:dyDescent="0.25">
      <c r="A10382" s="8"/>
      <c r="M10382" s="9"/>
    </row>
    <row r="10383" spans="1:13" x14ac:dyDescent="0.25">
      <c r="A10383" s="8"/>
      <c r="M10383" s="9"/>
    </row>
    <row r="10384" spans="1:13" x14ac:dyDescent="0.25">
      <c r="A10384" s="8"/>
      <c r="M10384" s="9"/>
    </row>
    <row r="10385" spans="1:13" x14ac:dyDescent="0.25">
      <c r="A10385" s="8"/>
      <c r="M10385" s="9"/>
    </row>
    <row r="10386" spans="1:13" x14ac:dyDescent="0.25">
      <c r="A10386" s="8"/>
      <c r="M10386" s="9"/>
    </row>
    <row r="10387" spans="1:13" x14ac:dyDescent="0.25">
      <c r="A10387" s="8"/>
      <c r="M10387" s="9"/>
    </row>
    <row r="10388" spans="1:13" x14ac:dyDescent="0.25">
      <c r="A10388" s="8"/>
      <c r="M10388" s="9"/>
    </row>
    <row r="10389" spans="1:13" x14ac:dyDescent="0.25">
      <c r="A10389" s="8"/>
      <c r="M10389" s="9"/>
    </row>
    <row r="10390" spans="1:13" x14ac:dyDescent="0.25">
      <c r="A10390" s="8"/>
      <c r="M10390" s="9"/>
    </row>
    <row r="10391" spans="1:13" x14ac:dyDescent="0.25">
      <c r="A10391" s="8"/>
      <c r="M10391" s="9"/>
    </row>
    <row r="10392" spans="1:13" x14ac:dyDescent="0.25">
      <c r="A10392" s="8"/>
      <c r="M10392" s="9"/>
    </row>
    <row r="10393" spans="1:13" x14ac:dyDescent="0.25">
      <c r="A10393" s="8"/>
      <c r="M10393" s="9"/>
    </row>
    <row r="10394" spans="1:13" x14ac:dyDescent="0.25">
      <c r="A10394" s="8"/>
      <c r="M10394" s="9"/>
    </row>
    <row r="10395" spans="1:13" x14ac:dyDescent="0.25">
      <c r="A10395" s="8"/>
      <c r="M10395" s="9"/>
    </row>
    <row r="10396" spans="1:13" x14ac:dyDescent="0.25">
      <c r="A10396" s="8"/>
      <c r="M10396" s="9"/>
    </row>
    <row r="10397" spans="1:13" x14ac:dyDescent="0.25">
      <c r="A10397" s="8"/>
      <c r="M10397" s="9"/>
    </row>
    <row r="10398" spans="1:13" x14ac:dyDescent="0.25">
      <c r="A10398" s="8"/>
      <c r="M10398" s="9"/>
    </row>
    <row r="10399" spans="1:13" x14ac:dyDescent="0.25">
      <c r="A10399" s="8"/>
      <c r="M10399" s="9"/>
    </row>
    <row r="10400" spans="1:13" x14ac:dyDescent="0.25">
      <c r="A10400" s="8"/>
      <c r="M10400" s="9"/>
    </row>
    <row r="10401" spans="1:13" x14ac:dyDescent="0.25">
      <c r="A10401" s="8"/>
      <c r="M10401" s="9"/>
    </row>
    <row r="10402" spans="1:13" x14ac:dyDescent="0.25">
      <c r="A10402" s="8"/>
      <c r="M10402" s="9"/>
    </row>
    <row r="10403" spans="1:13" x14ac:dyDescent="0.25">
      <c r="A10403" s="8"/>
      <c r="M10403" s="9"/>
    </row>
    <row r="10404" spans="1:13" x14ac:dyDescent="0.25">
      <c r="A10404" s="8"/>
      <c r="M10404" s="9"/>
    </row>
    <row r="10405" spans="1:13" x14ac:dyDescent="0.25">
      <c r="A10405" s="8"/>
      <c r="M10405" s="9"/>
    </row>
    <row r="10406" spans="1:13" x14ac:dyDescent="0.25">
      <c r="A10406" s="8"/>
      <c r="M10406" s="9"/>
    </row>
    <row r="10407" spans="1:13" x14ac:dyDescent="0.25">
      <c r="A10407" s="8"/>
      <c r="M10407" s="9"/>
    </row>
    <row r="10408" spans="1:13" x14ac:dyDescent="0.25">
      <c r="A10408" s="8"/>
      <c r="M10408" s="9"/>
    </row>
    <row r="10409" spans="1:13" x14ac:dyDescent="0.25">
      <c r="A10409" s="8"/>
      <c r="M10409" s="9"/>
    </row>
    <row r="10410" spans="1:13" x14ac:dyDescent="0.25">
      <c r="A10410" s="8"/>
      <c r="M10410" s="9"/>
    </row>
    <row r="10411" spans="1:13" x14ac:dyDescent="0.25">
      <c r="A10411" s="8"/>
      <c r="M10411" s="9"/>
    </row>
    <row r="10412" spans="1:13" x14ac:dyDescent="0.25">
      <c r="A10412" s="8"/>
      <c r="M10412" s="9"/>
    </row>
    <row r="10413" spans="1:13" x14ac:dyDescent="0.25">
      <c r="A10413" s="8"/>
      <c r="M10413" s="9"/>
    </row>
    <row r="10414" spans="1:13" x14ac:dyDescent="0.25">
      <c r="A10414" s="8"/>
    </row>
    <row r="10415" spans="1:13" x14ac:dyDescent="0.25">
      <c r="A10415" s="8"/>
    </row>
    <row r="10416" spans="1:13" x14ac:dyDescent="0.25">
      <c r="A10416" s="8"/>
    </row>
    <row r="10417" spans="1:1" x14ac:dyDescent="0.25">
      <c r="A10417" s="8"/>
    </row>
    <row r="10418" spans="1:1" x14ac:dyDescent="0.25">
      <c r="A10418" s="8"/>
    </row>
    <row r="10419" spans="1:1" x14ac:dyDescent="0.25">
      <c r="A10419" s="8"/>
    </row>
    <row r="10420" spans="1:1" x14ac:dyDescent="0.25">
      <c r="A10420" s="8"/>
    </row>
    <row r="10421" spans="1:1" x14ac:dyDescent="0.25">
      <c r="A10421" s="8"/>
    </row>
    <row r="10422" spans="1:1" x14ac:dyDescent="0.25">
      <c r="A10422" s="8"/>
    </row>
    <row r="10423" spans="1:1" x14ac:dyDescent="0.25">
      <c r="A10423" s="8"/>
    </row>
    <row r="10424" spans="1:1" x14ac:dyDescent="0.25">
      <c r="A10424" s="8"/>
    </row>
    <row r="10425" spans="1:1" x14ac:dyDescent="0.25">
      <c r="A10425" s="8"/>
    </row>
    <row r="10426" spans="1:1" x14ac:dyDescent="0.25">
      <c r="A10426" s="8"/>
    </row>
    <row r="10427" spans="1:1" x14ac:dyDescent="0.25">
      <c r="A10427" s="8"/>
    </row>
    <row r="10428" spans="1:1" x14ac:dyDescent="0.25">
      <c r="A10428" s="8"/>
    </row>
    <row r="10429" spans="1:1" x14ac:dyDescent="0.25">
      <c r="A10429" s="8"/>
    </row>
    <row r="10430" spans="1:1" x14ac:dyDescent="0.25">
      <c r="A10430" s="8"/>
    </row>
    <row r="10431" spans="1:1" x14ac:dyDescent="0.25">
      <c r="A10431" s="8"/>
    </row>
    <row r="10432" spans="1:1" x14ac:dyDescent="0.25">
      <c r="A10432" s="8"/>
    </row>
    <row r="10433" spans="1:1" x14ac:dyDescent="0.25">
      <c r="A10433" s="8"/>
    </row>
    <row r="10434" spans="1:1" x14ac:dyDescent="0.25">
      <c r="A10434" s="8"/>
    </row>
    <row r="10435" spans="1:1" x14ac:dyDescent="0.25">
      <c r="A10435" s="8"/>
    </row>
    <row r="10436" spans="1:1" x14ac:dyDescent="0.25">
      <c r="A10436" s="8"/>
    </row>
    <row r="10437" spans="1:1" x14ac:dyDescent="0.25">
      <c r="A10437" s="8"/>
    </row>
    <row r="10438" spans="1:1" x14ac:dyDescent="0.25">
      <c r="A10438" s="8"/>
    </row>
    <row r="10439" spans="1:1" x14ac:dyDescent="0.25">
      <c r="A10439" s="8"/>
    </row>
    <row r="10440" spans="1:1" x14ac:dyDescent="0.25">
      <c r="A10440" s="8"/>
    </row>
    <row r="10441" spans="1:1" x14ac:dyDescent="0.25">
      <c r="A10441" s="8"/>
    </row>
    <row r="10442" spans="1:1" x14ac:dyDescent="0.25">
      <c r="A10442" s="8"/>
    </row>
    <row r="10443" spans="1:1" x14ac:dyDescent="0.25">
      <c r="A10443" s="8"/>
    </row>
    <row r="10444" spans="1:1" x14ac:dyDescent="0.25">
      <c r="A10444" s="8"/>
    </row>
    <row r="10445" spans="1:1" x14ac:dyDescent="0.25">
      <c r="A10445" s="8"/>
    </row>
    <row r="10446" spans="1:1" x14ac:dyDescent="0.25">
      <c r="A10446" s="8"/>
    </row>
    <row r="10447" spans="1:1" x14ac:dyDescent="0.25">
      <c r="A10447" s="8"/>
    </row>
    <row r="10448" spans="1:1" x14ac:dyDescent="0.25">
      <c r="A10448" s="8"/>
    </row>
    <row r="10449" spans="1:1" x14ac:dyDescent="0.25">
      <c r="A10449" s="8"/>
    </row>
    <row r="10450" spans="1:1" x14ac:dyDescent="0.25">
      <c r="A10450" s="8"/>
    </row>
    <row r="10451" spans="1:1" x14ac:dyDescent="0.25">
      <c r="A10451" s="8"/>
    </row>
    <row r="10452" spans="1:1" x14ac:dyDescent="0.25">
      <c r="A10452" s="8"/>
    </row>
    <row r="10453" spans="1:1" x14ac:dyDescent="0.25">
      <c r="A10453" s="8"/>
    </row>
    <row r="10454" spans="1:1" x14ac:dyDescent="0.25">
      <c r="A10454" s="8"/>
    </row>
    <row r="10455" spans="1:1" x14ac:dyDescent="0.25">
      <c r="A10455" s="8"/>
    </row>
    <row r="10456" spans="1:1" x14ac:dyDescent="0.25">
      <c r="A10456" s="8"/>
    </row>
    <row r="10457" spans="1:1" x14ac:dyDescent="0.25">
      <c r="A10457" s="8"/>
    </row>
    <row r="10458" spans="1:1" x14ac:dyDescent="0.25">
      <c r="A10458" s="8"/>
    </row>
    <row r="10459" spans="1:1" x14ac:dyDescent="0.25">
      <c r="A10459" s="8"/>
    </row>
    <row r="10460" spans="1:1" x14ac:dyDescent="0.25">
      <c r="A10460" s="8"/>
    </row>
    <row r="10461" spans="1:1" x14ac:dyDescent="0.25">
      <c r="A10461" s="8"/>
    </row>
    <row r="10462" spans="1:1" x14ac:dyDescent="0.25">
      <c r="A10462" s="8"/>
    </row>
    <row r="10463" spans="1:1" x14ac:dyDescent="0.25">
      <c r="A10463" s="8"/>
    </row>
    <row r="10464" spans="1:1" x14ac:dyDescent="0.25">
      <c r="A10464" s="8"/>
    </row>
    <row r="10465" spans="1:1" x14ac:dyDescent="0.25">
      <c r="A10465" s="8"/>
    </row>
    <row r="10466" spans="1:1" x14ac:dyDescent="0.25">
      <c r="A10466" s="8"/>
    </row>
    <row r="10467" spans="1:1" x14ac:dyDescent="0.25">
      <c r="A10467" s="8"/>
    </row>
    <row r="10468" spans="1:1" x14ac:dyDescent="0.25">
      <c r="A10468" s="8"/>
    </row>
    <row r="10469" spans="1:1" x14ac:dyDescent="0.25">
      <c r="A10469" s="8"/>
    </row>
    <row r="10470" spans="1:1" x14ac:dyDescent="0.25">
      <c r="A10470" s="8"/>
    </row>
    <row r="10471" spans="1:1" x14ac:dyDescent="0.25">
      <c r="A10471" s="8"/>
    </row>
    <row r="10472" spans="1:1" x14ac:dyDescent="0.25">
      <c r="A10472" s="8"/>
    </row>
    <row r="10473" spans="1:1" x14ac:dyDescent="0.25">
      <c r="A10473" s="8"/>
    </row>
    <row r="10474" spans="1:1" x14ac:dyDescent="0.25">
      <c r="A10474" s="8"/>
    </row>
    <row r="10475" spans="1:1" x14ac:dyDescent="0.25">
      <c r="A10475" s="8"/>
    </row>
    <row r="10476" spans="1:1" x14ac:dyDescent="0.25">
      <c r="A10476" s="8"/>
    </row>
    <row r="10477" spans="1:1" x14ac:dyDescent="0.25">
      <c r="A10477" s="8"/>
    </row>
    <row r="10478" spans="1:1" x14ac:dyDescent="0.25">
      <c r="A10478" s="8"/>
    </row>
    <row r="10479" spans="1:1" x14ac:dyDescent="0.25">
      <c r="A10479" s="8"/>
    </row>
    <row r="10480" spans="1:1" x14ac:dyDescent="0.25">
      <c r="A10480" s="8"/>
    </row>
    <row r="10481" spans="1:1" x14ac:dyDescent="0.25">
      <c r="A10481" s="8"/>
    </row>
    <row r="10482" spans="1:1" x14ac:dyDescent="0.25">
      <c r="A10482" s="8"/>
    </row>
    <row r="10483" spans="1:1" x14ac:dyDescent="0.25">
      <c r="A10483" s="8"/>
    </row>
    <row r="10484" spans="1:1" x14ac:dyDescent="0.25">
      <c r="A10484" s="8"/>
    </row>
    <row r="10485" spans="1:1" x14ac:dyDescent="0.25">
      <c r="A10485" s="8"/>
    </row>
    <row r="10486" spans="1:1" x14ac:dyDescent="0.25">
      <c r="A10486" s="8"/>
    </row>
    <row r="10487" spans="1:1" x14ac:dyDescent="0.25">
      <c r="A10487" s="8"/>
    </row>
    <row r="10488" spans="1:1" x14ac:dyDescent="0.25">
      <c r="A10488" s="8"/>
    </row>
    <row r="10489" spans="1:1" x14ac:dyDescent="0.25">
      <c r="A10489" s="8"/>
    </row>
    <row r="10490" spans="1:1" x14ac:dyDescent="0.25">
      <c r="A10490" s="8"/>
    </row>
    <row r="10491" spans="1:1" x14ac:dyDescent="0.25">
      <c r="A10491" s="8"/>
    </row>
    <row r="10492" spans="1:1" x14ac:dyDescent="0.25">
      <c r="A10492" s="8"/>
    </row>
    <row r="10493" spans="1:1" x14ac:dyDescent="0.25">
      <c r="A10493" s="8"/>
    </row>
    <row r="10494" spans="1:1" x14ac:dyDescent="0.25">
      <c r="A10494" s="8"/>
    </row>
    <row r="10495" spans="1:1" x14ac:dyDescent="0.25">
      <c r="A10495" s="8"/>
    </row>
    <row r="10496" spans="1:1" x14ac:dyDescent="0.25">
      <c r="A10496" s="8"/>
    </row>
    <row r="10497" spans="1:1" x14ac:dyDescent="0.25">
      <c r="A10497" s="8"/>
    </row>
    <row r="10498" spans="1:1" x14ac:dyDescent="0.25">
      <c r="A10498" s="8"/>
    </row>
    <row r="10499" spans="1:1" x14ac:dyDescent="0.25">
      <c r="A10499" s="8"/>
    </row>
    <row r="10500" spans="1:1" x14ac:dyDescent="0.25">
      <c r="A10500" s="8"/>
    </row>
    <row r="10501" spans="1:1" x14ac:dyDescent="0.25">
      <c r="A10501" s="8"/>
    </row>
    <row r="10502" spans="1:1" x14ac:dyDescent="0.25">
      <c r="A10502" s="8"/>
    </row>
    <row r="10503" spans="1:1" x14ac:dyDescent="0.25">
      <c r="A10503" s="8"/>
    </row>
    <row r="10504" spans="1:1" x14ac:dyDescent="0.25">
      <c r="A10504" s="8"/>
    </row>
    <row r="10505" spans="1:1" x14ac:dyDescent="0.25">
      <c r="A10505" s="8"/>
    </row>
    <row r="10506" spans="1:1" x14ac:dyDescent="0.25">
      <c r="A10506" s="8"/>
    </row>
    <row r="10507" spans="1:1" x14ac:dyDescent="0.25">
      <c r="A10507" s="8"/>
    </row>
    <row r="10508" spans="1:1" x14ac:dyDescent="0.25">
      <c r="A10508" s="8"/>
    </row>
    <row r="10509" spans="1:1" x14ac:dyDescent="0.25">
      <c r="A10509" s="8"/>
    </row>
    <row r="10510" spans="1:1" x14ac:dyDescent="0.25">
      <c r="A10510" s="8"/>
    </row>
    <row r="10511" spans="1:1" x14ac:dyDescent="0.25">
      <c r="A10511" s="8"/>
    </row>
    <row r="10512" spans="1:1" x14ac:dyDescent="0.25">
      <c r="A10512" s="8"/>
    </row>
    <row r="10513" spans="1:1" x14ac:dyDescent="0.25">
      <c r="A10513" s="8"/>
    </row>
    <row r="10514" spans="1:1" x14ac:dyDescent="0.25">
      <c r="A10514" s="8"/>
    </row>
    <row r="10515" spans="1:1" x14ac:dyDescent="0.25">
      <c r="A10515" s="8"/>
    </row>
    <row r="10516" spans="1:1" x14ac:dyDescent="0.25">
      <c r="A10516" s="8"/>
    </row>
    <row r="10517" spans="1:1" x14ac:dyDescent="0.25">
      <c r="A10517" s="8"/>
    </row>
    <row r="10518" spans="1:1" x14ac:dyDescent="0.25">
      <c r="A10518" s="8"/>
    </row>
    <row r="10519" spans="1:1" x14ac:dyDescent="0.25">
      <c r="A10519" s="8"/>
    </row>
    <row r="10520" spans="1:1" x14ac:dyDescent="0.25">
      <c r="A10520" s="8"/>
    </row>
    <row r="10521" spans="1:1" x14ac:dyDescent="0.25">
      <c r="A10521" s="8"/>
    </row>
    <row r="10522" spans="1:1" x14ac:dyDescent="0.25">
      <c r="A10522" s="8"/>
    </row>
    <row r="10523" spans="1:1" x14ac:dyDescent="0.25">
      <c r="A10523" s="8"/>
    </row>
    <row r="10524" spans="1:1" x14ac:dyDescent="0.25">
      <c r="A10524" s="8"/>
    </row>
    <row r="10525" spans="1:1" x14ac:dyDescent="0.25">
      <c r="A10525" s="8"/>
    </row>
    <row r="10526" spans="1:1" x14ac:dyDescent="0.25">
      <c r="A10526" s="8"/>
    </row>
    <row r="10527" spans="1:1" x14ac:dyDescent="0.25">
      <c r="A10527" s="8"/>
    </row>
    <row r="10528" spans="1:1" x14ac:dyDescent="0.25">
      <c r="A10528" s="8"/>
    </row>
    <row r="10529" spans="1:1" x14ac:dyDescent="0.25">
      <c r="A10529" s="8"/>
    </row>
    <row r="10530" spans="1:1" x14ac:dyDescent="0.25">
      <c r="A10530" s="8"/>
    </row>
    <row r="10531" spans="1:1" x14ac:dyDescent="0.25">
      <c r="A10531" s="8"/>
    </row>
    <row r="10532" spans="1:1" x14ac:dyDescent="0.25">
      <c r="A10532" s="8"/>
    </row>
    <row r="10533" spans="1:1" x14ac:dyDescent="0.25">
      <c r="A10533" s="8"/>
    </row>
    <row r="10534" spans="1:1" x14ac:dyDescent="0.25">
      <c r="A10534" s="8"/>
    </row>
    <row r="10535" spans="1:1" x14ac:dyDescent="0.25">
      <c r="A10535" s="8"/>
    </row>
    <row r="10536" spans="1:1" x14ac:dyDescent="0.25">
      <c r="A10536" s="8"/>
    </row>
    <row r="10537" spans="1:1" x14ac:dyDescent="0.25">
      <c r="A10537" s="8"/>
    </row>
    <row r="10538" spans="1:1" x14ac:dyDescent="0.25">
      <c r="A10538" s="8"/>
    </row>
    <row r="10539" spans="1:1" x14ac:dyDescent="0.25">
      <c r="A10539" s="8"/>
    </row>
    <row r="10540" spans="1:1" x14ac:dyDescent="0.25">
      <c r="A10540" s="8"/>
    </row>
    <row r="10541" spans="1:1" x14ac:dyDescent="0.25">
      <c r="A10541" s="8"/>
    </row>
    <row r="10542" spans="1:1" x14ac:dyDescent="0.25">
      <c r="A10542" s="8"/>
    </row>
    <row r="10543" spans="1:1" x14ac:dyDescent="0.25">
      <c r="A10543" s="8"/>
    </row>
    <row r="10544" spans="1:1" x14ac:dyDescent="0.25">
      <c r="A10544" s="8"/>
    </row>
  </sheetData>
  <dataConsolidate/>
  <phoneticPr fontId="0" type="noConversion"/>
  <pageMargins left="0.75" right="0.75" top="1" bottom="1" header="0" footer="0"/>
  <pageSetup firstPageNumber="4294967295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4" name="Button 19">
              <controlPr defaultSize="0" print="0" autoFill="0" autoPict="0" macro="[0]!PREPROCESAMIENTO">
                <anchor moveWithCells="1" sizeWithCells="1">
                  <from>
                    <xdr:col>1</xdr:col>
                    <xdr:colOff>838200</xdr:colOff>
                    <xdr:row>0</xdr:row>
                    <xdr:rowOff>38100</xdr:rowOff>
                  </from>
                  <to>
                    <xdr:col>1</xdr:col>
                    <xdr:colOff>2400300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ORRAR">
                <anchor moveWithCells="1" sizeWithCells="1">
                  <from>
                    <xdr:col>1</xdr:col>
                    <xdr:colOff>2598420</xdr:colOff>
                    <xdr:row>0</xdr:row>
                    <xdr:rowOff>38100</xdr:rowOff>
                  </from>
                  <to>
                    <xdr:col>2</xdr:col>
                    <xdr:colOff>457200</xdr:colOff>
                    <xdr:row>1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B1:L41"/>
  <sheetViews>
    <sheetView workbookViewId="0">
      <selection activeCell="J3" sqref="J3"/>
    </sheetView>
  </sheetViews>
  <sheetFormatPr baseColWidth="10" defaultRowHeight="13.2" x14ac:dyDescent="0.25"/>
  <cols>
    <col min="2" max="2" width="18.6640625" customWidth="1"/>
    <col min="10" max="10" width="14.88671875" customWidth="1"/>
  </cols>
  <sheetData>
    <row r="1" spans="2:12" x14ac:dyDescent="0.25">
      <c r="B1">
        <f>COUNTA(B3:B9993)+3</f>
        <v>28</v>
      </c>
      <c r="C1">
        <f>COUNTA(C3:C9990)+3</f>
        <v>29</v>
      </c>
      <c r="D1">
        <f>COUNTA(D3:D9995)+3</f>
        <v>10</v>
      </c>
      <c r="E1">
        <f>COUNTA(E3:E9973)+3</f>
        <v>42</v>
      </c>
      <c r="F1">
        <f>COUNTA(F3:F9991)+3</f>
        <v>21</v>
      </c>
    </row>
    <row r="2" spans="2:12" ht="26.4" x14ac:dyDescent="0.25">
      <c r="B2" s="12" t="s">
        <v>123</v>
      </c>
      <c r="C2" s="12" t="s">
        <v>124</v>
      </c>
      <c r="D2" s="12" t="s">
        <v>20</v>
      </c>
      <c r="E2" s="12" t="s">
        <v>16</v>
      </c>
      <c r="F2" s="12" t="s">
        <v>21</v>
      </c>
      <c r="J2" s="12" t="s">
        <v>122</v>
      </c>
    </row>
    <row r="3" spans="2:12" x14ac:dyDescent="0.25">
      <c r="B3" t="s">
        <v>33</v>
      </c>
      <c r="C3" s="11" t="s">
        <v>60</v>
      </c>
      <c r="D3" s="11" t="s">
        <v>40</v>
      </c>
      <c r="E3" s="11" t="s">
        <v>26</v>
      </c>
      <c r="F3" s="11" t="s">
        <v>47</v>
      </c>
      <c r="H3" s="7"/>
      <c r="I3" s="7"/>
      <c r="J3" s="7" t="str">
        <f>IF(AND(G3&gt;=0,G3&lt;=60),"0 - 60 DIAS",IF(AND(G3&gt;=61,G3&lt;=120),"61 -120 DIAS",IF(AND(G3&gt;=121,G3&lt;=180),"121 -180 DIAS",IF(AND(G3&gt;=181,G3&lt;=240),"181-240 DIAS",IF(AND(G3&gt;=241,G3&lt;=400),"241 -400 DIAS",IF(AND(G3&gt;=401,G3&lt;=700),"401 -700 DIAS","700 - MÁS DIAS"))))))</f>
        <v>0 - 60 DIAS</v>
      </c>
      <c r="K3" s="7"/>
      <c r="L3" s="7"/>
    </row>
    <row r="4" spans="2:12" x14ac:dyDescent="0.25">
      <c r="B4" t="s">
        <v>36</v>
      </c>
      <c r="C4" s="11" t="s">
        <v>30</v>
      </c>
      <c r="D4" s="7" t="s">
        <v>28</v>
      </c>
      <c r="E4" s="11" t="s">
        <v>39</v>
      </c>
      <c r="F4" s="11" t="s">
        <v>36</v>
      </c>
    </row>
    <row r="5" spans="2:12" x14ac:dyDescent="0.25">
      <c r="B5" t="s">
        <v>37</v>
      </c>
      <c r="C5" s="11" t="s">
        <v>82</v>
      </c>
      <c r="D5" s="7" t="s">
        <v>32</v>
      </c>
      <c r="E5" s="11" t="s">
        <v>40</v>
      </c>
      <c r="F5" s="11" t="s">
        <v>50</v>
      </c>
    </row>
    <row r="6" spans="2:12" x14ac:dyDescent="0.25">
      <c r="B6" t="s">
        <v>97</v>
      </c>
      <c r="C6" s="11" t="s">
        <v>83</v>
      </c>
      <c r="D6" s="7" t="s">
        <v>43</v>
      </c>
      <c r="E6" s="11" t="s">
        <v>47</v>
      </c>
      <c r="F6" s="11" t="s">
        <v>79</v>
      </c>
    </row>
    <row r="7" spans="2:12" x14ac:dyDescent="0.25">
      <c r="B7" s="11" t="s">
        <v>50</v>
      </c>
      <c r="C7" s="11" t="s">
        <v>81</v>
      </c>
      <c r="D7" s="7" t="s">
        <v>46</v>
      </c>
      <c r="E7" s="11" t="s">
        <v>80</v>
      </c>
      <c r="F7" s="7" t="s">
        <v>58</v>
      </c>
    </row>
    <row r="8" spans="2:12" x14ac:dyDescent="0.25">
      <c r="B8" s="11" t="s">
        <v>55</v>
      </c>
      <c r="C8" s="11" t="s">
        <v>100</v>
      </c>
      <c r="D8" s="7" t="s">
        <v>99</v>
      </c>
      <c r="E8" s="11" t="s">
        <v>102</v>
      </c>
      <c r="F8" s="7" t="s">
        <v>63</v>
      </c>
    </row>
    <row r="9" spans="2:12" x14ac:dyDescent="0.25">
      <c r="B9" s="11" t="s">
        <v>109</v>
      </c>
      <c r="C9" s="11" t="s">
        <v>50</v>
      </c>
      <c r="D9" s="7" t="s">
        <v>24</v>
      </c>
      <c r="E9" s="7" t="s">
        <v>42</v>
      </c>
      <c r="F9" s="7" t="s">
        <v>64</v>
      </c>
    </row>
    <row r="10" spans="2:12" x14ac:dyDescent="0.25">
      <c r="B10" s="7" t="s">
        <v>53</v>
      </c>
      <c r="C10" s="11" t="s">
        <v>31</v>
      </c>
      <c r="E10" s="7" t="s">
        <v>69</v>
      </c>
      <c r="F10" s="7" t="s">
        <v>15</v>
      </c>
    </row>
    <row r="11" spans="2:12" x14ac:dyDescent="0.25">
      <c r="B11" s="7" t="s">
        <v>56</v>
      </c>
      <c r="C11" s="11" t="s">
        <v>117</v>
      </c>
      <c r="E11" s="7" t="s">
        <v>71</v>
      </c>
      <c r="F11" s="7" t="s">
        <v>67</v>
      </c>
    </row>
    <row r="12" spans="2:12" x14ac:dyDescent="0.25">
      <c r="B12" s="7" t="s">
        <v>110</v>
      </c>
      <c r="C12" s="7" t="s">
        <v>61</v>
      </c>
      <c r="E12" s="7" t="s">
        <v>43</v>
      </c>
      <c r="F12" s="7" t="s">
        <v>57</v>
      </c>
    </row>
    <row r="13" spans="2:12" x14ac:dyDescent="0.25">
      <c r="B13" s="7" t="s">
        <v>34</v>
      </c>
      <c r="C13" s="7" t="s">
        <v>101</v>
      </c>
      <c r="E13" s="7" t="s">
        <v>74</v>
      </c>
      <c r="F13" s="7" t="s">
        <v>28</v>
      </c>
    </row>
    <row r="14" spans="2:12" x14ac:dyDescent="0.25">
      <c r="B14" s="7" t="s">
        <v>54</v>
      </c>
      <c r="C14" s="7" t="s">
        <v>29</v>
      </c>
      <c r="E14" s="7" t="s">
        <v>77</v>
      </c>
      <c r="F14" s="7" t="s">
        <v>78</v>
      </c>
    </row>
    <row r="15" spans="2:12" x14ac:dyDescent="0.25">
      <c r="B15" s="7" t="s">
        <v>93</v>
      </c>
      <c r="C15" s="7" t="s">
        <v>27</v>
      </c>
      <c r="E15" s="7" t="s">
        <v>25</v>
      </c>
      <c r="F15" s="7" t="s">
        <v>86</v>
      </c>
    </row>
    <row r="16" spans="2:12" x14ac:dyDescent="0.25">
      <c r="B16" s="7" t="s">
        <v>96</v>
      </c>
      <c r="C16" s="7" t="s">
        <v>62</v>
      </c>
      <c r="E16" s="7" t="s">
        <v>27</v>
      </c>
      <c r="F16" s="7" t="s">
        <v>106</v>
      </c>
    </row>
    <row r="17" spans="2:6" x14ac:dyDescent="0.25">
      <c r="B17" s="7" t="s">
        <v>35</v>
      </c>
      <c r="C17" s="7" t="s">
        <v>70</v>
      </c>
      <c r="E17" s="7" t="s">
        <v>28</v>
      </c>
      <c r="F17" s="11" t="s">
        <v>66</v>
      </c>
    </row>
    <row r="18" spans="2:6" x14ac:dyDescent="0.25">
      <c r="B18" s="7" t="s">
        <v>52</v>
      </c>
      <c r="C18" s="7" t="s">
        <v>73</v>
      </c>
      <c r="E18" s="7" t="s">
        <v>59</v>
      </c>
      <c r="F18" t="s">
        <v>120</v>
      </c>
    </row>
    <row r="19" spans="2:6" x14ac:dyDescent="0.25">
      <c r="B19" s="7" t="s">
        <v>51</v>
      </c>
      <c r="C19" s="7" t="s">
        <v>76</v>
      </c>
      <c r="E19" s="7" t="s">
        <v>87</v>
      </c>
      <c r="F19" t="s">
        <v>121</v>
      </c>
    </row>
    <row r="20" spans="2:6" x14ac:dyDescent="0.25">
      <c r="B20" s="13" t="s">
        <v>118</v>
      </c>
      <c r="C20" s="7" t="s">
        <v>43</v>
      </c>
      <c r="E20" s="7" t="s">
        <v>94</v>
      </c>
      <c r="F20" t="s">
        <v>38</v>
      </c>
    </row>
    <row r="21" spans="2:6" x14ac:dyDescent="0.25">
      <c r="B21" s="7" t="s">
        <v>111</v>
      </c>
      <c r="C21" s="7" t="s">
        <v>44</v>
      </c>
      <c r="E21" s="7" t="s">
        <v>95</v>
      </c>
    </row>
    <row r="22" spans="2:6" x14ac:dyDescent="0.25">
      <c r="B22" s="7" t="s">
        <v>112</v>
      </c>
      <c r="C22" s="7" t="s">
        <v>45</v>
      </c>
      <c r="E22" s="7" t="s">
        <v>103</v>
      </c>
    </row>
    <row r="23" spans="2:6" x14ac:dyDescent="0.25">
      <c r="B23" s="7" t="s">
        <v>113</v>
      </c>
      <c r="C23" s="7" t="s">
        <v>84</v>
      </c>
      <c r="E23" s="7" t="s">
        <v>75</v>
      </c>
    </row>
    <row r="24" spans="2:6" x14ac:dyDescent="0.25">
      <c r="B24" s="7" t="s">
        <v>114</v>
      </c>
      <c r="C24" s="7" t="s">
        <v>85</v>
      </c>
      <c r="E24" s="7" t="s">
        <v>104</v>
      </c>
    </row>
    <row r="25" spans="2:6" x14ac:dyDescent="0.25">
      <c r="B25" s="7" t="s">
        <v>115</v>
      </c>
      <c r="C25" s="7" t="s">
        <v>108</v>
      </c>
      <c r="E25" s="7" t="s">
        <v>105</v>
      </c>
    </row>
    <row r="26" spans="2:6" x14ac:dyDescent="0.25">
      <c r="B26" s="7" t="s">
        <v>116</v>
      </c>
      <c r="C26" s="7" t="s">
        <v>65</v>
      </c>
      <c r="E26" s="7" t="s">
        <v>107</v>
      </c>
    </row>
    <row r="27" spans="2:6" x14ac:dyDescent="0.25">
      <c r="B27" s="13" t="s">
        <v>119</v>
      </c>
      <c r="C27" t="s">
        <v>30</v>
      </c>
      <c r="E27" s="7" t="s">
        <v>49</v>
      </c>
    </row>
    <row r="28" spans="2:6" x14ac:dyDescent="0.25">
      <c r="C28" t="s">
        <v>74</v>
      </c>
      <c r="E28" s="7" t="s">
        <v>48</v>
      </c>
    </row>
    <row r="29" spans="2:6" x14ac:dyDescent="0.25">
      <c r="E29" s="7" t="s">
        <v>41</v>
      </c>
    </row>
    <row r="30" spans="2:6" x14ac:dyDescent="0.25">
      <c r="E30" s="7" t="s">
        <v>68</v>
      </c>
    </row>
    <row r="31" spans="2:6" x14ac:dyDescent="0.25">
      <c r="E31" s="7" t="s">
        <v>72</v>
      </c>
    </row>
    <row r="32" spans="2:6" x14ac:dyDescent="0.25">
      <c r="E32" s="7" t="s">
        <v>88</v>
      </c>
    </row>
    <row r="33" spans="5:5" x14ac:dyDescent="0.25">
      <c r="E33" s="7" t="s">
        <v>90</v>
      </c>
    </row>
    <row r="34" spans="5:5" x14ac:dyDescent="0.25">
      <c r="E34" s="7" t="s">
        <v>91</v>
      </c>
    </row>
    <row r="35" spans="5:5" x14ac:dyDescent="0.25">
      <c r="E35" s="7" t="s">
        <v>92</v>
      </c>
    </row>
    <row r="36" spans="5:5" x14ac:dyDescent="0.25">
      <c r="E36" s="7" t="s">
        <v>98</v>
      </c>
    </row>
    <row r="37" spans="5:5" x14ac:dyDescent="0.25">
      <c r="E37" s="7" t="s">
        <v>89</v>
      </c>
    </row>
    <row r="38" spans="5:5" x14ac:dyDescent="0.25">
      <c r="E38" s="7" t="s">
        <v>52</v>
      </c>
    </row>
    <row r="39" spans="5:5" x14ac:dyDescent="0.25">
      <c r="E39" s="7" t="s">
        <v>24</v>
      </c>
    </row>
    <row r="40" spans="5:5" x14ac:dyDescent="0.25">
      <c r="E40" s="18" t="s">
        <v>23</v>
      </c>
    </row>
    <row r="41" spans="5:5" x14ac:dyDescent="0.25">
      <c r="E41" s="18" t="s">
        <v>22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T6"/>
  <sheetViews>
    <sheetView workbookViewId="0">
      <selection activeCell="C6" sqref="C6"/>
    </sheetView>
  </sheetViews>
  <sheetFormatPr baseColWidth="10" defaultRowHeight="13.2" x14ac:dyDescent="0.25"/>
  <cols>
    <col min="1" max="1" width="13.5546875" customWidth="1"/>
    <col min="2" max="2" width="13.77734375" customWidth="1"/>
    <col min="3" max="3" width="18.44140625" customWidth="1"/>
    <col min="4" max="4" width="17" customWidth="1"/>
    <col min="5" max="6" width="16.44140625" customWidth="1"/>
    <col min="7" max="7" width="21.21875" customWidth="1"/>
    <col min="8" max="8" width="12.44140625" customWidth="1"/>
    <col min="9" max="9" width="14.109375" customWidth="1"/>
    <col min="10" max="10" width="16.88671875" customWidth="1"/>
    <col min="11" max="11" width="16.6640625" customWidth="1"/>
    <col min="12" max="12" width="17.44140625" customWidth="1"/>
    <col min="13" max="13" width="18.6640625" customWidth="1"/>
    <col min="14" max="14" width="17" customWidth="1"/>
    <col min="16" max="16" width="20.109375" customWidth="1"/>
    <col min="17" max="17" width="15.88671875" customWidth="1"/>
    <col min="19" max="19" width="20.77734375" customWidth="1"/>
    <col min="20" max="20" width="17.44140625" customWidth="1"/>
  </cols>
  <sheetData>
    <row r="1" spans="1:20" s="38" customFormat="1" x14ac:dyDescent="0.25">
      <c r="A1" s="35" t="s">
        <v>18</v>
      </c>
      <c r="B1" s="35" t="s">
        <v>19</v>
      </c>
      <c r="C1" s="35" t="s">
        <v>12</v>
      </c>
      <c r="D1" s="35" t="s">
        <v>0</v>
      </c>
      <c r="E1" s="35" t="s">
        <v>1</v>
      </c>
      <c r="F1" s="35" t="s">
        <v>2</v>
      </c>
      <c r="G1" s="35" t="s">
        <v>3</v>
      </c>
      <c r="H1" s="35" t="s">
        <v>4</v>
      </c>
      <c r="I1" s="35" t="s">
        <v>5</v>
      </c>
      <c r="J1" s="35" t="s">
        <v>6</v>
      </c>
      <c r="K1" s="35" t="s">
        <v>7</v>
      </c>
      <c r="L1" s="35" t="s">
        <v>13</v>
      </c>
      <c r="M1" s="35" t="s">
        <v>8</v>
      </c>
      <c r="N1" s="35" t="s">
        <v>9</v>
      </c>
      <c r="O1" s="35" t="s">
        <v>10</v>
      </c>
      <c r="P1" s="36" t="s">
        <v>146</v>
      </c>
      <c r="Q1" s="35" t="s">
        <v>11</v>
      </c>
      <c r="R1" s="37" t="s">
        <v>148</v>
      </c>
      <c r="S1" s="37" t="s">
        <v>147</v>
      </c>
      <c r="T1" s="37" t="s">
        <v>149</v>
      </c>
    </row>
    <row r="2" spans="1:20" ht="26.4" x14ac:dyDescent="0.25">
      <c r="A2" s="26">
        <v>2795203</v>
      </c>
      <c r="B2" s="27" t="s">
        <v>136</v>
      </c>
      <c r="C2" s="28">
        <v>49</v>
      </c>
      <c r="D2" s="27" t="s">
        <v>140</v>
      </c>
      <c r="E2" s="27">
        <v>724</v>
      </c>
      <c r="F2" s="29">
        <v>44351</v>
      </c>
      <c r="G2" s="27">
        <v>1</v>
      </c>
      <c r="H2" s="27">
        <v>5962</v>
      </c>
      <c r="I2" s="29">
        <v>44348</v>
      </c>
      <c r="J2" s="27">
        <v>1</v>
      </c>
      <c r="K2" s="27">
        <v>74310</v>
      </c>
      <c r="L2" s="27" t="s">
        <v>135</v>
      </c>
      <c r="M2" s="30" t="s">
        <v>141</v>
      </c>
      <c r="N2" s="27" t="s">
        <v>142</v>
      </c>
      <c r="O2" s="27">
        <v>100</v>
      </c>
      <c r="P2" s="33">
        <f>+F2-I2</f>
        <v>3</v>
      </c>
      <c r="Q2" s="27" t="s">
        <v>139</v>
      </c>
      <c r="R2" s="10" t="s">
        <v>16</v>
      </c>
      <c r="S2" s="7" t="str">
        <f>IF(AND(P2&gt;=0,P2&lt;=60),"0 - 60 DIAS",IF(AND(P2&gt;=61,P2&lt;=120),"61 -120 DIAS",IF(AND(P2&gt;=121,P2&lt;=180),"121 -180 DIAS",IF(AND(P2&gt;=181,P2&lt;=240),"181-240 DIAS",IF(AND(P2&gt;=241,P2&lt;=400),"241 -400 DIAS",IF(AND(P2&gt;=401,P2&lt;=700),"401 -700 DIAS","700 - MÁS DIAS"))))))</f>
        <v>0 - 60 DIAS</v>
      </c>
      <c r="T2" s="7" t="str">
        <f>+IF(LEN(M2)=5,"Personal EEQ","Contratista")</f>
        <v>Contratista</v>
      </c>
    </row>
    <row r="3" spans="1:20" ht="26.4" x14ac:dyDescent="0.25">
      <c r="A3" s="26">
        <v>8010470</v>
      </c>
      <c r="B3" s="27" t="s">
        <v>158</v>
      </c>
      <c r="C3" s="28">
        <v>21</v>
      </c>
      <c r="D3" s="27" t="s">
        <v>143</v>
      </c>
      <c r="E3" s="27">
        <v>1871</v>
      </c>
      <c r="F3" s="29">
        <v>44351</v>
      </c>
      <c r="G3" s="27">
        <v>2</v>
      </c>
      <c r="H3" s="27">
        <v>40372</v>
      </c>
      <c r="I3" s="29">
        <v>44349</v>
      </c>
      <c r="J3" s="27">
        <v>2</v>
      </c>
      <c r="K3" s="27">
        <v>31410</v>
      </c>
      <c r="L3" s="27" t="s">
        <v>151</v>
      </c>
      <c r="M3" s="30" t="s">
        <v>152</v>
      </c>
      <c r="N3" s="27" t="s">
        <v>153</v>
      </c>
      <c r="O3" s="27">
        <v>100</v>
      </c>
      <c r="P3" s="33">
        <f t="shared" ref="P3:P6" si="0">+F3-I3</f>
        <v>2</v>
      </c>
      <c r="Q3" s="27" t="s">
        <v>159</v>
      </c>
      <c r="R3" s="10" t="s">
        <v>124</v>
      </c>
      <c r="S3" s="7" t="str">
        <f>IF(AND(P3&gt;=0,P3&lt;=60),"0 - 60 DIAS",IF(AND(P3&gt;=61,P3&lt;=120),"61 -120 DIAS",IF(AND(P3&gt;=121,P3&lt;=180),"121 -180 DIAS",IF(AND(P3&gt;=181,P3&lt;=240),"181-240 DIAS",IF(AND(P3&gt;=241,P3&lt;=400),"241 -400 DIAS",IF(AND(P3&gt;=401,P3&lt;=700),"401 -700 DIAS","700 - MÁS DIAS"))))))</f>
        <v>0 - 60 DIAS</v>
      </c>
      <c r="T3" s="7" t="str">
        <f t="shared" ref="T3:T6" si="1">+IF(LEN(M3)=5,"Personal EEQ","Contratista")</f>
        <v>Personal EEQ</v>
      </c>
    </row>
    <row r="4" spans="1:20" ht="26.4" x14ac:dyDescent="0.25">
      <c r="A4" s="26">
        <v>22204647</v>
      </c>
      <c r="B4" s="27" t="s">
        <v>154</v>
      </c>
      <c r="C4" s="28">
        <v>19</v>
      </c>
      <c r="D4" s="27" t="s">
        <v>138</v>
      </c>
      <c r="E4" s="27">
        <v>8676</v>
      </c>
      <c r="F4" s="29">
        <v>44351</v>
      </c>
      <c r="G4" s="27">
        <v>1</v>
      </c>
      <c r="H4" s="27">
        <v>18437</v>
      </c>
      <c r="I4" s="29">
        <v>44315</v>
      </c>
      <c r="J4" s="27">
        <v>1</v>
      </c>
      <c r="K4" s="27">
        <v>73123</v>
      </c>
      <c r="L4" s="27" t="s">
        <v>160</v>
      </c>
      <c r="M4" s="30" t="s">
        <v>161</v>
      </c>
      <c r="N4" s="27" t="s">
        <v>162</v>
      </c>
      <c r="O4" s="27">
        <v>100</v>
      </c>
      <c r="P4" s="33">
        <f t="shared" si="0"/>
        <v>36</v>
      </c>
      <c r="Q4" s="27" t="s">
        <v>155</v>
      </c>
      <c r="R4" s="10" t="s">
        <v>20</v>
      </c>
      <c r="S4" s="7" t="str">
        <f>IF(AND(P4&gt;=0,P4&lt;=60),"0 - 60 DIAS",IF(AND(P4&gt;=61,P4&lt;=120),"61 -120 DIAS",IF(AND(P4&gt;=121,P4&lt;=180),"121 -180 DIAS",IF(AND(P4&gt;=181,P4&lt;=240),"181-240 DIAS",IF(AND(P4&gt;=241,P4&lt;=400),"241 -400 DIAS",IF(AND(P4&gt;=401,P4&lt;=700),"401 -700 DIAS","700 - MÁS DIAS"))))))</f>
        <v>0 - 60 DIAS</v>
      </c>
      <c r="T4" s="7" t="str">
        <f t="shared" si="1"/>
        <v>Personal EEQ</v>
      </c>
    </row>
    <row r="5" spans="1:20" ht="26.4" x14ac:dyDescent="0.25">
      <c r="A5" s="26">
        <v>2862111</v>
      </c>
      <c r="B5" s="27" t="s">
        <v>14</v>
      </c>
      <c r="C5" s="28">
        <v>19</v>
      </c>
      <c r="D5" s="27" t="s">
        <v>138</v>
      </c>
      <c r="E5" s="27">
        <v>8667</v>
      </c>
      <c r="F5" s="29">
        <v>44350</v>
      </c>
      <c r="G5" s="27">
        <v>529</v>
      </c>
      <c r="H5" s="27">
        <v>17892</v>
      </c>
      <c r="I5" s="29">
        <v>44186</v>
      </c>
      <c r="J5" s="27">
        <v>900</v>
      </c>
      <c r="K5" s="27">
        <v>51400</v>
      </c>
      <c r="L5" s="27" t="s">
        <v>17</v>
      </c>
      <c r="M5" s="30" t="s">
        <v>150</v>
      </c>
      <c r="N5" s="27" t="s">
        <v>145</v>
      </c>
      <c r="O5" s="27">
        <v>58.7777777777777</v>
      </c>
      <c r="P5" s="33">
        <f t="shared" si="0"/>
        <v>164</v>
      </c>
      <c r="Q5" s="27" t="s">
        <v>139</v>
      </c>
      <c r="R5" s="10" t="s">
        <v>16</v>
      </c>
      <c r="S5" s="7" t="str">
        <f>IF(AND(P5&gt;=0,P5&lt;=60),"0 - 60 DIAS",IF(AND(P5&gt;=61,P5&lt;=120),"61 -120 DIAS",IF(AND(P5&gt;=121,P5&lt;=180),"121 -180 DIAS",IF(AND(P5&gt;=181,P5&lt;=240),"181-240 DIAS",IF(AND(P5&gt;=241,P5&lt;=400),"241 -400 DIAS",IF(AND(P5&gt;=401,P5&lt;=700),"401 -700 DIAS","700 - MÁS DIAS"))))))</f>
        <v>121 -180 DIAS</v>
      </c>
      <c r="T5" s="7" t="str">
        <f t="shared" si="1"/>
        <v>Contratista</v>
      </c>
    </row>
    <row r="6" spans="1:20" ht="26.4" x14ac:dyDescent="0.25">
      <c r="A6" s="26">
        <v>15700330</v>
      </c>
      <c r="B6" s="27" t="s">
        <v>144</v>
      </c>
      <c r="C6" s="28">
        <v>21</v>
      </c>
      <c r="D6" s="27" t="s">
        <v>143</v>
      </c>
      <c r="E6" s="27">
        <v>1868</v>
      </c>
      <c r="F6" s="29">
        <v>44350</v>
      </c>
      <c r="G6" s="27">
        <v>2</v>
      </c>
      <c r="H6" s="27">
        <v>40379</v>
      </c>
      <c r="I6" s="29">
        <v>44350</v>
      </c>
      <c r="J6" s="27">
        <v>2</v>
      </c>
      <c r="K6" s="27">
        <v>74310</v>
      </c>
      <c r="L6" s="27" t="s">
        <v>135</v>
      </c>
      <c r="M6" s="30" t="s">
        <v>156</v>
      </c>
      <c r="N6" s="27" t="s">
        <v>157</v>
      </c>
      <c r="O6" s="27">
        <v>100</v>
      </c>
      <c r="P6" s="33">
        <f t="shared" si="0"/>
        <v>0</v>
      </c>
      <c r="Q6" s="27" t="s">
        <v>159</v>
      </c>
      <c r="R6" s="10" t="s">
        <v>124</v>
      </c>
      <c r="S6" s="7" t="str">
        <f>IF(AND(P6&gt;=0,P6&lt;=60),"0 - 60 DIAS",IF(AND(P6&gt;=61,P6&lt;=120),"61 -120 DIAS",IF(AND(P6&gt;=121,P6&lt;=180),"121 -180 DIAS",IF(AND(P6&gt;=181,P6&lt;=240),"181-240 DIAS",IF(AND(P6&gt;=241,P6&lt;=400),"241 -400 DIAS",IF(AND(P6&gt;=401,P6&lt;=700),"401 -700 DIAS","700 - MÁS DIAS"))))))</f>
        <v>0 - 60 DIAS</v>
      </c>
      <c r="T6" s="7" t="str">
        <f t="shared" si="1"/>
        <v>Personal EEQ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2:AR729"/>
  <sheetViews>
    <sheetView zoomScaleNormal="100" workbookViewId="0">
      <selection activeCell="A3" sqref="A3"/>
    </sheetView>
  </sheetViews>
  <sheetFormatPr baseColWidth="10" defaultRowHeight="13.2" x14ac:dyDescent="0.25"/>
  <cols>
    <col min="1" max="1" width="17.33203125" bestFit="1" customWidth="1"/>
    <col min="2" max="2" width="21" bestFit="1" customWidth="1"/>
    <col min="7" max="7" width="34.33203125" bestFit="1" customWidth="1"/>
    <col min="8" max="8" width="21" bestFit="1" customWidth="1"/>
    <col min="9" max="9" width="39.5546875" bestFit="1" customWidth="1"/>
    <col min="10" max="10" width="20.88671875" customWidth="1"/>
    <col min="12" max="12" width="97" bestFit="1" customWidth="1"/>
    <col min="13" max="13" width="28.33203125" bestFit="1" customWidth="1"/>
    <col min="17" max="17" width="34.109375" customWidth="1"/>
    <col min="18" max="18" width="17.109375" bestFit="1" customWidth="1"/>
    <col min="19" max="19" width="30.77734375" bestFit="1" customWidth="1"/>
    <col min="25" max="25" width="17.88671875" bestFit="1" customWidth="1"/>
    <col min="26" max="26" width="17.109375" bestFit="1" customWidth="1"/>
    <col min="27" max="27" width="21" bestFit="1" customWidth="1"/>
    <col min="28" max="28" width="17.33203125" bestFit="1" customWidth="1"/>
    <col min="29" max="29" width="27.44140625" bestFit="1" customWidth="1"/>
    <col min="31" max="31" width="13" customWidth="1"/>
    <col min="32" max="32" width="34.33203125" bestFit="1" customWidth="1"/>
    <col min="33" max="33" width="27.77734375" bestFit="1" customWidth="1"/>
    <col min="34" max="34" width="21.33203125" bestFit="1" customWidth="1"/>
    <col min="35" max="39" width="7.6640625" bestFit="1" customWidth="1"/>
    <col min="40" max="40" width="9.6640625" customWidth="1"/>
    <col min="41" max="41" width="97" bestFit="1" customWidth="1"/>
    <col min="42" max="42" width="27.77734375" bestFit="1" customWidth="1"/>
    <col min="43" max="43" width="30.109375" bestFit="1" customWidth="1"/>
    <col min="44" max="44" width="21" bestFit="1" customWidth="1"/>
    <col min="45" max="47" width="7.6640625" bestFit="1" customWidth="1"/>
    <col min="48" max="48" width="8.6640625" bestFit="1" customWidth="1"/>
    <col min="49" max="53" width="9.6640625" bestFit="1" customWidth="1"/>
    <col min="54" max="54" width="12.33203125" bestFit="1" customWidth="1"/>
    <col min="56" max="56" width="217.109375" bestFit="1" customWidth="1"/>
    <col min="57" max="57" width="22.109375" bestFit="1" customWidth="1"/>
    <col min="58" max="58" width="9" bestFit="1" customWidth="1"/>
    <col min="59" max="59" width="8" bestFit="1" customWidth="1"/>
    <col min="60" max="60" width="9" bestFit="1" customWidth="1"/>
    <col min="61" max="61" width="8" bestFit="1" customWidth="1"/>
    <col min="62" max="62" width="7.6640625" bestFit="1" customWidth="1"/>
    <col min="63" max="63" width="8" bestFit="1" customWidth="1"/>
    <col min="64" max="70" width="7.6640625" bestFit="1" customWidth="1"/>
    <col min="71" max="71" width="8" bestFit="1" customWidth="1"/>
    <col min="72" max="72" width="7.6640625" bestFit="1" customWidth="1"/>
    <col min="73" max="73" width="8.6640625" bestFit="1" customWidth="1"/>
    <col min="74" max="78" width="9.6640625" bestFit="1" customWidth="1"/>
    <col min="79" max="79" width="12.33203125" bestFit="1" customWidth="1"/>
  </cols>
  <sheetData>
    <row r="2" spans="1:44" x14ac:dyDescent="0.25">
      <c r="A2" s="25" t="s">
        <v>125</v>
      </c>
      <c r="B2" t="s">
        <v>131</v>
      </c>
      <c r="G2" s="25" t="s">
        <v>125</v>
      </c>
      <c r="H2" t="s">
        <v>131</v>
      </c>
      <c r="L2" s="25" t="s">
        <v>125</v>
      </c>
      <c r="M2" t="s">
        <v>127</v>
      </c>
      <c r="R2" s="25" t="s">
        <v>125</v>
      </c>
      <c r="S2" t="s">
        <v>128</v>
      </c>
      <c r="Z2" s="25" t="s">
        <v>125</v>
      </c>
      <c r="AA2" t="s">
        <v>131</v>
      </c>
      <c r="AF2" s="25" t="s">
        <v>125</v>
      </c>
      <c r="AG2" t="s">
        <v>132</v>
      </c>
      <c r="AO2" s="25" t="s">
        <v>125</v>
      </c>
      <c r="AP2" t="s">
        <v>132</v>
      </c>
      <c r="AQ2" t="s">
        <v>133</v>
      </c>
      <c r="AR2" t="s">
        <v>134</v>
      </c>
    </row>
    <row r="3" spans="1:44" x14ac:dyDescent="0.25">
      <c r="A3" s="20" t="s">
        <v>124</v>
      </c>
      <c r="B3" s="21">
        <v>2</v>
      </c>
      <c r="G3" s="20" t="s">
        <v>17</v>
      </c>
      <c r="H3" s="21">
        <v>1</v>
      </c>
      <c r="L3" s="20" t="s">
        <v>144</v>
      </c>
      <c r="M3" s="21">
        <v>1</v>
      </c>
      <c r="R3" s="20" t="s">
        <v>163</v>
      </c>
      <c r="S3" s="21">
        <v>4</v>
      </c>
      <c r="Z3" s="20" t="s">
        <v>129</v>
      </c>
      <c r="AA3" s="21">
        <v>2</v>
      </c>
      <c r="AF3" s="20" t="s">
        <v>17</v>
      </c>
      <c r="AG3" s="21">
        <v>529</v>
      </c>
      <c r="AO3" s="20" t="s">
        <v>14</v>
      </c>
      <c r="AP3" s="21">
        <v>529</v>
      </c>
      <c r="AQ3" s="42">
        <v>164</v>
      </c>
      <c r="AR3" s="42">
        <v>58.7777777777777</v>
      </c>
    </row>
    <row r="4" spans="1:44" x14ac:dyDescent="0.25">
      <c r="A4" s="20" t="s">
        <v>20</v>
      </c>
      <c r="B4" s="21">
        <v>1</v>
      </c>
      <c r="G4" s="20" t="s">
        <v>160</v>
      </c>
      <c r="H4" s="21">
        <v>1</v>
      </c>
      <c r="J4" s="21"/>
      <c r="L4" s="20" t="s">
        <v>14</v>
      </c>
      <c r="M4" s="21">
        <v>1</v>
      </c>
      <c r="Q4" s="20"/>
      <c r="R4" s="20" t="s">
        <v>137</v>
      </c>
      <c r="S4" s="21">
        <v>1</v>
      </c>
      <c r="Y4" s="20"/>
      <c r="Z4" s="20" t="s">
        <v>130</v>
      </c>
      <c r="AA4" s="21">
        <v>3</v>
      </c>
      <c r="AE4" s="20"/>
      <c r="AF4" s="20" t="s">
        <v>160</v>
      </c>
      <c r="AG4" s="21">
        <v>1</v>
      </c>
      <c r="AO4" s="20" t="s">
        <v>158</v>
      </c>
      <c r="AP4" s="21">
        <v>2</v>
      </c>
      <c r="AQ4" s="42">
        <v>2</v>
      </c>
      <c r="AR4" s="42">
        <v>100</v>
      </c>
    </row>
    <row r="5" spans="1:44" x14ac:dyDescent="0.25">
      <c r="A5" s="20" t="s">
        <v>16</v>
      </c>
      <c r="B5" s="21">
        <v>2</v>
      </c>
      <c r="G5" s="20" t="s">
        <v>135</v>
      </c>
      <c r="H5" s="21">
        <v>2</v>
      </c>
      <c r="J5" s="21"/>
      <c r="L5" s="20" t="s">
        <v>154</v>
      </c>
      <c r="M5" s="21">
        <v>1</v>
      </c>
      <c r="Q5" s="20"/>
      <c r="R5" s="20" t="s">
        <v>126</v>
      </c>
      <c r="S5" s="21">
        <v>5</v>
      </c>
      <c r="Y5" s="20"/>
      <c r="Z5" s="20" t="s">
        <v>126</v>
      </c>
      <c r="AA5" s="21">
        <v>5</v>
      </c>
      <c r="AE5" s="20"/>
      <c r="AF5" s="20" t="s">
        <v>135</v>
      </c>
      <c r="AG5" s="21">
        <v>3</v>
      </c>
      <c r="AO5" s="20" t="s">
        <v>144</v>
      </c>
      <c r="AP5" s="21">
        <v>2</v>
      </c>
      <c r="AQ5" s="42">
        <v>0</v>
      </c>
      <c r="AR5" s="42">
        <v>100</v>
      </c>
    </row>
    <row r="6" spans="1:44" x14ac:dyDescent="0.25">
      <c r="A6" s="20" t="s">
        <v>126</v>
      </c>
      <c r="B6" s="21">
        <v>5</v>
      </c>
      <c r="G6" s="20" t="s">
        <v>151</v>
      </c>
      <c r="H6" s="21">
        <v>1</v>
      </c>
      <c r="J6" s="21"/>
      <c r="L6" s="20" t="s">
        <v>136</v>
      </c>
      <c r="M6" s="21">
        <v>1</v>
      </c>
      <c r="Q6" s="20"/>
      <c r="Y6" s="20"/>
      <c r="AE6" s="20"/>
      <c r="AF6" s="20" t="s">
        <v>151</v>
      </c>
      <c r="AG6" s="21">
        <v>2</v>
      </c>
      <c r="AO6" s="20" t="s">
        <v>136</v>
      </c>
      <c r="AP6" s="21">
        <v>1</v>
      </c>
      <c r="AQ6" s="42">
        <v>3</v>
      </c>
      <c r="AR6" s="42">
        <v>100</v>
      </c>
    </row>
    <row r="7" spans="1:44" x14ac:dyDescent="0.25">
      <c r="G7" s="20" t="s">
        <v>126</v>
      </c>
      <c r="H7" s="21">
        <v>5</v>
      </c>
      <c r="J7" s="21"/>
      <c r="L7" s="20" t="s">
        <v>158</v>
      </c>
      <c r="M7" s="21">
        <v>1</v>
      </c>
      <c r="Q7" s="20"/>
      <c r="Y7" s="20"/>
      <c r="AF7" s="20" t="s">
        <v>126</v>
      </c>
      <c r="AG7" s="21">
        <v>535</v>
      </c>
      <c r="AO7" s="20" t="s">
        <v>154</v>
      </c>
      <c r="AP7" s="21">
        <v>1</v>
      </c>
      <c r="AQ7" s="42">
        <v>36</v>
      </c>
      <c r="AR7" s="42">
        <v>100</v>
      </c>
    </row>
    <row r="8" spans="1:44" x14ac:dyDescent="0.25">
      <c r="J8" s="21"/>
      <c r="L8" s="20" t="s">
        <v>126</v>
      </c>
      <c r="M8" s="21">
        <v>2</v>
      </c>
      <c r="Q8" s="20"/>
      <c r="Y8" s="20"/>
      <c r="AO8" s="20" t="s">
        <v>126</v>
      </c>
      <c r="AP8" s="21">
        <v>535</v>
      </c>
      <c r="AQ8" s="42">
        <v>41</v>
      </c>
      <c r="AR8" s="42">
        <v>91.755555555555546</v>
      </c>
    </row>
    <row r="9" spans="1:44" x14ac:dyDescent="0.25">
      <c r="J9" s="21"/>
      <c r="Q9" s="20"/>
      <c r="Y9" s="20"/>
    </row>
    <row r="10" spans="1:44" x14ac:dyDescent="0.25">
      <c r="J10" s="21"/>
      <c r="Q10" s="20"/>
      <c r="Y10" s="20"/>
    </row>
    <row r="11" spans="1:44" x14ac:dyDescent="0.25">
      <c r="J11" s="21"/>
      <c r="Q11" s="20"/>
      <c r="Y11" s="20"/>
    </row>
    <row r="12" spans="1:44" x14ac:dyDescent="0.25">
      <c r="J12" s="21"/>
      <c r="Q12" s="20"/>
      <c r="Y12" s="20"/>
    </row>
    <row r="13" spans="1:44" x14ac:dyDescent="0.25">
      <c r="Q13" s="20"/>
      <c r="Y13" s="20"/>
    </row>
    <row r="14" spans="1:44" x14ac:dyDescent="0.25">
      <c r="Q14" s="20"/>
      <c r="Y14" s="20"/>
    </row>
    <row r="15" spans="1:44" x14ac:dyDescent="0.25">
      <c r="Q15" s="20"/>
      <c r="Y15" s="20"/>
    </row>
    <row r="16" spans="1:44" x14ac:dyDescent="0.25">
      <c r="Q16" s="20"/>
      <c r="Y16" s="20"/>
    </row>
    <row r="17" spans="17:34" x14ac:dyDescent="0.25">
      <c r="Q17" s="20"/>
      <c r="Y17" s="20"/>
    </row>
    <row r="18" spans="17:34" x14ac:dyDescent="0.25">
      <c r="Q18" s="20"/>
      <c r="Y18" s="20"/>
    </row>
    <row r="19" spans="17:34" x14ac:dyDescent="0.25">
      <c r="Q19" s="20"/>
      <c r="Y19" s="20"/>
    </row>
    <row r="20" spans="17:34" x14ac:dyDescent="0.25">
      <c r="Y20" s="20"/>
      <c r="Z20" s="21"/>
      <c r="AE20" s="22"/>
      <c r="AH20" s="22"/>
    </row>
    <row r="21" spans="17:34" x14ac:dyDescent="0.25">
      <c r="Y21" s="20"/>
      <c r="Z21" s="21"/>
      <c r="AE21" s="23"/>
      <c r="AH21" s="24"/>
    </row>
    <row r="22" spans="17:34" x14ac:dyDescent="0.25">
      <c r="Y22" s="20"/>
      <c r="Z22" s="21"/>
      <c r="AE22" s="23"/>
      <c r="AH22" s="24"/>
    </row>
    <row r="23" spans="17:34" x14ac:dyDescent="0.25">
      <c r="Y23" s="20"/>
      <c r="Z23" s="21"/>
      <c r="AE23" s="23"/>
      <c r="AH23" s="24"/>
    </row>
    <row r="24" spans="17:34" x14ac:dyDescent="0.25">
      <c r="Y24" s="20"/>
      <c r="Z24" s="21"/>
      <c r="AE24" s="23"/>
      <c r="AH24" s="24"/>
    </row>
    <row r="25" spans="17:34" x14ac:dyDescent="0.25">
      <c r="Y25" s="20"/>
      <c r="Z25" s="21"/>
      <c r="AE25" s="23"/>
      <c r="AH25" s="24"/>
    </row>
    <row r="26" spans="17:34" x14ac:dyDescent="0.25">
      <c r="Y26" s="20"/>
      <c r="Z26" s="21"/>
      <c r="AE26" s="23"/>
      <c r="AH26" s="24"/>
    </row>
    <row r="27" spans="17:34" x14ac:dyDescent="0.25">
      <c r="AE27" s="23"/>
      <c r="AH27" s="24"/>
    </row>
    <row r="28" spans="17:34" x14ac:dyDescent="0.25">
      <c r="AE28" s="23"/>
      <c r="AH28" s="24"/>
    </row>
    <row r="29" spans="17:34" x14ac:dyDescent="0.25">
      <c r="AE29" s="23"/>
      <c r="AH29" s="24"/>
    </row>
    <row r="30" spans="17:34" x14ac:dyDescent="0.25">
      <c r="AE30" s="23"/>
      <c r="AH30" s="24"/>
    </row>
    <row r="31" spans="17:34" x14ac:dyDescent="0.25">
      <c r="AE31" s="23"/>
      <c r="AH31" s="24"/>
    </row>
    <row r="32" spans="17:34" x14ac:dyDescent="0.25">
      <c r="AE32" s="23"/>
      <c r="AH32" s="24"/>
    </row>
    <row r="33" spans="31:34" x14ac:dyDescent="0.25">
      <c r="AE33" s="23"/>
      <c r="AH33" s="24"/>
    </row>
    <row r="34" spans="31:34" x14ac:dyDescent="0.25">
      <c r="AE34" s="23"/>
      <c r="AH34" s="24"/>
    </row>
    <row r="35" spans="31:34" x14ac:dyDescent="0.25">
      <c r="AE35" s="23"/>
      <c r="AH35" s="24"/>
    </row>
    <row r="36" spans="31:34" x14ac:dyDescent="0.25">
      <c r="AE36" s="23"/>
      <c r="AH36" s="24"/>
    </row>
    <row r="37" spans="31:34" x14ac:dyDescent="0.25">
      <c r="AE37" s="23"/>
      <c r="AH37" s="24"/>
    </row>
    <row r="38" spans="31:34" x14ac:dyDescent="0.25">
      <c r="AE38" s="23"/>
      <c r="AH38" s="24"/>
    </row>
    <row r="39" spans="31:34" x14ac:dyDescent="0.25">
      <c r="AE39" s="23"/>
      <c r="AH39" s="24"/>
    </row>
    <row r="40" spans="31:34" x14ac:dyDescent="0.25">
      <c r="AE40" s="23"/>
      <c r="AH40" s="24"/>
    </row>
    <row r="41" spans="31:34" x14ac:dyDescent="0.25">
      <c r="AE41" s="23"/>
      <c r="AH41" s="24"/>
    </row>
    <row r="369" spans="25:26" x14ac:dyDescent="0.25">
      <c r="Y369" s="20"/>
      <c r="Z369" s="21"/>
    </row>
    <row r="370" spans="25:26" x14ac:dyDescent="0.25">
      <c r="Y370" s="20"/>
      <c r="Z370" s="21"/>
    </row>
    <row r="371" spans="25:26" x14ac:dyDescent="0.25">
      <c r="Y371" s="20"/>
      <c r="Z371" s="21"/>
    </row>
    <row r="372" spans="25:26" x14ac:dyDescent="0.25">
      <c r="Y372" s="20"/>
      <c r="Z372" s="21"/>
    </row>
    <row r="373" spans="25:26" x14ac:dyDescent="0.25">
      <c r="Y373" s="20"/>
      <c r="Z373" s="21"/>
    </row>
    <row r="374" spans="25:26" x14ac:dyDescent="0.25">
      <c r="Y374" s="20"/>
      <c r="Z374" s="21"/>
    </row>
    <row r="375" spans="25:26" x14ac:dyDescent="0.25">
      <c r="Y375" s="20"/>
      <c r="Z375" s="21"/>
    </row>
    <row r="376" spans="25:26" x14ac:dyDescent="0.25">
      <c r="Y376" s="20"/>
      <c r="Z376" s="21"/>
    </row>
    <row r="377" spans="25:26" x14ac:dyDescent="0.25">
      <c r="Y377" s="20"/>
      <c r="Z377" s="21"/>
    </row>
    <row r="378" spans="25:26" x14ac:dyDescent="0.25">
      <c r="Y378" s="20"/>
      <c r="Z378" s="21"/>
    </row>
    <row r="379" spans="25:26" x14ac:dyDescent="0.25">
      <c r="Y379" s="20"/>
      <c r="Z379" s="21"/>
    </row>
    <row r="380" spans="25:26" x14ac:dyDescent="0.25">
      <c r="Y380" s="20"/>
      <c r="Z380" s="21"/>
    </row>
    <row r="381" spans="25:26" x14ac:dyDescent="0.25">
      <c r="Y381" s="20"/>
      <c r="Z381" s="21"/>
    </row>
    <row r="382" spans="25:26" x14ac:dyDescent="0.25">
      <c r="Y382" s="20"/>
      <c r="Z382" s="21"/>
    </row>
    <row r="383" spans="25:26" x14ac:dyDescent="0.25">
      <c r="Y383" s="20"/>
      <c r="Z383" s="21"/>
    </row>
    <row r="384" spans="25:26" x14ac:dyDescent="0.25">
      <c r="Y384" s="20"/>
      <c r="Z384" s="21"/>
    </row>
    <row r="385" spans="25:26" x14ac:dyDescent="0.25">
      <c r="Y385" s="20"/>
      <c r="Z385" s="21"/>
    </row>
    <row r="386" spans="25:26" x14ac:dyDescent="0.25">
      <c r="Y386" s="20"/>
      <c r="Z386" s="21"/>
    </row>
    <row r="387" spans="25:26" x14ac:dyDescent="0.25">
      <c r="Y387" s="20"/>
      <c r="Z387" s="21"/>
    </row>
    <row r="388" spans="25:26" x14ac:dyDescent="0.25">
      <c r="Y388" s="20"/>
      <c r="Z388" s="21"/>
    </row>
    <row r="389" spans="25:26" x14ac:dyDescent="0.25">
      <c r="Y389" s="20"/>
      <c r="Z389" s="21"/>
    </row>
    <row r="390" spans="25:26" x14ac:dyDescent="0.25">
      <c r="Y390" s="20"/>
      <c r="Z390" s="21"/>
    </row>
    <row r="391" spans="25:26" x14ac:dyDescent="0.25">
      <c r="Y391" s="20"/>
      <c r="Z391" s="21"/>
    </row>
    <row r="392" spans="25:26" x14ac:dyDescent="0.25">
      <c r="Y392" s="20"/>
      <c r="Z392" s="21"/>
    </row>
    <row r="393" spans="25:26" x14ac:dyDescent="0.25">
      <c r="Y393" s="20"/>
      <c r="Z393" s="21"/>
    </row>
    <row r="394" spans="25:26" x14ac:dyDescent="0.25">
      <c r="Y394" s="20"/>
      <c r="Z394" s="21"/>
    </row>
    <row r="395" spans="25:26" x14ac:dyDescent="0.25">
      <c r="Y395" s="20"/>
      <c r="Z395" s="21"/>
    </row>
    <row r="396" spans="25:26" x14ac:dyDescent="0.25">
      <c r="Y396" s="20"/>
      <c r="Z396" s="21"/>
    </row>
    <row r="397" spans="25:26" x14ac:dyDescent="0.25">
      <c r="Y397" s="20"/>
      <c r="Z397" s="21"/>
    </row>
    <row r="398" spans="25:26" x14ac:dyDescent="0.25">
      <c r="Y398" s="20"/>
      <c r="Z398" s="21"/>
    </row>
    <row r="399" spans="25:26" x14ac:dyDescent="0.25">
      <c r="Y399" s="20"/>
      <c r="Z399" s="21"/>
    </row>
    <row r="400" spans="25:26" x14ac:dyDescent="0.25">
      <c r="Y400" s="20"/>
      <c r="Z400" s="21"/>
    </row>
    <row r="401" spans="25:26" x14ac:dyDescent="0.25">
      <c r="Y401" s="20"/>
      <c r="Z401" s="21"/>
    </row>
    <row r="402" spans="25:26" x14ac:dyDescent="0.25">
      <c r="Y402" s="20"/>
      <c r="Z402" s="21"/>
    </row>
    <row r="403" spans="25:26" x14ac:dyDescent="0.25">
      <c r="Y403" s="20"/>
      <c r="Z403" s="21"/>
    </row>
    <row r="404" spans="25:26" x14ac:dyDescent="0.25">
      <c r="Y404" s="20"/>
      <c r="Z404" s="21"/>
    </row>
    <row r="405" spans="25:26" x14ac:dyDescent="0.25">
      <c r="Y405" s="20"/>
      <c r="Z405" s="21"/>
    </row>
    <row r="406" spans="25:26" x14ac:dyDescent="0.25">
      <c r="Y406" s="20"/>
      <c r="Z406" s="21"/>
    </row>
    <row r="407" spans="25:26" x14ac:dyDescent="0.25">
      <c r="Y407" s="20"/>
      <c r="Z407" s="21"/>
    </row>
    <row r="408" spans="25:26" x14ac:dyDescent="0.25">
      <c r="Y408" s="20"/>
      <c r="Z408" s="21"/>
    </row>
    <row r="409" spans="25:26" x14ac:dyDescent="0.25">
      <c r="Y409" s="20"/>
      <c r="Z409" s="21"/>
    </row>
    <row r="410" spans="25:26" x14ac:dyDescent="0.25">
      <c r="Y410" s="20"/>
      <c r="Z410" s="21"/>
    </row>
    <row r="411" spans="25:26" x14ac:dyDescent="0.25">
      <c r="Y411" s="20"/>
      <c r="Z411" s="21"/>
    </row>
    <row r="412" spans="25:26" x14ac:dyDescent="0.25">
      <c r="Y412" s="20"/>
      <c r="Z412" s="21"/>
    </row>
    <row r="413" spans="25:26" x14ac:dyDescent="0.25">
      <c r="Y413" s="20"/>
      <c r="Z413" s="21"/>
    </row>
    <row r="414" spans="25:26" x14ac:dyDescent="0.25">
      <c r="Y414" s="20"/>
      <c r="Z414" s="21"/>
    </row>
    <row r="415" spans="25:26" x14ac:dyDescent="0.25">
      <c r="Y415" s="20"/>
      <c r="Z415" s="21"/>
    </row>
    <row r="416" spans="25:26" x14ac:dyDescent="0.25">
      <c r="Y416" s="20"/>
      <c r="Z416" s="21"/>
    </row>
    <row r="417" spans="25:26" x14ac:dyDescent="0.25">
      <c r="Y417" s="20"/>
      <c r="Z417" s="21"/>
    </row>
    <row r="418" spans="25:26" x14ac:dyDescent="0.25">
      <c r="Y418" s="20"/>
      <c r="Z418" s="21"/>
    </row>
    <row r="419" spans="25:26" x14ac:dyDescent="0.25">
      <c r="Y419" s="20"/>
      <c r="Z419" s="21"/>
    </row>
    <row r="420" spans="25:26" x14ac:dyDescent="0.25">
      <c r="Y420" s="20"/>
      <c r="Z420" s="21"/>
    </row>
    <row r="421" spans="25:26" x14ac:dyDescent="0.25">
      <c r="Y421" s="20"/>
      <c r="Z421" s="21"/>
    </row>
    <row r="422" spans="25:26" x14ac:dyDescent="0.25">
      <c r="Y422" s="20"/>
      <c r="Z422" s="21"/>
    </row>
    <row r="423" spans="25:26" x14ac:dyDescent="0.25">
      <c r="Y423" s="20"/>
      <c r="Z423" s="21"/>
    </row>
    <row r="424" spans="25:26" x14ac:dyDescent="0.25">
      <c r="Y424" s="20"/>
      <c r="Z424" s="21"/>
    </row>
    <row r="425" spans="25:26" x14ac:dyDescent="0.25">
      <c r="Y425" s="20"/>
      <c r="Z425" s="21"/>
    </row>
    <row r="426" spans="25:26" x14ac:dyDescent="0.25">
      <c r="Y426" s="20"/>
      <c r="Z426" s="21"/>
    </row>
    <row r="427" spans="25:26" x14ac:dyDescent="0.25">
      <c r="Y427" s="20"/>
      <c r="Z427" s="21"/>
    </row>
    <row r="428" spans="25:26" x14ac:dyDescent="0.25">
      <c r="Y428" s="20"/>
      <c r="Z428" s="21"/>
    </row>
    <row r="429" spans="25:26" x14ac:dyDescent="0.25">
      <c r="Y429" s="20"/>
      <c r="Z429" s="21"/>
    </row>
    <row r="430" spans="25:26" x14ac:dyDescent="0.25">
      <c r="Y430" s="20"/>
      <c r="Z430" s="21"/>
    </row>
    <row r="431" spans="25:26" x14ac:dyDescent="0.25">
      <c r="Y431" s="20"/>
      <c r="Z431" s="21"/>
    </row>
    <row r="432" spans="25:26" x14ac:dyDescent="0.25">
      <c r="Y432" s="20"/>
      <c r="Z432" s="21"/>
    </row>
    <row r="433" spans="25:26" x14ac:dyDescent="0.25">
      <c r="Y433" s="20"/>
      <c r="Z433" s="21"/>
    </row>
    <row r="434" spans="25:26" x14ac:dyDescent="0.25">
      <c r="Y434" s="20"/>
      <c r="Z434" s="21"/>
    </row>
    <row r="435" spans="25:26" x14ac:dyDescent="0.25">
      <c r="Y435" s="20"/>
      <c r="Z435" s="21"/>
    </row>
    <row r="436" spans="25:26" x14ac:dyDescent="0.25">
      <c r="Y436" s="20"/>
      <c r="Z436" s="21"/>
    </row>
    <row r="437" spans="25:26" x14ac:dyDescent="0.25">
      <c r="Y437" s="20"/>
      <c r="Z437" s="21"/>
    </row>
    <row r="438" spans="25:26" x14ac:dyDescent="0.25">
      <c r="Y438" s="20"/>
      <c r="Z438" s="21"/>
    </row>
    <row r="439" spans="25:26" x14ac:dyDescent="0.25">
      <c r="Y439" s="20"/>
      <c r="Z439" s="21"/>
    </row>
    <row r="440" spans="25:26" x14ac:dyDescent="0.25">
      <c r="Y440" s="20"/>
      <c r="Z440" s="21"/>
    </row>
    <row r="441" spans="25:26" x14ac:dyDescent="0.25">
      <c r="Y441" s="20"/>
      <c r="Z441" s="21"/>
    </row>
    <row r="442" spans="25:26" x14ac:dyDescent="0.25">
      <c r="Y442" s="20"/>
      <c r="Z442" s="21"/>
    </row>
    <row r="443" spans="25:26" x14ac:dyDescent="0.25">
      <c r="Y443" s="20"/>
      <c r="Z443" s="21"/>
    </row>
    <row r="444" spans="25:26" x14ac:dyDescent="0.25">
      <c r="Y444" s="20"/>
      <c r="Z444" s="21"/>
    </row>
    <row r="445" spans="25:26" x14ac:dyDescent="0.25">
      <c r="Y445" s="20"/>
      <c r="Z445" s="21"/>
    </row>
    <row r="446" spans="25:26" x14ac:dyDescent="0.25">
      <c r="Y446" s="20"/>
      <c r="Z446" s="21"/>
    </row>
    <row r="447" spans="25:26" x14ac:dyDescent="0.25">
      <c r="Y447" s="20"/>
      <c r="Z447" s="21"/>
    </row>
    <row r="448" spans="25:26" x14ac:dyDescent="0.25">
      <c r="Y448" s="20"/>
      <c r="Z448" s="21"/>
    </row>
    <row r="449" spans="25:26" x14ac:dyDescent="0.25">
      <c r="Y449" s="20"/>
      <c r="Z449" s="21"/>
    </row>
    <row r="450" spans="25:26" x14ac:dyDescent="0.25">
      <c r="Y450" s="20"/>
      <c r="Z450" s="21"/>
    </row>
    <row r="451" spans="25:26" x14ac:dyDescent="0.25">
      <c r="Y451" s="20"/>
      <c r="Z451" s="21"/>
    </row>
    <row r="452" spans="25:26" x14ac:dyDescent="0.25">
      <c r="Y452" s="20"/>
      <c r="Z452" s="21"/>
    </row>
    <row r="453" spans="25:26" x14ac:dyDescent="0.25">
      <c r="Y453" s="20"/>
      <c r="Z453" s="21"/>
    </row>
    <row r="454" spans="25:26" x14ac:dyDescent="0.25">
      <c r="Y454" s="20"/>
      <c r="Z454" s="21"/>
    </row>
    <row r="455" spans="25:26" x14ac:dyDescent="0.25">
      <c r="Y455" s="20"/>
      <c r="Z455" s="21"/>
    </row>
    <row r="456" spans="25:26" x14ac:dyDescent="0.25">
      <c r="Y456" s="20"/>
      <c r="Z456" s="21"/>
    </row>
    <row r="457" spans="25:26" x14ac:dyDescent="0.25">
      <c r="Y457" s="20"/>
      <c r="Z457" s="21"/>
    </row>
    <row r="458" spans="25:26" x14ac:dyDescent="0.25">
      <c r="Y458" s="20"/>
      <c r="Z458" s="21"/>
    </row>
    <row r="459" spans="25:26" x14ac:dyDescent="0.25">
      <c r="Y459" s="20"/>
      <c r="Z459" s="21"/>
    </row>
    <row r="460" spans="25:26" x14ac:dyDescent="0.25">
      <c r="Y460" s="20"/>
      <c r="Z460" s="21"/>
    </row>
    <row r="461" spans="25:26" x14ac:dyDescent="0.25">
      <c r="Y461" s="20"/>
      <c r="Z461" s="21"/>
    </row>
    <row r="462" spans="25:26" x14ac:dyDescent="0.25">
      <c r="Y462" s="20"/>
      <c r="Z462" s="21"/>
    </row>
    <row r="463" spans="25:26" x14ac:dyDescent="0.25">
      <c r="Y463" s="20"/>
      <c r="Z463" s="21"/>
    </row>
    <row r="464" spans="25:26" x14ac:dyDescent="0.25">
      <c r="Y464" s="20"/>
      <c r="Z464" s="21"/>
    </row>
    <row r="465" spans="25:26" x14ac:dyDescent="0.25">
      <c r="Y465" s="20"/>
      <c r="Z465" s="21"/>
    </row>
    <row r="466" spans="25:26" x14ac:dyDescent="0.25">
      <c r="Y466" s="20"/>
      <c r="Z466" s="21"/>
    </row>
    <row r="467" spans="25:26" x14ac:dyDescent="0.25">
      <c r="Y467" s="20"/>
      <c r="Z467" s="21"/>
    </row>
    <row r="468" spans="25:26" x14ac:dyDescent="0.25">
      <c r="Y468" s="20"/>
      <c r="Z468" s="21"/>
    </row>
    <row r="469" spans="25:26" x14ac:dyDescent="0.25">
      <c r="Y469" s="20"/>
      <c r="Z469" s="21"/>
    </row>
    <row r="470" spans="25:26" x14ac:dyDescent="0.25">
      <c r="Y470" s="20"/>
      <c r="Z470" s="21"/>
    </row>
    <row r="471" spans="25:26" x14ac:dyDescent="0.25">
      <c r="Y471" s="20"/>
      <c r="Z471" s="21"/>
    </row>
    <row r="472" spans="25:26" x14ac:dyDescent="0.25">
      <c r="Y472" s="20"/>
      <c r="Z472" s="21"/>
    </row>
    <row r="473" spans="25:26" x14ac:dyDescent="0.25">
      <c r="Y473" s="20"/>
      <c r="Z473" s="21"/>
    </row>
    <row r="474" spans="25:26" x14ac:dyDescent="0.25">
      <c r="Y474" s="20"/>
      <c r="Z474" s="21"/>
    </row>
    <row r="475" spans="25:26" x14ac:dyDescent="0.25">
      <c r="Y475" s="20"/>
      <c r="Z475" s="21"/>
    </row>
    <row r="476" spans="25:26" x14ac:dyDescent="0.25">
      <c r="Y476" s="20"/>
      <c r="Z476" s="21"/>
    </row>
    <row r="477" spans="25:26" x14ac:dyDescent="0.25">
      <c r="Y477" s="20"/>
      <c r="Z477" s="21"/>
    </row>
    <row r="478" spans="25:26" x14ac:dyDescent="0.25">
      <c r="Y478" s="20"/>
      <c r="Z478" s="21"/>
    </row>
    <row r="479" spans="25:26" x14ac:dyDescent="0.25">
      <c r="Y479" s="20"/>
      <c r="Z479" s="21"/>
    </row>
    <row r="480" spans="25:26" x14ac:dyDescent="0.25">
      <c r="Y480" s="20"/>
      <c r="Z480" s="21"/>
    </row>
    <row r="481" spans="25:26" x14ac:dyDescent="0.25">
      <c r="Y481" s="20"/>
      <c r="Z481" s="21"/>
    </row>
    <row r="482" spans="25:26" x14ac:dyDescent="0.25">
      <c r="Y482" s="20"/>
      <c r="Z482" s="21"/>
    </row>
    <row r="483" spans="25:26" x14ac:dyDescent="0.25">
      <c r="Y483" s="20"/>
      <c r="Z483" s="21"/>
    </row>
    <row r="484" spans="25:26" x14ac:dyDescent="0.25">
      <c r="Y484" s="20"/>
      <c r="Z484" s="21"/>
    </row>
    <row r="485" spans="25:26" x14ac:dyDescent="0.25">
      <c r="Y485" s="20"/>
      <c r="Z485" s="21"/>
    </row>
    <row r="486" spans="25:26" x14ac:dyDescent="0.25">
      <c r="Y486" s="20"/>
      <c r="Z486" s="21"/>
    </row>
    <row r="487" spans="25:26" x14ac:dyDescent="0.25">
      <c r="Y487" s="20"/>
      <c r="Z487" s="21"/>
    </row>
    <row r="488" spans="25:26" x14ac:dyDescent="0.25">
      <c r="Y488" s="20"/>
      <c r="Z488" s="21"/>
    </row>
    <row r="489" spans="25:26" x14ac:dyDescent="0.25">
      <c r="Y489" s="20"/>
      <c r="Z489" s="21"/>
    </row>
    <row r="490" spans="25:26" x14ac:dyDescent="0.25">
      <c r="Y490" s="20"/>
      <c r="Z490" s="21"/>
    </row>
    <row r="491" spans="25:26" x14ac:dyDescent="0.25">
      <c r="Y491" s="20"/>
      <c r="Z491" s="21"/>
    </row>
    <row r="492" spans="25:26" x14ac:dyDescent="0.25">
      <c r="Y492" s="20"/>
      <c r="Z492" s="21"/>
    </row>
    <row r="493" spans="25:26" x14ac:dyDescent="0.25">
      <c r="Y493" s="20"/>
      <c r="Z493" s="21"/>
    </row>
    <row r="494" spans="25:26" x14ac:dyDescent="0.25">
      <c r="Y494" s="20"/>
      <c r="Z494" s="21"/>
    </row>
    <row r="495" spans="25:26" x14ac:dyDescent="0.25">
      <c r="Y495" s="20"/>
      <c r="Z495" s="21"/>
    </row>
    <row r="496" spans="25:26" x14ac:dyDescent="0.25">
      <c r="Y496" s="20"/>
      <c r="Z496" s="21"/>
    </row>
    <row r="497" spans="25:26" x14ac:dyDescent="0.25">
      <c r="Y497" s="20"/>
      <c r="Z497" s="21"/>
    </row>
    <row r="498" spans="25:26" x14ac:dyDescent="0.25">
      <c r="Y498" s="20"/>
      <c r="Z498" s="21"/>
    </row>
    <row r="499" spans="25:26" x14ac:dyDescent="0.25">
      <c r="Y499" s="20"/>
      <c r="Z499" s="21"/>
    </row>
    <row r="500" spans="25:26" x14ac:dyDescent="0.25">
      <c r="Y500" s="20"/>
      <c r="Z500" s="21"/>
    </row>
    <row r="501" spans="25:26" x14ac:dyDescent="0.25">
      <c r="Y501" s="20"/>
      <c r="Z501" s="21"/>
    </row>
    <row r="502" spans="25:26" x14ac:dyDescent="0.25">
      <c r="Y502" s="20"/>
      <c r="Z502" s="21"/>
    </row>
    <row r="503" spans="25:26" x14ac:dyDescent="0.25">
      <c r="Y503" s="20"/>
      <c r="Z503" s="21"/>
    </row>
    <row r="504" spans="25:26" x14ac:dyDescent="0.25">
      <c r="Y504" s="20"/>
      <c r="Z504" s="21"/>
    </row>
    <row r="505" spans="25:26" x14ac:dyDescent="0.25">
      <c r="Y505" s="20"/>
      <c r="Z505" s="21"/>
    </row>
    <row r="506" spans="25:26" x14ac:dyDescent="0.25">
      <c r="Y506" s="20"/>
      <c r="Z506" s="21"/>
    </row>
    <row r="507" spans="25:26" x14ac:dyDescent="0.25">
      <c r="Y507" s="20"/>
      <c r="Z507" s="21"/>
    </row>
    <row r="508" spans="25:26" x14ac:dyDescent="0.25">
      <c r="Y508" s="20"/>
      <c r="Z508" s="21"/>
    </row>
    <row r="509" spans="25:26" x14ac:dyDescent="0.25">
      <c r="Y509" s="20"/>
      <c r="Z509" s="21"/>
    </row>
    <row r="510" spans="25:26" x14ac:dyDescent="0.25">
      <c r="Y510" s="20"/>
      <c r="Z510" s="21"/>
    </row>
    <row r="511" spans="25:26" x14ac:dyDescent="0.25">
      <c r="Y511" s="20"/>
      <c r="Z511" s="21"/>
    </row>
    <row r="512" spans="25:26" x14ac:dyDescent="0.25">
      <c r="Y512" s="20"/>
      <c r="Z512" s="21"/>
    </row>
    <row r="513" spans="25:26" x14ac:dyDescent="0.25">
      <c r="Y513" s="20"/>
      <c r="Z513" s="21"/>
    </row>
    <row r="514" spans="25:26" x14ac:dyDescent="0.25">
      <c r="Y514" s="20"/>
      <c r="Z514" s="21"/>
    </row>
    <row r="515" spans="25:26" x14ac:dyDescent="0.25">
      <c r="Y515" s="20"/>
      <c r="Z515" s="21"/>
    </row>
    <row r="516" spans="25:26" x14ac:dyDescent="0.25">
      <c r="Y516" s="20"/>
      <c r="Z516" s="21"/>
    </row>
    <row r="517" spans="25:26" x14ac:dyDescent="0.25">
      <c r="Y517" s="20"/>
      <c r="Z517" s="21"/>
    </row>
    <row r="518" spans="25:26" x14ac:dyDescent="0.25">
      <c r="Y518" s="20"/>
      <c r="Z518" s="21"/>
    </row>
    <row r="519" spans="25:26" x14ac:dyDescent="0.25">
      <c r="Y519" s="20"/>
      <c r="Z519" s="21"/>
    </row>
    <row r="520" spans="25:26" x14ac:dyDescent="0.25">
      <c r="Y520" s="20"/>
      <c r="Z520" s="21"/>
    </row>
    <row r="521" spans="25:26" x14ac:dyDescent="0.25">
      <c r="Y521" s="20"/>
      <c r="Z521" s="21"/>
    </row>
    <row r="522" spans="25:26" x14ac:dyDescent="0.25">
      <c r="Y522" s="20"/>
      <c r="Z522" s="21"/>
    </row>
    <row r="523" spans="25:26" x14ac:dyDescent="0.25">
      <c r="Y523" s="20"/>
      <c r="Z523" s="21"/>
    </row>
    <row r="524" spans="25:26" x14ac:dyDescent="0.25">
      <c r="Y524" s="20"/>
      <c r="Z524" s="21"/>
    </row>
    <row r="525" spans="25:26" x14ac:dyDescent="0.25">
      <c r="Y525" s="20"/>
      <c r="Z525" s="21"/>
    </row>
    <row r="526" spans="25:26" x14ac:dyDescent="0.25">
      <c r="Y526" s="20"/>
      <c r="Z526" s="21"/>
    </row>
    <row r="527" spans="25:26" x14ac:dyDescent="0.25">
      <c r="Y527" s="20"/>
      <c r="Z527" s="21"/>
    </row>
    <row r="528" spans="25:26" x14ac:dyDescent="0.25">
      <c r="Y528" s="20"/>
      <c r="Z528" s="21"/>
    </row>
    <row r="529" spans="25:26" x14ac:dyDescent="0.25">
      <c r="Y529" s="20"/>
      <c r="Z529" s="21"/>
    </row>
    <row r="530" spans="25:26" x14ac:dyDescent="0.25">
      <c r="Y530" s="20"/>
      <c r="Z530" s="21"/>
    </row>
    <row r="531" spans="25:26" x14ac:dyDescent="0.25">
      <c r="Y531" s="20"/>
      <c r="Z531" s="21"/>
    </row>
    <row r="532" spans="25:26" x14ac:dyDescent="0.25">
      <c r="Y532" s="20"/>
      <c r="Z532" s="21"/>
    </row>
    <row r="533" spans="25:26" x14ac:dyDescent="0.25">
      <c r="Y533" s="20"/>
      <c r="Z533" s="21"/>
    </row>
    <row r="534" spans="25:26" x14ac:dyDescent="0.25">
      <c r="Y534" s="20"/>
      <c r="Z534" s="21"/>
    </row>
    <row r="535" spans="25:26" x14ac:dyDescent="0.25">
      <c r="Y535" s="20"/>
      <c r="Z535" s="21"/>
    </row>
    <row r="536" spans="25:26" x14ac:dyDescent="0.25">
      <c r="Y536" s="20"/>
      <c r="Z536" s="21"/>
    </row>
    <row r="537" spans="25:26" x14ac:dyDescent="0.25">
      <c r="Y537" s="20"/>
      <c r="Z537" s="21"/>
    </row>
    <row r="538" spans="25:26" x14ac:dyDescent="0.25">
      <c r="Y538" s="20"/>
      <c r="Z538" s="21"/>
    </row>
    <row r="539" spans="25:26" x14ac:dyDescent="0.25">
      <c r="Y539" s="20"/>
      <c r="Z539" s="21"/>
    </row>
    <row r="540" spans="25:26" x14ac:dyDescent="0.25">
      <c r="Y540" s="20"/>
      <c r="Z540" s="21"/>
    </row>
    <row r="541" spans="25:26" x14ac:dyDescent="0.25">
      <c r="Y541" s="20"/>
      <c r="Z541" s="21"/>
    </row>
    <row r="542" spans="25:26" x14ac:dyDescent="0.25">
      <c r="Y542" s="20"/>
      <c r="Z542" s="21"/>
    </row>
    <row r="543" spans="25:26" x14ac:dyDescent="0.25">
      <c r="Y543" s="20"/>
      <c r="Z543" s="21"/>
    </row>
    <row r="544" spans="25:26" x14ac:dyDescent="0.25">
      <c r="Y544" s="20"/>
      <c r="Z544" s="21"/>
    </row>
    <row r="545" spans="25:26" x14ac:dyDescent="0.25">
      <c r="Y545" s="20"/>
      <c r="Z545" s="21"/>
    </row>
    <row r="546" spans="25:26" x14ac:dyDescent="0.25">
      <c r="Y546" s="20"/>
      <c r="Z546" s="21"/>
    </row>
    <row r="547" spans="25:26" x14ac:dyDescent="0.25">
      <c r="Y547" s="20"/>
      <c r="Z547" s="21"/>
    </row>
    <row r="548" spans="25:26" x14ac:dyDescent="0.25">
      <c r="Y548" s="20"/>
      <c r="Z548" s="21"/>
    </row>
    <row r="549" spans="25:26" x14ac:dyDescent="0.25">
      <c r="Y549" s="20"/>
      <c r="Z549" s="21"/>
    </row>
    <row r="550" spans="25:26" x14ac:dyDescent="0.25">
      <c r="Y550" s="20"/>
      <c r="Z550" s="21"/>
    </row>
    <row r="551" spans="25:26" x14ac:dyDescent="0.25">
      <c r="Y551" s="20"/>
      <c r="Z551" s="21"/>
    </row>
    <row r="552" spans="25:26" x14ac:dyDescent="0.25">
      <c r="Y552" s="20"/>
      <c r="Z552" s="21"/>
    </row>
    <row r="553" spans="25:26" x14ac:dyDescent="0.25">
      <c r="Y553" s="20"/>
      <c r="Z553" s="21"/>
    </row>
    <row r="554" spans="25:26" x14ac:dyDescent="0.25">
      <c r="Y554" s="20"/>
      <c r="Z554" s="21"/>
    </row>
    <row r="555" spans="25:26" x14ac:dyDescent="0.25">
      <c r="Y555" s="20"/>
      <c r="Z555" s="21"/>
    </row>
    <row r="556" spans="25:26" x14ac:dyDescent="0.25">
      <c r="Y556" s="20"/>
      <c r="Z556" s="21"/>
    </row>
    <row r="557" spans="25:26" x14ac:dyDescent="0.25">
      <c r="Y557" s="20"/>
      <c r="Z557" s="21"/>
    </row>
    <row r="558" spans="25:26" x14ac:dyDescent="0.25">
      <c r="Y558" s="20"/>
      <c r="Z558" s="21"/>
    </row>
    <row r="559" spans="25:26" x14ac:dyDescent="0.25">
      <c r="Y559" s="20"/>
      <c r="Z559" s="21"/>
    </row>
    <row r="560" spans="25:26" x14ac:dyDescent="0.25">
      <c r="Y560" s="20"/>
      <c r="Z560" s="21"/>
    </row>
    <row r="561" spans="25:26" x14ac:dyDescent="0.25">
      <c r="Y561" s="20"/>
      <c r="Z561" s="21"/>
    </row>
    <row r="562" spans="25:26" x14ac:dyDescent="0.25">
      <c r="Y562" s="20"/>
      <c r="Z562" s="21"/>
    </row>
    <row r="563" spans="25:26" x14ac:dyDescent="0.25">
      <c r="Y563" s="20"/>
      <c r="Z563" s="21"/>
    </row>
    <row r="564" spans="25:26" x14ac:dyDescent="0.25">
      <c r="Y564" s="20"/>
      <c r="Z564" s="21"/>
    </row>
    <row r="565" spans="25:26" x14ac:dyDescent="0.25">
      <c r="Y565" s="20"/>
      <c r="Z565" s="21"/>
    </row>
    <row r="566" spans="25:26" x14ac:dyDescent="0.25">
      <c r="Y566" s="20"/>
      <c r="Z566" s="21"/>
    </row>
    <row r="567" spans="25:26" x14ac:dyDescent="0.25">
      <c r="Y567" s="20"/>
      <c r="Z567" s="21"/>
    </row>
    <row r="568" spans="25:26" x14ac:dyDescent="0.25">
      <c r="Y568" s="20"/>
      <c r="Z568" s="21"/>
    </row>
    <row r="569" spans="25:26" x14ac:dyDescent="0.25">
      <c r="Y569" s="20"/>
      <c r="Z569" s="21"/>
    </row>
    <row r="570" spans="25:26" x14ac:dyDescent="0.25">
      <c r="Y570" s="20"/>
      <c r="Z570" s="21"/>
    </row>
    <row r="571" spans="25:26" x14ac:dyDescent="0.25">
      <c r="Y571" s="20"/>
      <c r="Z571" s="21"/>
    </row>
    <row r="572" spans="25:26" x14ac:dyDescent="0.25">
      <c r="Y572" s="20"/>
      <c r="Z572" s="21"/>
    </row>
    <row r="573" spans="25:26" x14ac:dyDescent="0.25">
      <c r="Y573" s="20"/>
      <c r="Z573" s="21"/>
    </row>
    <row r="574" spans="25:26" x14ac:dyDescent="0.25">
      <c r="Y574" s="20"/>
      <c r="Z574" s="21"/>
    </row>
    <row r="575" spans="25:26" x14ac:dyDescent="0.25">
      <c r="Y575" s="20"/>
      <c r="Z575" s="21"/>
    </row>
    <row r="576" spans="25:26" x14ac:dyDescent="0.25">
      <c r="Y576" s="20"/>
      <c r="Z576" s="21"/>
    </row>
    <row r="577" spans="25:26" x14ac:dyDescent="0.25">
      <c r="Y577" s="20"/>
      <c r="Z577" s="21"/>
    </row>
    <row r="578" spans="25:26" x14ac:dyDescent="0.25">
      <c r="Y578" s="20"/>
      <c r="Z578" s="21"/>
    </row>
    <row r="579" spans="25:26" x14ac:dyDescent="0.25">
      <c r="Y579" s="20"/>
      <c r="Z579" s="21"/>
    </row>
    <row r="580" spans="25:26" x14ac:dyDescent="0.25">
      <c r="Y580" s="20"/>
      <c r="Z580" s="21"/>
    </row>
    <row r="581" spans="25:26" x14ac:dyDescent="0.25">
      <c r="Y581" s="20"/>
      <c r="Z581" s="21"/>
    </row>
    <row r="582" spans="25:26" x14ac:dyDescent="0.25">
      <c r="Y582" s="20"/>
      <c r="Z582" s="21"/>
    </row>
    <row r="583" spans="25:26" x14ac:dyDescent="0.25">
      <c r="Y583" s="20"/>
      <c r="Z583" s="21"/>
    </row>
    <row r="584" spans="25:26" x14ac:dyDescent="0.25">
      <c r="Y584" s="20"/>
      <c r="Z584" s="21"/>
    </row>
    <row r="585" spans="25:26" x14ac:dyDescent="0.25">
      <c r="Y585" s="20"/>
      <c r="Z585" s="21"/>
    </row>
    <row r="586" spans="25:26" x14ac:dyDescent="0.25">
      <c r="Y586" s="20"/>
      <c r="Z586" s="21"/>
    </row>
    <row r="587" spans="25:26" x14ac:dyDescent="0.25">
      <c r="Y587" s="20"/>
      <c r="Z587" s="21"/>
    </row>
    <row r="588" spans="25:26" x14ac:dyDescent="0.25">
      <c r="Y588" s="20"/>
      <c r="Z588" s="21"/>
    </row>
    <row r="589" spans="25:26" x14ac:dyDescent="0.25">
      <c r="Y589" s="20"/>
      <c r="Z589" s="21"/>
    </row>
    <row r="590" spans="25:26" x14ac:dyDescent="0.25">
      <c r="Y590" s="20"/>
      <c r="Z590" s="21"/>
    </row>
    <row r="591" spans="25:26" x14ac:dyDescent="0.25">
      <c r="Y591" s="20"/>
      <c r="Z591" s="21"/>
    </row>
    <row r="592" spans="25:26" x14ac:dyDescent="0.25">
      <c r="Y592" s="20"/>
      <c r="Z592" s="21"/>
    </row>
    <row r="593" spans="25:26" x14ac:dyDescent="0.25">
      <c r="Y593" s="20"/>
      <c r="Z593" s="21"/>
    </row>
    <row r="594" spans="25:26" x14ac:dyDescent="0.25">
      <c r="Y594" s="20"/>
      <c r="Z594" s="21"/>
    </row>
    <row r="595" spans="25:26" x14ac:dyDescent="0.25">
      <c r="Y595" s="20"/>
      <c r="Z595" s="21"/>
    </row>
    <row r="596" spans="25:26" x14ac:dyDescent="0.25">
      <c r="Y596" s="20"/>
      <c r="Z596" s="21"/>
    </row>
    <row r="597" spans="25:26" x14ac:dyDescent="0.25">
      <c r="Y597" s="20"/>
      <c r="Z597" s="21"/>
    </row>
    <row r="598" spans="25:26" x14ac:dyDescent="0.25">
      <c r="Y598" s="20"/>
      <c r="Z598" s="21"/>
    </row>
    <row r="599" spans="25:26" x14ac:dyDescent="0.25">
      <c r="Y599" s="20"/>
      <c r="Z599" s="21"/>
    </row>
    <row r="600" spans="25:26" x14ac:dyDescent="0.25">
      <c r="Y600" s="20"/>
      <c r="Z600" s="21"/>
    </row>
    <row r="601" spans="25:26" x14ac:dyDescent="0.25">
      <c r="Y601" s="20"/>
      <c r="Z601" s="21"/>
    </row>
    <row r="602" spans="25:26" x14ac:dyDescent="0.25">
      <c r="Y602" s="20"/>
      <c r="Z602" s="21"/>
    </row>
    <row r="603" spans="25:26" x14ac:dyDescent="0.25">
      <c r="Y603" s="20"/>
      <c r="Z603" s="21"/>
    </row>
    <row r="604" spans="25:26" x14ac:dyDescent="0.25">
      <c r="Y604" s="20"/>
      <c r="Z604" s="21"/>
    </row>
    <row r="605" spans="25:26" x14ac:dyDescent="0.25">
      <c r="Y605" s="20"/>
      <c r="Z605" s="21"/>
    </row>
    <row r="606" spans="25:26" x14ac:dyDescent="0.25">
      <c r="Y606" s="20"/>
      <c r="Z606" s="21"/>
    </row>
    <row r="607" spans="25:26" x14ac:dyDescent="0.25">
      <c r="Y607" s="20"/>
      <c r="Z607" s="21"/>
    </row>
    <row r="608" spans="25:26" x14ac:dyDescent="0.25">
      <c r="Y608" s="20"/>
      <c r="Z608" s="21"/>
    </row>
    <row r="609" spans="25:26" x14ac:dyDescent="0.25">
      <c r="Y609" s="20"/>
      <c r="Z609" s="21"/>
    </row>
    <row r="610" spans="25:26" x14ac:dyDescent="0.25">
      <c r="Y610" s="20"/>
      <c r="Z610" s="21"/>
    </row>
    <row r="611" spans="25:26" x14ac:dyDescent="0.25">
      <c r="Y611" s="20"/>
      <c r="Z611" s="21"/>
    </row>
    <row r="612" spans="25:26" x14ac:dyDescent="0.25">
      <c r="Y612" s="20"/>
      <c r="Z612" s="21"/>
    </row>
    <row r="613" spans="25:26" x14ac:dyDescent="0.25">
      <c r="Y613" s="20"/>
      <c r="Z613" s="21"/>
    </row>
    <row r="614" spans="25:26" x14ac:dyDescent="0.25">
      <c r="Y614" s="20"/>
      <c r="Z614" s="21"/>
    </row>
    <row r="615" spans="25:26" x14ac:dyDescent="0.25">
      <c r="Y615" s="20"/>
      <c r="Z615" s="21"/>
    </row>
    <row r="616" spans="25:26" x14ac:dyDescent="0.25">
      <c r="Y616" s="20"/>
      <c r="Z616" s="21"/>
    </row>
    <row r="617" spans="25:26" x14ac:dyDescent="0.25">
      <c r="Y617" s="20"/>
      <c r="Z617" s="21"/>
    </row>
    <row r="618" spans="25:26" x14ac:dyDescent="0.25">
      <c r="Y618" s="20"/>
      <c r="Z618" s="21"/>
    </row>
    <row r="619" spans="25:26" x14ac:dyDescent="0.25">
      <c r="Y619" s="20"/>
      <c r="Z619" s="21"/>
    </row>
    <row r="620" spans="25:26" x14ac:dyDescent="0.25">
      <c r="Y620" s="20"/>
      <c r="Z620" s="21"/>
    </row>
    <row r="621" spans="25:26" x14ac:dyDescent="0.25">
      <c r="Y621" s="20"/>
      <c r="Z621" s="21"/>
    </row>
    <row r="622" spans="25:26" x14ac:dyDescent="0.25">
      <c r="Y622" s="20"/>
      <c r="Z622" s="21"/>
    </row>
    <row r="623" spans="25:26" x14ac:dyDescent="0.25">
      <c r="Y623" s="20"/>
      <c r="Z623" s="21"/>
    </row>
    <row r="624" spans="25:26" x14ac:dyDescent="0.25">
      <c r="Y624" s="20"/>
      <c r="Z624" s="21"/>
    </row>
    <row r="625" spans="25:26" x14ac:dyDescent="0.25">
      <c r="Y625" s="20"/>
      <c r="Z625" s="21"/>
    </row>
    <row r="626" spans="25:26" x14ac:dyDescent="0.25">
      <c r="Y626" s="20"/>
      <c r="Z626" s="21"/>
    </row>
    <row r="627" spans="25:26" x14ac:dyDescent="0.25">
      <c r="Y627" s="20"/>
      <c r="Z627" s="21"/>
    </row>
    <row r="628" spans="25:26" x14ac:dyDescent="0.25">
      <c r="Y628" s="20"/>
      <c r="Z628" s="21"/>
    </row>
    <row r="629" spans="25:26" x14ac:dyDescent="0.25">
      <c r="Y629" s="20"/>
      <c r="Z629" s="21"/>
    </row>
    <row r="630" spans="25:26" x14ac:dyDescent="0.25">
      <c r="Y630" s="20"/>
      <c r="Z630" s="21"/>
    </row>
    <row r="631" spans="25:26" x14ac:dyDescent="0.25">
      <c r="Y631" s="20"/>
      <c r="Z631" s="21"/>
    </row>
    <row r="632" spans="25:26" x14ac:dyDescent="0.25">
      <c r="Y632" s="20"/>
      <c r="Z632" s="21"/>
    </row>
    <row r="633" spans="25:26" x14ac:dyDescent="0.25">
      <c r="Y633" s="20"/>
      <c r="Z633" s="21"/>
    </row>
    <row r="634" spans="25:26" x14ac:dyDescent="0.25">
      <c r="Y634" s="20"/>
      <c r="Z634" s="21"/>
    </row>
    <row r="635" spans="25:26" x14ac:dyDescent="0.25">
      <c r="Y635" s="20"/>
      <c r="Z635" s="21"/>
    </row>
    <row r="636" spans="25:26" x14ac:dyDescent="0.25">
      <c r="Y636" s="20"/>
      <c r="Z636" s="21"/>
    </row>
    <row r="637" spans="25:26" x14ac:dyDescent="0.25">
      <c r="Y637" s="20"/>
      <c r="Z637" s="21"/>
    </row>
    <row r="638" spans="25:26" x14ac:dyDescent="0.25">
      <c r="Y638" s="20"/>
      <c r="Z638" s="21"/>
    </row>
    <row r="639" spans="25:26" x14ac:dyDescent="0.25">
      <c r="Y639" s="20"/>
      <c r="Z639" s="21"/>
    </row>
    <row r="640" spans="25:26" x14ac:dyDescent="0.25">
      <c r="Y640" s="20"/>
      <c r="Z640" s="21"/>
    </row>
    <row r="641" spans="25:26" x14ac:dyDescent="0.25">
      <c r="Y641" s="20"/>
      <c r="Z641" s="21"/>
    </row>
    <row r="642" spans="25:26" x14ac:dyDescent="0.25">
      <c r="Y642" s="20"/>
      <c r="Z642" s="21"/>
    </row>
    <row r="643" spans="25:26" x14ac:dyDescent="0.25">
      <c r="Y643" s="20"/>
      <c r="Z643" s="21"/>
    </row>
    <row r="644" spans="25:26" x14ac:dyDescent="0.25">
      <c r="Y644" s="20"/>
      <c r="Z644" s="21"/>
    </row>
    <row r="645" spans="25:26" x14ac:dyDescent="0.25">
      <c r="Y645" s="20"/>
      <c r="Z645" s="21"/>
    </row>
    <row r="646" spans="25:26" x14ac:dyDescent="0.25">
      <c r="Y646" s="20"/>
      <c r="Z646" s="21"/>
    </row>
    <row r="647" spans="25:26" x14ac:dyDescent="0.25">
      <c r="Y647" s="20"/>
      <c r="Z647" s="21"/>
    </row>
    <row r="648" spans="25:26" x14ac:dyDescent="0.25">
      <c r="Y648" s="20"/>
      <c r="Z648" s="21"/>
    </row>
    <row r="649" spans="25:26" x14ac:dyDescent="0.25">
      <c r="Y649" s="20"/>
      <c r="Z649" s="21"/>
    </row>
    <row r="650" spans="25:26" x14ac:dyDescent="0.25">
      <c r="Y650" s="20"/>
      <c r="Z650" s="21"/>
    </row>
    <row r="651" spans="25:26" x14ac:dyDescent="0.25">
      <c r="Y651" s="20"/>
      <c r="Z651" s="21"/>
    </row>
    <row r="652" spans="25:26" x14ac:dyDescent="0.25">
      <c r="Y652" s="20"/>
      <c r="Z652" s="21"/>
    </row>
    <row r="653" spans="25:26" x14ac:dyDescent="0.25">
      <c r="Y653" s="20"/>
      <c r="Z653" s="21"/>
    </row>
    <row r="654" spans="25:26" x14ac:dyDescent="0.25">
      <c r="Y654" s="20"/>
      <c r="Z654" s="21"/>
    </row>
    <row r="655" spans="25:26" x14ac:dyDescent="0.25">
      <c r="Y655" s="20"/>
      <c r="Z655" s="21"/>
    </row>
    <row r="656" spans="25:26" x14ac:dyDescent="0.25">
      <c r="Y656" s="20"/>
      <c r="Z656" s="21"/>
    </row>
    <row r="657" spans="25:26" x14ac:dyDescent="0.25">
      <c r="Y657" s="20"/>
      <c r="Z657" s="21"/>
    </row>
    <row r="658" spans="25:26" x14ac:dyDescent="0.25">
      <c r="Y658" s="20"/>
      <c r="Z658" s="21"/>
    </row>
    <row r="659" spans="25:26" x14ac:dyDescent="0.25">
      <c r="Y659" s="20"/>
      <c r="Z659" s="21"/>
    </row>
    <row r="660" spans="25:26" x14ac:dyDescent="0.25">
      <c r="Y660" s="20"/>
      <c r="Z660" s="21"/>
    </row>
    <row r="661" spans="25:26" x14ac:dyDescent="0.25">
      <c r="Y661" s="20"/>
      <c r="Z661" s="21"/>
    </row>
    <row r="662" spans="25:26" x14ac:dyDescent="0.25">
      <c r="Y662" s="20"/>
      <c r="Z662" s="21"/>
    </row>
    <row r="663" spans="25:26" x14ac:dyDescent="0.25">
      <c r="Y663" s="20"/>
      <c r="Z663" s="21"/>
    </row>
    <row r="664" spans="25:26" x14ac:dyDescent="0.25">
      <c r="Y664" s="20"/>
      <c r="Z664" s="21"/>
    </row>
    <row r="665" spans="25:26" x14ac:dyDescent="0.25">
      <c r="Y665" s="20"/>
      <c r="Z665" s="21"/>
    </row>
    <row r="666" spans="25:26" x14ac:dyDescent="0.25">
      <c r="Y666" s="20"/>
      <c r="Z666" s="21"/>
    </row>
    <row r="667" spans="25:26" x14ac:dyDescent="0.25">
      <c r="Y667" s="20"/>
      <c r="Z667" s="21"/>
    </row>
    <row r="668" spans="25:26" x14ac:dyDescent="0.25">
      <c r="Y668" s="20"/>
      <c r="Z668" s="21"/>
    </row>
    <row r="669" spans="25:26" x14ac:dyDescent="0.25">
      <c r="Y669" s="20"/>
      <c r="Z669" s="21"/>
    </row>
    <row r="670" spans="25:26" x14ac:dyDescent="0.25">
      <c r="Y670" s="20"/>
      <c r="Z670" s="21"/>
    </row>
    <row r="671" spans="25:26" x14ac:dyDescent="0.25">
      <c r="Y671" s="20"/>
      <c r="Z671" s="21"/>
    </row>
    <row r="672" spans="25:26" x14ac:dyDescent="0.25">
      <c r="Y672" s="20"/>
      <c r="Z672" s="21"/>
    </row>
    <row r="673" spans="25:26" x14ac:dyDescent="0.25">
      <c r="Y673" s="20"/>
      <c r="Z673" s="21"/>
    </row>
    <row r="674" spans="25:26" x14ac:dyDescent="0.25">
      <c r="Y674" s="20"/>
      <c r="Z674" s="21"/>
    </row>
    <row r="675" spans="25:26" x14ac:dyDescent="0.25">
      <c r="Y675" s="20"/>
      <c r="Z675" s="21"/>
    </row>
    <row r="676" spans="25:26" x14ac:dyDescent="0.25">
      <c r="Y676" s="20"/>
      <c r="Z676" s="21"/>
    </row>
    <row r="677" spans="25:26" x14ac:dyDescent="0.25">
      <c r="Y677" s="20"/>
      <c r="Z677" s="21"/>
    </row>
    <row r="678" spans="25:26" x14ac:dyDescent="0.25">
      <c r="Y678" s="20"/>
      <c r="Z678" s="21"/>
    </row>
    <row r="679" spans="25:26" x14ac:dyDescent="0.25">
      <c r="Y679" s="20"/>
      <c r="Z679" s="21"/>
    </row>
    <row r="680" spans="25:26" x14ac:dyDescent="0.25">
      <c r="Y680" s="20"/>
      <c r="Z680" s="21"/>
    </row>
    <row r="681" spans="25:26" x14ac:dyDescent="0.25">
      <c r="Y681" s="20"/>
      <c r="Z681" s="21"/>
    </row>
    <row r="682" spans="25:26" x14ac:dyDescent="0.25">
      <c r="Y682" s="20"/>
      <c r="Z682" s="21"/>
    </row>
    <row r="683" spans="25:26" x14ac:dyDescent="0.25">
      <c r="Y683" s="20"/>
      <c r="Z683" s="21"/>
    </row>
    <row r="684" spans="25:26" x14ac:dyDescent="0.25">
      <c r="Y684" s="20"/>
      <c r="Z684" s="21"/>
    </row>
    <row r="685" spans="25:26" x14ac:dyDescent="0.25">
      <c r="Y685" s="20"/>
      <c r="Z685" s="21"/>
    </row>
    <row r="686" spans="25:26" x14ac:dyDescent="0.25">
      <c r="Y686" s="20"/>
      <c r="Z686" s="21"/>
    </row>
    <row r="687" spans="25:26" x14ac:dyDescent="0.25">
      <c r="Y687" s="20"/>
      <c r="Z687" s="21"/>
    </row>
    <row r="688" spans="25:26" x14ac:dyDescent="0.25">
      <c r="Y688" s="20"/>
      <c r="Z688" s="21"/>
    </row>
    <row r="689" spans="25:26" x14ac:dyDescent="0.25">
      <c r="Y689" s="20"/>
      <c r="Z689" s="21"/>
    </row>
    <row r="690" spans="25:26" x14ac:dyDescent="0.25">
      <c r="Y690" s="20"/>
      <c r="Z690" s="21"/>
    </row>
    <row r="691" spans="25:26" x14ac:dyDescent="0.25">
      <c r="Y691" s="20"/>
      <c r="Z691" s="21"/>
    </row>
    <row r="692" spans="25:26" x14ac:dyDescent="0.25">
      <c r="Y692" s="20"/>
      <c r="Z692" s="21"/>
    </row>
    <row r="693" spans="25:26" x14ac:dyDescent="0.25">
      <c r="Y693" s="20"/>
      <c r="Z693" s="21"/>
    </row>
    <row r="694" spans="25:26" x14ac:dyDescent="0.25">
      <c r="Y694" s="20"/>
      <c r="Z694" s="21"/>
    </row>
    <row r="695" spans="25:26" x14ac:dyDescent="0.25">
      <c r="Y695" s="20"/>
      <c r="Z695" s="21"/>
    </row>
    <row r="696" spans="25:26" x14ac:dyDescent="0.25">
      <c r="Y696" s="20"/>
      <c r="Z696" s="21"/>
    </row>
    <row r="697" spans="25:26" x14ac:dyDescent="0.25">
      <c r="Y697" s="20"/>
      <c r="Z697" s="21"/>
    </row>
    <row r="698" spans="25:26" x14ac:dyDescent="0.25">
      <c r="Y698" s="20"/>
      <c r="Z698" s="21"/>
    </row>
    <row r="699" spans="25:26" x14ac:dyDescent="0.25">
      <c r="Y699" s="20"/>
      <c r="Z699" s="21"/>
    </row>
    <row r="700" spans="25:26" x14ac:dyDescent="0.25">
      <c r="Y700" s="20"/>
      <c r="Z700" s="21"/>
    </row>
    <row r="701" spans="25:26" x14ac:dyDescent="0.25">
      <c r="Y701" s="20"/>
      <c r="Z701" s="21"/>
    </row>
    <row r="702" spans="25:26" x14ac:dyDescent="0.25">
      <c r="Y702" s="20"/>
      <c r="Z702" s="21"/>
    </row>
    <row r="703" spans="25:26" x14ac:dyDescent="0.25">
      <c r="Y703" s="20"/>
      <c r="Z703" s="21"/>
    </row>
    <row r="704" spans="25:26" x14ac:dyDescent="0.25">
      <c r="Y704" s="20"/>
      <c r="Z704" s="21"/>
    </row>
    <row r="705" spans="25:26" x14ac:dyDescent="0.25">
      <c r="Y705" s="20"/>
      <c r="Z705" s="21"/>
    </row>
    <row r="706" spans="25:26" x14ac:dyDescent="0.25">
      <c r="Y706" s="20"/>
      <c r="Z706" s="21"/>
    </row>
    <row r="707" spans="25:26" x14ac:dyDescent="0.25">
      <c r="Y707" s="20"/>
      <c r="Z707" s="21"/>
    </row>
    <row r="708" spans="25:26" x14ac:dyDescent="0.25">
      <c r="Y708" s="20"/>
      <c r="Z708" s="21"/>
    </row>
    <row r="709" spans="25:26" x14ac:dyDescent="0.25">
      <c r="Y709" s="20"/>
      <c r="Z709" s="21"/>
    </row>
    <row r="710" spans="25:26" x14ac:dyDescent="0.25">
      <c r="Y710" s="20"/>
      <c r="Z710" s="21"/>
    </row>
    <row r="711" spans="25:26" x14ac:dyDescent="0.25">
      <c r="Y711" s="20"/>
      <c r="Z711" s="21"/>
    </row>
    <row r="712" spans="25:26" x14ac:dyDescent="0.25">
      <c r="Y712" s="20"/>
      <c r="Z712" s="21"/>
    </row>
    <row r="713" spans="25:26" x14ac:dyDescent="0.25">
      <c r="Y713" s="20"/>
      <c r="Z713" s="21"/>
    </row>
    <row r="714" spans="25:26" x14ac:dyDescent="0.25">
      <c r="Y714" s="20"/>
      <c r="Z714" s="21"/>
    </row>
    <row r="715" spans="25:26" x14ac:dyDescent="0.25">
      <c r="Y715" s="20"/>
      <c r="Z715" s="21"/>
    </row>
    <row r="716" spans="25:26" x14ac:dyDescent="0.25">
      <c r="Y716" s="20"/>
      <c r="Z716" s="21"/>
    </row>
    <row r="717" spans="25:26" x14ac:dyDescent="0.25">
      <c r="Y717" s="20"/>
      <c r="Z717" s="21"/>
    </row>
    <row r="718" spans="25:26" x14ac:dyDescent="0.25">
      <c r="Y718" s="20"/>
      <c r="Z718" s="21"/>
    </row>
    <row r="719" spans="25:26" x14ac:dyDescent="0.25">
      <c r="Y719" s="20"/>
      <c r="Z719" s="21"/>
    </row>
    <row r="720" spans="25:26" x14ac:dyDescent="0.25">
      <c r="Y720" s="20"/>
      <c r="Z720" s="21"/>
    </row>
    <row r="721" spans="25:26" x14ac:dyDescent="0.25">
      <c r="Y721" s="20"/>
      <c r="Z721" s="21"/>
    </row>
    <row r="722" spans="25:26" x14ac:dyDescent="0.25">
      <c r="Y722" s="20"/>
      <c r="Z722" s="21"/>
    </row>
    <row r="723" spans="25:26" x14ac:dyDescent="0.25">
      <c r="Y723" s="20"/>
      <c r="Z723" s="21"/>
    </row>
    <row r="724" spans="25:26" x14ac:dyDescent="0.25">
      <c r="Y724" s="20"/>
      <c r="Z724" s="21"/>
    </row>
    <row r="725" spans="25:26" x14ac:dyDescent="0.25">
      <c r="Y725" s="20"/>
      <c r="Z725" s="21"/>
    </row>
    <row r="726" spans="25:26" x14ac:dyDescent="0.25">
      <c r="Y726" s="20"/>
      <c r="Z726" s="21"/>
    </row>
    <row r="727" spans="25:26" x14ac:dyDescent="0.25">
      <c r="Y727" s="20"/>
      <c r="Z727" s="21"/>
    </row>
    <row r="728" spans="25:26" x14ac:dyDescent="0.25">
      <c r="Y728" s="20"/>
      <c r="Z728" s="21"/>
    </row>
    <row r="729" spans="25:26" x14ac:dyDescent="0.25">
      <c r="Y729" s="20"/>
      <c r="Z729" s="21"/>
    </row>
  </sheetData>
  <pageMargins left="0.7" right="0.7" top="0.75" bottom="0.75" header="0.3" footer="0.3"/>
  <drawing r:id="rId8"/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120BE-B5A1-4181-A2BF-B8136145C90B}">
  <sheetPr codeName="Hoja5"/>
  <dimension ref="F8:F32"/>
  <sheetViews>
    <sheetView tabSelected="1" zoomScale="110" zoomScaleNormal="110" workbookViewId="0">
      <selection activeCell="I6" sqref="I6"/>
    </sheetView>
  </sheetViews>
  <sheetFormatPr baseColWidth="10" defaultRowHeight="13.2" x14ac:dyDescent="0.25"/>
  <cols>
    <col min="1" max="1" width="11.5546875" style="39"/>
    <col min="2" max="2" width="11.5546875" style="39" customWidth="1"/>
    <col min="3" max="6" width="11.5546875" style="39"/>
    <col min="7" max="7" width="92.33203125" style="39" bestFit="1" customWidth="1"/>
    <col min="8" max="8" width="12.21875" style="39" bestFit="1" customWidth="1"/>
    <col min="9" max="9" width="14" style="39" bestFit="1" customWidth="1"/>
    <col min="10" max="16384" width="11.5546875" style="39"/>
  </cols>
  <sheetData>
    <row r="8" spans="6:6" x14ac:dyDescent="0.25">
      <c r="F8" s="40"/>
    </row>
    <row r="17" s="39" customFormat="1" x14ac:dyDescent="0.25"/>
    <row r="18" s="39" customFormat="1" x14ac:dyDescent="0.25"/>
    <row r="19" s="39" customFormat="1" x14ac:dyDescent="0.25"/>
    <row r="20" s="39" customFormat="1" x14ac:dyDescent="0.25"/>
    <row r="21" s="39" customFormat="1" x14ac:dyDescent="0.25"/>
    <row r="22" s="39" customFormat="1" x14ac:dyDescent="0.25"/>
    <row r="23" s="39" customFormat="1" x14ac:dyDescent="0.25"/>
    <row r="24" s="39" customFormat="1" x14ac:dyDescent="0.25"/>
    <row r="25" s="39" customFormat="1" x14ac:dyDescent="0.25"/>
    <row r="26" s="39" customFormat="1" x14ac:dyDescent="0.25"/>
    <row r="27" s="39" customFormat="1" x14ac:dyDescent="0.25"/>
    <row r="28" s="39" customFormat="1" x14ac:dyDescent="0.25"/>
    <row r="29" s="39" customFormat="1" x14ac:dyDescent="0.25"/>
    <row r="30" s="39" customFormat="1" x14ac:dyDescent="0.25"/>
    <row r="31" s="39" customFormat="1" x14ac:dyDescent="0.25"/>
    <row r="32" s="39" customForma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_dash">
                <anchor moveWithCells="1" sizeWithCells="1">
                  <from>
                    <xdr:col>8</xdr:col>
                    <xdr:colOff>91440</xdr:colOff>
                    <xdr:row>0</xdr:row>
                    <xdr:rowOff>137160</xdr:rowOff>
                  </from>
                  <to>
                    <xdr:col>8</xdr:col>
                    <xdr:colOff>571500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5"/>
      </x14:slicerList>
    </ext>
    <ext xmlns:x15="http://schemas.microsoft.com/office/spreadsheetml/2010/11/main" uri="{7E03D99C-DC04-49d9-9315-930204A7B6E9}">
      <x15:timelineRefs>
        <x15:timelineRef r:id="rId6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INGRESO_DATOS</vt:lpstr>
      <vt:lpstr>BASE_MOTIVOS</vt:lpstr>
      <vt:lpstr>BD</vt:lpstr>
      <vt:lpstr>TABLA</vt:lpstr>
      <vt:lpstr>Dashboard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Edwin Orlando Aguilar Cordova</dc:creator>
  <cp:lastModifiedBy>Gabriel Alejandro Redrovan Andrade</cp:lastModifiedBy>
  <dcterms:created xsi:type="dcterms:W3CDTF">2020-07-03T17:42:34Z</dcterms:created>
  <dcterms:modified xsi:type="dcterms:W3CDTF">2021-10-25T20:27:24Z</dcterms:modified>
</cp:coreProperties>
</file>